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商品マスタ" sheetId="2" state="visible" r:id="rId4"/>
    <sheet name="入力シート" sheetId="3" state="visible" r:id="rId5"/>
    <sheet name="CSV出力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<sst xmlns="http://schemas.openxmlformats.org/spreadsheetml/2006/main" count="77" uniqueCount="69">
  <si>
    <t xml:space="preserve">弥生販売 仕入伝票 インポート用CSV たたき台</t>
  </si>
  <si>
    <t xml:space="preserve">■ このファイルについて</t>
  </si>
  <si>
    <t xml:space="preserve">元テンプレート「弥生販売 仕入伝票 インポート用データ作成テンプレート」を元に、必須・推奨項目のうち本当に人が判断しないと決まらない項目だけを「入力シート」に入力すれば、残りの41項目（伝票区分・端数処理設定・行番号・金額・消費税明細行など）を自動計算し、43列すべて（見出し行なし）の「CSV出力」シートを自動生成するたたき台です。</t>
  </si>
  <si>
    <t xml:space="preserve">■ シート構成</t>
  </si>
  <si>
    <t xml:space="preserve">・商品マスタ … 商品コードごとの商品名/単位/課税区分/数量小数桁/単価小数桁/原価の対応表。サンプル5商品のみ登録済み。ご自身の商品台帳の内容に置き換え・追記してください。</t>
  </si>
  <si>
    <t xml:space="preserve">・入力シート … 実際に入力するシート。黄色い列だけ入力すればOKです。</t>
  </si>
  <si>
    <t xml:space="preserve">・CSV出力 … 43列すべてを自動計算した最終データ（見出し行なし）。このシートの内容をコピーしてCSVとして保存します。</t>
  </si>
  <si>
    <t xml:space="preserve">■ 入力手順</t>
  </si>
  <si>
    <t xml:space="preserve">① 「商品マスタ」シートに自社の商品コード・商品名・単位・課税区分・数量小数桁・単価小数桁（・原価）を追記/修正する。</t>
  </si>
  <si>
    <t xml:space="preserve">② 「入力シート」B2セルに、この回でインポートする最初の伝票番号（数字のみ、例:95）を入力する。</t>
  </si>
  <si>
    <t xml:space="preserve">③ 「入力シート」の5行目以降、明細行を1行ずつ入力する。入力するのは【伝票日付・仕入先コード・仕入先名称・商品コード・数量・単価】の必須項目のみ。課税区分・明細区分・備考は空欄でも構いません（空欄なら自動判定/自動設定されます）。</t>
  </si>
  <si>
    <t xml:space="preserve">④ 同じ「伝票日付」×「仕入先コード」が連続する行は、自動的に同じ1枚の伝票（同じ伝票番号）としてまとめられます。日付か仕入先コードが変わった時点で、自動的に次の伝票番号が採番されます。1行ずつ順番に入力していくだけで、伝票のグルーピングと行番号（明細の連番）はすべて自動計算されます。</t>
  </si>
  <si>
    <t xml:space="preserve">⑤ 消費税の明細行（明細区分=99、商品名=「消費税」の行）は入力不要です。同一伝票内の税抜額の合計に、その伝票の課税区分に応じた税率（10%または8%）を掛けて自動計算し、「CSV出力」シートの下部に自動的に追加されます。</t>
  </si>
  <si>
    <r>
      <rPr>
        <b val="true"/>
        <sz val="10"/>
        <rFont val="Meiryo UI"/>
        <family val="0"/>
        <charset val="1"/>
      </rPr>
      <t xml:space="preserve">■ CSV</t>
    </r>
    <r>
      <rPr>
        <b val="true"/>
        <sz val="10"/>
        <rFont val="WenQuanYi Zen Hei"/>
        <family val="2"/>
      </rPr>
      <t xml:space="preserve">書き出し手順</t>
    </r>
  </si>
  <si>
    <t xml:space="preserve">① 「CSV出力」シートを開く。上半分が通常明細行、下半分が自動生成された消費税行です。入力していない残り行はA列が空欄の「空白行」として残るので、A列が空欄の行をまとめて選択して削除してください（行の途中に空白行を残したままCSV保存しないこと）。</t>
  </si>
  <si>
    <t xml:space="preserve">② 「ファイル」→「名前を付けて保存」→ファイルの種類で「CSV（コンマ区切り）(*.csv)」を選択する。</t>
  </si>
  <si>
    <t xml:space="preserve">③ 保存時（またはテキストエディタで開いて再保存する際）に文字コードを必ず「Shift-JIS」に設定して保存する。見出し行は含めない（このシートはもともと見出しなしで作られています）。</t>
  </si>
  <si>
    <t xml:space="preserve">■ ご確認いただきたい点</t>
  </si>
  <si>
    <t xml:space="preserve">・商品コード47「鮪尾身」は、元データでは課税区分が仕様上存在しない「10」という値でしたが、実際の税額（8%）から判断して「30」（軽減税率8%）に補正して商品マスタへ登録しています。誤りがあればマスタの値を修正してください。</t>
  </si>
  <si>
    <t xml:space="preserve">・消費税は「1伝票＝1つの課税区分」という前提で、伝票内の税抜額合計×税率で計算しています。1枚の伝票の中に10%対象と8%対象の商品が混在するケースには対応していないため、その場合は伝票を分けて入力するか、CSV出力後に消費税行を手動で調整してください。税額の端数処理は仕様書の推奨値（切り捨て）で統一しています。</t>
  </si>
  <si>
    <t xml:space="preserve">・仕入先マスタは作成していません（毎回「仕入先コード」「仕入先名称」を手入力する運用です）。案件数が増えてきたら仕入先マスタの追加もご相談ください。</t>
  </si>
  <si>
    <t xml:space="preserve">・入力シートは200行分（最大200明細行）まで対応しています。不足する場合はご相談ください。</t>
  </si>
  <si>
    <t xml:space="preserve">商品マスタ（商品コード→商品名・単位・課税区分等の対応表）</t>
  </si>
  <si>
    <t xml:space="preserve">課税区分: 13=通常課税10% / 30=軽減税率8% / 0=対象外。数量小数桁・単価小数桁は0〜4。</t>
  </si>
  <si>
    <t xml:space="preserve">商品コード</t>
  </si>
  <si>
    <t xml:space="preserve">商品名</t>
  </si>
  <si>
    <t xml:space="preserve">単位</t>
  </si>
  <si>
    <t xml:space="preserve">課税区分</t>
  </si>
  <si>
    <t xml:space="preserve">数量小数桁</t>
  </si>
  <si>
    <t xml:space="preserve">単価小数桁</t>
  </si>
  <si>
    <t xml:space="preserve">原価</t>
  </si>
  <si>
    <t xml:space="preserve">1</t>
  </si>
  <si>
    <t xml:space="preserve">鉢マグロプレートA</t>
  </si>
  <si>
    <t xml:space="preserve">kg</t>
  </si>
  <si>
    <t xml:space="preserve">2</t>
  </si>
  <si>
    <t xml:space="preserve">黄肌鮪プレートA</t>
  </si>
  <si>
    <t xml:space="preserve">3</t>
  </si>
  <si>
    <t xml:space="preserve">黄肌鮪プレートB</t>
  </si>
  <si>
    <t xml:space="preserve">9</t>
  </si>
  <si>
    <t xml:space="preserve">畜養本鮪腹1</t>
  </si>
  <si>
    <t xml:space="preserve">47</t>
  </si>
  <si>
    <t xml:space="preserve">鮪尾身</t>
  </si>
  <si>
    <t xml:space="preserve">入力シート（必須項目だけ入力してください／黄色い列が入力欄、グレーの列は自動計算）</t>
  </si>
  <si>
    <t xml:space="preserve">開始伝票番号:</t>
  </si>
  <si>
    <t xml:space="preserve">← この回でインポートする最初の伝票番号（数字のみ）。以降は日付・仕入先コードの変化に応じて自動的に+1されます。</t>
  </si>
  <si>
    <t xml:space="preserve">↓ 以下2行（5〜6行目）は入力例です。同じ日付・仕入先コードの行は自動で同じ伝票にまとまることを確認できます。実データを入力する際はこの2行を書き換えてください。</t>
  </si>
  <si>
    <t xml:space="preserve">伝票日付(必須)</t>
  </si>
  <si>
    <t xml:space="preserve">仕入先コード(必須)</t>
  </si>
  <si>
    <t xml:space="preserve">仕入先名称(推奨)</t>
  </si>
  <si>
    <t xml:space="preserve">商品コード(必須)</t>
  </si>
  <si>
    <t xml:space="preserve">数量(必須)</t>
  </si>
  <si>
    <t xml:space="preserve">単価(必須)</t>
  </si>
  <si>
    <t xml:space="preserve">明細区分
(空欄=通常/2=返品/3=値引/4=諸経費)</t>
  </si>
  <si>
    <t xml:space="preserve">課税区分
(空欄=商品マスタから自動取得)</t>
  </si>
  <si>
    <t xml:space="preserve">備考(任意)</t>
  </si>
  <si>
    <t xml:space="preserve">商品名(自動)</t>
  </si>
  <si>
    <t xml:space="preserve">単位(自動)</t>
  </si>
  <si>
    <t xml:space="preserve">適用課税区分(自動)</t>
  </si>
  <si>
    <t xml:space="preserve">数量小数桁(自動)</t>
  </si>
  <si>
    <t xml:space="preserve">単価小数桁(自動)</t>
  </si>
  <si>
    <t xml:space="preserve">金額(自動)</t>
  </si>
  <si>
    <t xml:space="preserve">税抜額(自動)</t>
  </si>
  <si>
    <t xml:space="preserve">行番号(自動)</t>
  </si>
  <si>
    <t xml:space="preserve">伝票先頭フラグ(内部用)</t>
  </si>
  <si>
    <t xml:space="preserve">伝票先頭連番(内部用)</t>
  </si>
  <si>
    <t xml:space="preserve">原価(自動)</t>
  </si>
  <si>
    <t xml:space="preserve">50</t>
  </si>
  <si>
    <t xml:space="preserve">株式会社オリエンタルフーズ</t>
  </si>
  <si>
    <r>
      <rPr>
        <sz val="8"/>
        <color rgb="FFA6A6A6"/>
        <rFont val="Meiryo UI"/>
        <family val="0"/>
        <charset val="1"/>
      </rPr>
      <t xml:space="preserve">(</t>
    </r>
    <r>
      <rPr>
        <sz val="8"/>
        <color rgb="FFA6A6A6"/>
        <rFont val="WenQuanYi Zen Hei"/>
        <family val="2"/>
      </rPr>
      <t xml:space="preserve">内部計算用</t>
    </r>
    <r>
      <rPr>
        <sz val="8"/>
        <color rgb="FFA6A6A6"/>
        <rFont val="Meiryo UI"/>
        <family val="0"/>
        <charset val="1"/>
      </rPr>
      <t xml:space="preserve">/</t>
    </r>
    <r>
      <rPr>
        <sz val="8"/>
        <color rgb="FFA6A6A6"/>
        <rFont val="WenQuanYi Zen Hei"/>
        <family val="2"/>
      </rPr>
      <t xml:space="preserve">非表示予定</t>
    </r>
    <r>
      <rPr>
        <sz val="8"/>
        <color rgb="FFA6A6A6"/>
        <rFont val="Meiryo UI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</si>
</sst>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/mm/dd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  <charset val="1"/>
    </font>
    <font>
      <b val="true"/>
      <sz val="10"/>
      <name val="WenQuanYi Zen Hei"/>
      <family val="2"/>
      <charset val="1"/>
    </font>
    <font>
      <sz val="10"/>
      <name val="WenQuanYi Zen Hei"/>
      <family val="2"/>
      <charset val="1"/>
    </font>
    <font>
      <b val="true"/>
      <sz val="10"/>
      <name val="Meiryo UI"/>
      <family val="0"/>
      <charset val="1"/>
    </font>
    <font>
      <b val="true"/>
      <sz val="10"/>
      <name val="WenQuanYi Zen Hei"/>
      <family val="2"/>
    </font>
    <font>
      <i val="true"/>
      <sz val="9"/>
      <color rgb="FFC00000"/>
      <name val="WenQuanYi Zen Hei"/>
      <family val="2"/>
      <charset val="1"/>
    </font>
    <font>
      <b val="true"/>
      <sz val="13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sz val="10"/>
      <name val="Meiryo UI"/>
      <family val="0"/>
      <charset val="1"/>
    </font>
    <font>
      <b val="true"/>
      <sz val="9"/>
      <color rgb="FF404040"/>
      <name val="WenQuanYi Zen Hei"/>
      <family val="2"/>
      <charset val="1"/>
    </font>
    <font>
      <sz val="8"/>
      <color rgb="FF808080"/>
      <name val="Meiryo UI"/>
      <family val="0"/>
      <charset val="1"/>
    </font>
    <font>
      <sz val="9"/>
      <color rgb="FF595959"/>
      <name val="WenQuanYi Zen Hei"/>
      <family val="2"/>
      <charset val="1"/>
    </font>
    <font>
      <sz val="9"/>
      <name val="Meiryo UI"/>
      <family val="0"/>
      <charset val="1"/>
    </font>
    <font>
      <sz val="8"/>
      <color rgb="FFA6A6A6"/>
      <name val="Meiryo UI"/>
      <family val="0"/>
      <charset val="1"/>
    </font>
    <font>
      <sz val="8"/>
      <color rgb="FFA6A6A6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7E6E6"/>
      </patternFill>
    </fill>
    <fill>
      <patternFill patternType="solid">
        <fgColor rgb="FFBFBFBF"/>
        <bgColor rgb="FFA6A6A6"/>
      </patternFill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0"/>
  </cols>
  <sheetData>
    <row r="1" customFormat="false" ht="18.7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39" hidden="false" customHeight="true" outlineLevel="0" collapsed="false">
      <c r="A4" s="4" t="s">
        <v>2</v>
      </c>
    </row>
    <row r="6" customFormat="false" ht="15" hidden="false" customHeight="true" outlineLevel="0" collapsed="false">
      <c r="A6" s="3" t="s">
        <v>3</v>
      </c>
    </row>
    <row r="7" customFormat="false" ht="26.25" hidden="false" customHeight="true" outlineLevel="0" collapsed="false">
      <c r="A7" s="4" t="s">
        <v>4</v>
      </c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4" t="s">
        <v>6</v>
      </c>
    </row>
    <row r="11" customFormat="false" ht="15" hidden="false" customHeight="true" outlineLevel="0" collapsed="false">
      <c r="A11" s="3" t="s">
        <v>7</v>
      </c>
    </row>
    <row r="12" customFormat="false" ht="15" hidden="false" customHeight="true" outlineLevel="0" collapsed="false">
      <c r="A12" s="4" t="s">
        <v>8</v>
      </c>
    </row>
    <row r="13" customFormat="false" ht="15" hidden="false" customHeight="true" outlineLevel="0" collapsed="false">
      <c r="A13" s="4" t="s">
        <v>9</v>
      </c>
    </row>
    <row r="14" customFormat="false" ht="26.25" hidden="false" customHeight="true" outlineLevel="0" collapsed="false">
      <c r="A14" s="4" t="s">
        <v>10</v>
      </c>
    </row>
    <row r="15" customFormat="false" ht="39" hidden="false" customHeight="true" outlineLevel="0" collapsed="false">
      <c r="A15" s="4" t="s">
        <v>11</v>
      </c>
    </row>
    <row r="16" customFormat="false" ht="26.25" hidden="false" customHeight="true" outlineLevel="0" collapsed="false">
      <c r="A16" s="4" t="s">
        <v>12</v>
      </c>
    </row>
    <row r="18" customFormat="false" ht="15" hidden="false" customHeight="true" outlineLevel="0" collapsed="false">
      <c r="A18" s="5" t="s">
        <v>13</v>
      </c>
    </row>
    <row r="19" customFormat="false" ht="26.25" hidden="false" customHeight="true" outlineLevel="0" collapsed="false">
      <c r="A19" s="4" t="s">
        <v>14</v>
      </c>
    </row>
    <row r="20" customFormat="false" ht="15" hidden="false" customHeight="true" outlineLevel="0" collapsed="false">
      <c r="A20" s="4" t="s">
        <v>15</v>
      </c>
    </row>
    <row r="21" customFormat="false" ht="26.25" hidden="false" customHeight="true" outlineLevel="0" collapsed="false">
      <c r="A21" s="4" t="s">
        <v>16</v>
      </c>
    </row>
    <row r="23" customFormat="false" ht="15" hidden="false" customHeight="true" outlineLevel="0" collapsed="false">
      <c r="A23" s="6" t="s">
        <v>17</v>
      </c>
    </row>
    <row r="24" customFormat="false" ht="24.75" hidden="false" customHeight="true" outlineLevel="0" collapsed="false">
      <c r="A24" s="6" t="s">
        <v>18</v>
      </c>
    </row>
    <row r="25" customFormat="false" ht="36.75" hidden="false" customHeight="true" outlineLevel="0" collapsed="false">
      <c r="A25" s="6" t="s">
        <v>19</v>
      </c>
    </row>
    <row r="26" customFormat="false" ht="15" hidden="false" customHeight="true" outlineLevel="0" collapsed="false">
      <c r="A26" s="6" t="s">
        <v>20</v>
      </c>
    </row>
    <row r="27" customFormat="false" ht="15" hidden="false" customHeight="true" outlineLevel="0" collapsed="false">
      <c r="A27" s="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8"/>
    <col collapsed="false" customWidth="true" hidden="false" outlineLevel="0" max="7" min="4" style="1" width="10"/>
  </cols>
  <sheetData>
    <row r="1" customFormat="false" ht="15.75" hidden="false" customHeight="true" outlineLevel="0" collapsed="false">
      <c r="A1" s="7" t="s">
        <v>22</v>
      </c>
    </row>
    <row r="2" customFormat="false" ht="15" hidden="false" customHeight="true" outlineLevel="0" collapsed="false">
      <c r="A2" s="8" t="s">
        <v>23</v>
      </c>
    </row>
    <row r="4" customFormat="false" ht="15" hidden="false" customHeight="true" outlineLevel="0" collapsed="false">
      <c r="A4" s="9" t="s">
        <v>24</v>
      </c>
      <c r="B4" s="9" t="s">
        <v>25</v>
      </c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</row>
    <row r="5" customFormat="false" ht="15" hidden="false" customHeight="true" outlineLevel="0" collapsed="false">
      <c r="A5" s="10" t="s">
        <v>31</v>
      </c>
      <c r="B5" s="11" t="s">
        <v>32</v>
      </c>
      <c r="C5" s="10" t="s">
        <v>33</v>
      </c>
      <c r="D5" s="10" t="n">
        <v>30</v>
      </c>
      <c r="E5" s="10" t="n">
        <v>1</v>
      </c>
      <c r="F5" s="10" t="n">
        <v>1</v>
      </c>
      <c r="G5" s="10" t="n">
        <v>0</v>
      </c>
    </row>
    <row r="6" customFormat="false" ht="15" hidden="false" customHeight="true" outlineLevel="0" collapsed="false">
      <c r="A6" s="10" t="s">
        <v>34</v>
      </c>
      <c r="B6" s="11" t="s">
        <v>35</v>
      </c>
      <c r="C6" s="10" t="s">
        <v>33</v>
      </c>
      <c r="D6" s="10" t="n">
        <v>30</v>
      </c>
      <c r="E6" s="10" t="n">
        <v>1</v>
      </c>
      <c r="F6" s="10" t="n">
        <v>1</v>
      </c>
      <c r="G6" s="10" t="n">
        <v>0</v>
      </c>
    </row>
    <row r="7" customFormat="false" ht="15" hidden="false" customHeight="true" outlineLevel="0" collapsed="false">
      <c r="A7" s="10" t="s">
        <v>36</v>
      </c>
      <c r="B7" s="11" t="s">
        <v>37</v>
      </c>
      <c r="C7" s="10" t="s">
        <v>33</v>
      </c>
      <c r="D7" s="10" t="n">
        <v>30</v>
      </c>
      <c r="E7" s="10" t="n">
        <v>1</v>
      </c>
      <c r="F7" s="10" t="n">
        <v>1</v>
      </c>
      <c r="G7" s="10" t="n">
        <v>0</v>
      </c>
    </row>
    <row r="8" customFormat="false" ht="15" hidden="false" customHeight="true" outlineLevel="0" collapsed="false">
      <c r="A8" s="10" t="s">
        <v>38</v>
      </c>
      <c r="B8" s="11" t="s">
        <v>39</v>
      </c>
      <c r="C8" s="10" t="s">
        <v>33</v>
      </c>
      <c r="D8" s="10" t="n">
        <v>30</v>
      </c>
      <c r="E8" s="10" t="n">
        <v>1</v>
      </c>
      <c r="F8" s="10" t="n">
        <v>1</v>
      </c>
      <c r="G8" s="10" t="n">
        <v>0</v>
      </c>
    </row>
    <row r="9" customFormat="false" ht="15" hidden="false" customHeight="true" outlineLevel="0" collapsed="false">
      <c r="A9" s="10" t="s">
        <v>40</v>
      </c>
      <c r="B9" s="11" t="s">
        <v>41</v>
      </c>
      <c r="C9" s="10" t="s">
        <v>33</v>
      </c>
      <c r="D9" s="10" t="n">
        <v>30</v>
      </c>
      <c r="E9" s="10" t="n">
        <v>1</v>
      </c>
      <c r="F9" s="10" t="n">
        <v>1</v>
      </c>
      <c r="G9" s="10" t="n">
        <v>0</v>
      </c>
    </row>
    <row r="10" customFormat="false" ht="15" hidden="false" customHeight="true" outlineLevel="0" collapsed="false">
      <c r="A10" s="12"/>
      <c r="B10" s="12"/>
      <c r="C10" s="12"/>
      <c r="D10" s="12"/>
      <c r="E10" s="12"/>
      <c r="F10" s="12"/>
      <c r="G10" s="12"/>
    </row>
    <row r="11" customFormat="false" ht="15" hidden="false" customHeight="true" outlineLevel="0" collapsed="false">
      <c r="A11" s="12"/>
      <c r="B11" s="12"/>
      <c r="C11" s="12"/>
      <c r="D11" s="12"/>
      <c r="E11" s="12"/>
      <c r="F11" s="12"/>
      <c r="G11" s="12"/>
    </row>
    <row r="12" customFormat="false" ht="15" hidden="false" customHeight="true" outlineLevel="0" collapsed="false">
      <c r="A12" s="12"/>
      <c r="B12" s="12"/>
      <c r="C12" s="12"/>
      <c r="D12" s="12"/>
      <c r="E12" s="12"/>
      <c r="F12" s="12"/>
      <c r="G12" s="12"/>
    </row>
    <row r="13" customFormat="false" ht="15" hidden="false" customHeight="true" outlineLevel="0" collapsed="false">
      <c r="A13" s="12"/>
      <c r="B13" s="12"/>
      <c r="C13" s="12"/>
      <c r="D13" s="12"/>
      <c r="E13" s="12"/>
      <c r="F13" s="12"/>
      <c r="G13" s="12"/>
    </row>
    <row r="14" customFormat="false" ht="15" hidden="false" customHeight="true" outlineLevel="0" collapsed="false">
      <c r="A14" s="12"/>
      <c r="B14" s="12"/>
      <c r="C14" s="12"/>
      <c r="D14" s="12"/>
      <c r="E14" s="12"/>
      <c r="F14" s="12"/>
      <c r="G14" s="12"/>
    </row>
    <row r="15" customFormat="false" ht="15" hidden="false" customHeight="true" outlineLevel="0" collapsed="false">
      <c r="A15" s="12"/>
      <c r="B15" s="12"/>
      <c r="C15" s="12"/>
      <c r="D15" s="12"/>
      <c r="E15" s="12"/>
      <c r="F15" s="12"/>
      <c r="G15" s="12"/>
    </row>
    <row r="16" customFormat="false" ht="15" hidden="false" customHeight="true" outlineLevel="0" collapsed="false">
      <c r="A16" s="12"/>
      <c r="B16" s="12"/>
      <c r="C16" s="12"/>
      <c r="D16" s="12"/>
      <c r="E16" s="12"/>
      <c r="F16" s="12"/>
      <c r="G16" s="12"/>
    </row>
    <row r="17" customFormat="false" ht="15" hidden="false" customHeight="true" outlineLevel="0" collapsed="false">
      <c r="A17" s="12"/>
      <c r="B17" s="12"/>
      <c r="C17" s="12"/>
      <c r="D17" s="12"/>
      <c r="E17" s="12"/>
      <c r="F17" s="12"/>
      <c r="G17" s="12"/>
    </row>
    <row r="18" customFormat="false" ht="15" hidden="false" customHeight="true" outlineLevel="0" collapsed="false">
      <c r="A18" s="12"/>
      <c r="B18" s="12"/>
      <c r="C18" s="12"/>
      <c r="D18" s="12"/>
      <c r="E18" s="12"/>
      <c r="F18" s="12"/>
      <c r="G18" s="12"/>
    </row>
    <row r="19" customFormat="false" ht="15" hidden="false" customHeight="true" outlineLevel="0" collapsed="false">
      <c r="A19" s="12"/>
      <c r="B19" s="12"/>
      <c r="C19" s="12"/>
      <c r="D19" s="12"/>
      <c r="E19" s="12"/>
      <c r="F19" s="12"/>
      <c r="G19" s="12"/>
    </row>
    <row r="20" customFormat="false" ht="15" hidden="false" customHeight="true" outlineLevel="0" collapsed="false">
      <c r="A20" s="12"/>
      <c r="B20" s="12"/>
      <c r="C20" s="12"/>
      <c r="D20" s="12"/>
      <c r="E20" s="12"/>
      <c r="F20" s="12"/>
      <c r="G20" s="12"/>
    </row>
    <row r="21" customFormat="false" ht="15" hidden="false" customHeight="true" outlineLevel="0" collapsed="false">
      <c r="A21" s="12"/>
      <c r="B21" s="12"/>
      <c r="C21" s="12"/>
      <c r="D21" s="12"/>
      <c r="E21" s="12"/>
      <c r="F21" s="12"/>
      <c r="G21" s="12"/>
    </row>
    <row r="22" customFormat="false" ht="15" hidden="false" customHeight="true" outlineLevel="0" collapsed="false">
      <c r="A22" s="12"/>
      <c r="B22" s="12"/>
      <c r="C22" s="12"/>
      <c r="D22" s="12"/>
      <c r="E22" s="12"/>
      <c r="F22" s="12"/>
      <c r="G22" s="12"/>
    </row>
    <row r="23" customFormat="false" ht="15" hidden="false" customHeight="true" outlineLevel="0" collapsed="false">
      <c r="A23" s="12"/>
      <c r="B23" s="12"/>
      <c r="C23" s="12"/>
      <c r="D23" s="12"/>
      <c r="E23" s="12"/>
      <c r="F23" s="12"/>
      <c r="G23" s="12"/>
    </row>
    <row r="24" customFormat="false" ht="15" hidden="false" customHeight="true" outlineLevel="0" collapsed="false">
      <c r="A24" s="12"/>
      <c r="B24" s="12"/>
      <c r="C24" s="12"/>
      <c r="D24" s="12"/>
      <c r="E24" s="12"/>
      <c r="F24" s="12"/>
      <c r="G24" s="12"/>
    </row>
    <row r="25" customFormat="false" ht="15" hidden="false" customHeight="true" outlineLevel="0" collapsed="false">
      <c r="A25" s="12"/>
      <c r="B25" s="12"/>
      <c r="C25" s="12"/>
      <c r="D25" s="12"/>
      <c r="E25" s="12"/>
      <c r="F25" s="12"/>
      <c r="G25" s="12"/>
    </row>
    <row r="26" customFormat="false" ht="15" hidden="false" customHeight="true" outlineLevel="0" collapsed="false">
      <c r="A26" s="12"/>
      <c r="B26" s="12"/>
      <c r="C26" s="12"/>
      <c r="D26" s="12"/>
      <c r="E26" s="12"/>
      <c r="F26" s="12"/>
      <c r="G26" s="12"/>
    </row>
    <row r="27" customFormat="false" ht="15" hidden="false" customHeight="true" outlineLevel="0" collapsed="false">
      <c r="A27" s="12"/>
      <c r="B27" s="12"/>
      <c r="C27" s="12"/>
      <c r="D27" s="12"/>
      <c r="E27" s="12"/>
      <c r="F27" s="12"/>
      <c r="G27" s="12"/>
    </row>
    <row r="28" customFormat="false" ht="15" hidden="false" customHeight="true" outlineLevel="0" collapsed="false">
      <c r="A28" s="12"/>
      <c r="B28" s="12"/>
      <c r="C28" s="12"/>
      <c r="D28" s="12"/>
      <c r="E28" s="12"/>
      <c r="F28" s="12"/>
      <c r="G28" s="12"/>
    </row>
    <row r="29" customFormat="false" ht="15" hidden="false" customHeight="true" outlineLevel="0" collapsed="false">
      <c r="A29" s="12"/>
      <c r="B29" s="12"/>
      <c r="C29" s="12"/>
      <c r="D29" s="12"/>
      <c r="E29" s="12"/>
      <c r="F29" s="12"/>
      <c r="G29" s="12"/>
    </row>
    <row r="30" customFormat="false" ht="15" hidden="false" customHeight="true" outlineLevel="0" collapsed="false">
      <c r="A30" s="12"/>
      <c r="B30" s="12"/>
      <c r="C30" s="12"/>
      <c r="D30" s="12"/>
      <c r="E30" s="12"/>
      <c r="F30" s="12"/>
      <c r="G30" s="12"/>
    </row>
    <row r="31" customFormat="false" ht="15" hidden="false" customHeight="true" outlineLevel="0" collapsed="false">
      <c r="A31" s="12"/>
      <c r="B31" s="12"/>
      <c r="C31" s="12"/>
      <c r="D31" s="12"/>
      <c r="E31" s="12"/>
      <c r="F31" s="12"/>
      <c r="G31" s="12"/>
    </row>
    <row r="32" customFormat="false" ht="15" hidden="false" customHeight="true" outlineLevel="0" collapsed="false">
      <c r="A32" s="12"/>
      <c r="B32" s="12"/>
      <c r="C32" s="12"/>
      <c r="D32" s="12"/>
      <c r="E32" s="12"/>
      <c r="F32" s="12"/>
      <c r="G32" s="12"/>
    </row>
    <row r="33" customFormat="false" ht="15" hidden="false" customHeight="true" outlineLevel="0" collapsed="false">
      <c r="A33" s="12"/>
      <c r="B33" s="12"/>
      <c r="C33" s="12"/>
      <c r="D33" s="12"/>
      <c r="E33" s="12"/>
      <c r="F33" s="12"/>
      <c r="G33" s="12"/>
    </row>
    <row r="34" customFormat="false" ht="15" hidden="false" customHeight="true" outlineLevel="0" collapsed="false">
      <c r="A34" s="12"/>
      <c r="B34" s="12"/>
      <c r="C34" s="12"/>
      <c r="D34" s="12"/>
      <c r="E34" s="12"/>
      <c r="F34" s="12"/>
      <c r="G34" s="12"/>
    </row>
    <row r="35" customFormat="false" ht="15" hidden="false" customHeight="true" outlineLevel="0" collapsed="false">
      <c r="A35" s="12"/>
      <c r="B35" s="12"/>
      <c r="C35" s="12"/>
      <c r="D35" s="12"/>
      <c r="E35" s="12"/>
      <c r="F35" s="12"/>
      <c r="G35" s="12"/>
    </row>
    <row r="36" customFormat="false" ht="15" hidden="false" customHeight="true" outlineLevel="0" collapsed="false">
      <c r="A36" s="12"/>
      <c r="B36" s="12"/>
      <c r="C36" s="12"/>
      <c r="D36" s="12"/>
      <c r="E36" s="12"/>
      <c r="F36" s="12"/>
      <c r="G36" s="12"/>
    </row>
    <row r="37" customFormat="false" ht="15" hidden="false" customHeight="true" outlineLevel="0" collapsed="false">
      <c r="A37" s="12"/>
      <c r="B37" s="12"/>
      <c r="C37" s="12"/>
      <c r="D37" s="12"/>
      <c r="E37" s="12"/>
      <c r="F37" s="12"/>
      <c r="G37" s="12"/>
    </row>
    <row r="38" customFormat="false" ht="15" hidden="false" customHeight="true" outlineLevel="0" collapsed="false">
      <c r="A38" s="12"/>
      <c r="B38" s="12"/>
      <c r="C38" s="12"/>
      <c r="D38" s="12"/>
      <c r="E38" s="12"/>
      <c r="F38" s="12"/>
      <c r="G38" s="12"/>
    </row>
    <row r="39" customFormat="false" ht="15" hidden="false" customHeight="true" outlineLevel="0" collapsed="false">
      <c r="A39" s="12"/>
      <c r="B39" s="12"/>
      <c r="C39" s="12"/>
      <c r="D39" s="12"/>
      <c r="E39" s="12"/>
      <c r="F39" s="12"/>
      <c r="G39" s="12"/>
    </row>
    <row r="40" customFormat="false" ht="15" hidden="false" customHeight="true" outlineLevel="0" collapsed="false">
      <c r="A40" s="12"/>
      <c r="B40" s="12"/>
      <c r="C40" s="12"/>
      <c r="D40" s="12"/>
      <c r="E40" s="12"/>
      <c r="F40" s="12"/>
      <c r="G40" s="12"/>
    </row>
    <row r="41" customFormat="false" ht="15" hidden="false" customHeight="true" outlineLevel="0" collapsed="false">
      <c r="A41" s="12"/>
      <c r="B41" s="12"/>
      <c r="C41" s="12"/>
      <c r="D41" s="12"/>
      <c r="E41" s="12"/>
      <c r="F41" s="12"/>
      <c r="G41" s="12"/>
    </row>
    <row r="42" customFormat="false" ht="15" hidden="false" customHeight="true" outlineLevel="0" collapsed="false">
      <c r="A42" s="12"/>
      <c r="B42" s="12"/>
      <c r="C42" s="12"/>
      <c r="D42" s="12"/>
      <c r="E42" s="12"/>
      <c r="F42" s="12"/>
      <c r="G42" s="12"/>
    </row>
    <row r="43" customFormat="false" ht="15" hidden="false" customHeight="true" outlineLevel="0" collapsed="false">
      <c r="A43" s="12"/>
      <c r="B43" s="12"/>
      <c r="C43" s="12"/>
      <c r="D43" s="12"/>
      <c r="E43" s="12"/>
      <c r="F43" s="12"/>
      <c r="G43" s="12"/>
    </row>
    <row r="44" customFormat="false" ht="15" hidden="false" customHeight="true" outlineLevel="0" collapsed="false">
      <c r="A44" s="12"/>
      <c r="B44" s="12"/>
      <c r="C44" s="12"/>
      <c r="D44" s="12"/>
      <c r="E44" s="12"/>
      <c r="F44" s="12"/>
      <c r="G44" s="12"/>
    </row>
    <row r="45" customFormat="false" ht="15" hidden="false" customHeight="true" outlineLevel="0" collapsed="false">
      <c r="A45" s="12"/>
      <c r="B45" s="12"/>
      <c r="C45" s="12"/>
      <c r="D45" s="12"/>
      <c r="E45" s="12"/>
      <c r="F45" s="12"/>
      <c r="G45" s="12"/>
    </row>
    <row r="46" customFormat="false" ht="15" hidden="false" customHeight="true" outlineLevel="0" collapsed="false">
      <c r="A46" s="12"/>
      <c r="B46" s="12"/>
      <c r="C46" s="12"/>
      <c r="D46" s="12"/>
      <c r="E46" s="12"/>
      <c r="F46" s="12"/>
      <c r="G46" s="12"/>
    </row>
    <row r="47" customFormat="false" ht="15" hidden="false" customHeight="true" outlineLevel="0" collapsed="false">
      <c r="A47" s="12"/>
      <c r="B47" s="12"/>
      <c r="C47" s="12"/>
      <c r="D47" s="12"/>
      <c r="E47" s="12"/>
      <c r="F47" s="12"/>
      <c r="G47" s="12"/>
    </row>
    <row r="48" customFormat="false" ht="15" hidden="false" customHeight="true" outlineLevel="0" collapsed="false">
      <c r="A48" s="12"/>
      <c r="B48" s="12"/>
      <c r="C48" s="12"/>
      <c r="D48" s="12"/>
      <c r="E48" s="12"/>
      <c r="F48" s="12"/>
      <c r="G48" s="12"/>
    </row>
    <row r="49" customFormat="false" ht="15" hidden="false" customHeight="true" outlineLevel="0" collapsed="false">
      <c r="A49" s="12"/>
      <c r="B49" s="12"/>
      <c r="C49" s="12"/>
      <c r="D49" s="12"/>
      <c r="E49" s="12"/>
      <c r="F49" s="12"/>
      <c r="G49" s="12"/>
    </row>
    <row r="50" customFormat="false" ht="15" hidden="false" customHeight="true" outlineLevel="0" collapsed="false">
      <c r="A50" s="12"/>
      <c r="B50" s="12"/>
      <c r="C50" s="12"/>
      <c r="D50" s="12"/>
      <c r="E50" s="12"/>
      <c r="F50" s="12"/>
      <c r="G50" s="12"/>
    </row>
    <row r="51" customFormat="false" ht="15" hidden="false" customHeight="true" outlineLevel="0" collapsed="false">
      <c r="A51" s="12"/>
      <c r="B51" s="12"/>
      <c r="C51" s="12"/>
      <c r="D51" s="12"/>
      <c r="E51" s="12"/>
      <c r="F51" s="12"/>
      <c r="G51" s="12"/>
    </row>
    <row r="52" customFormat="false" ht="15" hidden="false" customHeight="true" outlineLevel="0" collapsed="false">
      <c r="A52" s="12"/>
      <c r="B52" s="12"/>
      <c r="C52" s="12"/>
      <c r="D52" s="12"/>
      <c r="E52" s="12"/>
      <c r="F52" s="12"/>
      <c r="G52" s="12"/>
    </row>
    <row r="53" customFormat="false" ht="15" hidden="false" customHeight="true" outlineLevel="0" collapsed="false">
      <c r="A53" s="12"/>
      <c r="B53" s="12"/>
      <c r="C53" s="12"/>
      <c r="D53" s="12"/>
      <c r="E53" s="12"/>
      <c r="F53" s="12"/>
      <c r="G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</row>
    <row r="56" customFormat="false" ht="15" hidden="false" customHeight="true" outlineLevel="0" collapsed="false">
      <c r="A56" s="12"/>
      <c r="B56" s="12"/>
      <c r="C56" s="12"/>
      <c r="D56" s="12"/>
      <c r="E56" s="12"/>
      <c r="F56" s="12"/>
      <c r="G56" s="12"/>
    </row>
    <row r="57" customFormat="false" ht="15" hidden="false" customHeight="true" outlineLevel="0" collapsed="false">
      <c r="A57" s="12"/>
      <c r="B57" s="12"/>
      <c r="C57" s="12"/>
      <c r="D57" s="12"/>
      <c r="E57" s="12"/>
      <c r="F57" s="12"/>
      <c r="G57" s="12"/>
    </row>
    <row r="58" customFormat="false" ht="15" hidden="false" customHeight="true" outlineLevel="0" collapsed="false">
      <c r="A58" s="12"/>
      <c r="B58" s="12"/>
      <c r="C58" s="12"/>
      <c r="D58" s="12"/>
      <c r="E58" s="12"/>
      <c r="F58" s="12"/>
      <c r="G58" s="12"/>
    </row>
    <row r="59" customFormat="false" ht="15" hidden="false" customHeight="true" outlineLevel="0" collapsed="false">
      <c r="A59" s="12"/>
      <c r="B59" s="12"/>
      <c r="C59" s="12"/>
      <c r="D59" s="12"/>
      <c r="E59" s="12"/>
      <c r="F59" s="12"/>
      <c r="G59" s="12"/>
    </row>
    <row r="60" customFormat="false" ht="15" hidden="false" customHeight="true" outlineLevel="0" collapsed="false">
      <c r="A60" s="12"/>
      <c r="B60" s="12"/>
      <c r="C60" s="12"/>
      <c r="D60" s="12"/>
      <c r="E60" s="12"/>
      <c r="F60" s="12"/>
      <c r="G60" s="12"/>
    </row>
    <row r="61" customFormat="false" ht="15" hidden="false" customHeight="true" outlineLevel="0" collapsed="false">
      <c r="A61" s="12"/>
      <c r="B61" s="12"/>
      <c r="C61" s="12"/>
      <c r="D61" s="12"/>
      <c r="E61" s="12"/>
      <c r="F61" s="12"/>
      <c r="G61" s="12"/>
    </row>
    <row r="62" customFormat="false" ht="15" hidden="false" customHeight="true" outlineLevel="0" collapsed="false">
      <c r="A62" s="12"/>
      <c r="B62" s="12"/>
      <c r="C62" s="12"/>
      <c r="D62" s="12"/>
      <c r="E62" s="12"/>
      <c r="F62" s="12"/>
      <c r="G62" s="12"/>
    </row>
    <row r="63" customFormat="false" ht="15" hidden="false" customHeight="true" outlineLevel="0" collapsed="false">
      <c r="A63" s="12"/>
      <c r="B63" s="12"/>
      <c r="C63" s="12"/>
      <c r="D63" s="12"/>
      <c r="E63" s="12"/>
      <c r="F63" s="12"/>
      <c r="G63" s="12"/>
    </row>
    <row r="64" customFormat="false" ht="15" hidden="false" customHeight="true" outlineLevel="0" collapsed="false">
      <c r="A64" s="12"/>
      <c r="B64" s="12"/>
      <c r="C64" s="12"/>
      <c r="D64" s="12"/>
      <c r="E64" s="12"/>
      <c r="F64" s="12"/>
      <c r="G64" s="12"/>
    </row>
    <row r="65" customFormat="false" ht="15" hidden="false" customHeight="true" outlineLevel="0" collapsed="false">
      <c r="A65" s="12"/>
      <c r="B65" s="12"/>
      <c r="C65" s="12"/>
      <c r="D65" s="12"/>
      <c r="E65" s="12"/>
      <c r="F65" s="12"/>
      <c r="G65" s="12"/>
    </row>
    <row r="66" customFormat="false" ht="15" hidden="false" customHeight="true" outlineLevel="0" collapsed="false">
      <c r="A66" s="12"/>
      <c r="B66" s="12"/>
      <c r="C66" s="12"/>
      <c r="D66" s="12"/>
      <c r="E66" s="12"/>
      <c r="F66" s="12"/>
      <c r="G66" s="12"/>
    </row>
    <row r="67" customFormat="false" ht="15" hidden="false" customHeight="true" outlineLevel="0" collapsed="false">
      <c r="A67" s="12"/>
      <c r="B67" s="12"/>
      <c r="C67" s="12"/>
      <c r="D67" s="12"/>
      <c r="E67" s="12"/>
      <c r="F67" s="12"/>
      <c r="G67" s="12"/>
    </row>
    <row r="68" customFormat="false" ht="15" hidden="false" customHeight="true" outlineLevel="0" collapsed="false">
      <c r="A68" s="12"/>
      <c r="B68" s="12"/>
      <c r="C68" s="12"/>
      <c r="D68" s="12"/>
      <c r="E68" s="12"/>
      <c r="F68" s="12"/>
      <c r="G68" s="12"/>
    </row>
    <row r="69" customFormat="false" ht="15" hidden="false" customHeight="true" outlineLevel="0" collapsed="false">
      <c r="A69" s="12"/>
      <c r="B69" s="12"/>
      <c r="C69" s="12"/>
      <c r="D69" s="12"/>
      <c r="E69" s="12"/>
      <c r="F69" s="12"/>
      <c r="G69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6" min="5" style="1" width="10"/>
    <col collapsed="false" customWidth="true" hidden="false" outlineLevel="0" max="8" min="7" style="1" width="14"/>
    <col collapsed="false" customWidth="true" hidden="false" outlineLevel="0" max="9" min="9" style="1" width="16"/>
    <col collapsed="false" customWidth="true" hidden="false" outlineLevel="0" max="10" min="10" style="1" width="20"/>
    <col collapsed="false" customWidth="true" hidden="false" outlineLevel="0" max="11" min="11" style="1" width="8"/>
    <col collapsed="false" customWidth="true" hidden="false" outlineLevel="0" max="14" min="12" style="1" width="10"/>
    <col collapsed="false" customWidth="true" hidden="false" outlineLevel="0" max="16" min="15" style="1" width="12"/>
    <col collapsed="false" customWidth="true" hidden="false" outlineLevel="0" max="17" min="17" style="1" width="10"/>
    <col collapsed="false" customWidth="true" hidden="false" outlineLevel="0" max="18" min="18" style="1" width="8"/>
    <col collapsed="false" customWidth="true" hidden="false" outlineLevel="0" max="21" min="19" style="1" width="10"/>
  </cols>
  <sheetData>
    <row r="1" customFormat="false" ht="15.75" hidden="false" customHeight="true" outlineLevel="0" collapsed="false">
      <c r="A1" s="7" t="s">
        <v>42</v>
      </c>
    </row>
    <row r="2" customFormat="false" ht="15" hidden="false" customHeight="true" outlineLevel="0" collapsed="false">
      <c r="A2" s="13" t="s">
        <v>43</v>
      </c>
      <c r="B2" s="14" t="n">
        <v>90</v>
      </c>
      <c r="C2" s="8" t="s">
        <v>44</v>
      </c>
    </row>
    <row r="3" customFormat="false" ht="15" hidden="false" customHeight="true" outlineLevel="0" collapsed="false">
      <c r="A3" s="8" t="s">
        <v>45</v>
      </c>
    </row>
    <row r="4" customFormat="false" ht="30" hidden="false" customHeight="true" outlineLevel="0" collapsed="false">
      <c r="A4" s="15" t="s">
        <v>46</v>
      </c>
      <c r="B4" s="15" t="s">
        <v>47</v>
      </c>
      <c r="C4" s="15" t="s">
        <v>48</v>
      </c>
      <c r="D4" s="15" t="s">
        <v>49</v>
      </c>
      <c r="E4" s="15" t="s">
        <v>50</v>
      </c>
      <c r="F4" s="15" t="s">
        <v>51</v>
      </c>
      <c r="G4" s="15" t="s">
        <v>52</v>
      </c>
      <c r="H4" s="15" t="s">
        <v>53</v>
      </c>
      <c r="I4" s="15" t="s">
        <v>54</v>
      </c>
      <c r="J4" s="16" t="s">
        <v>55</v>
      </c>
      <c r="K4" s="16" t="s">
        <v>56</v>
      </c>
      <c r="L4" s="16" t="s">
        <v>57</v>
      </c>
      <c r="M4" s="16" t="s">
        <v>58</v>
      </c>
      <c r="N4" s="16" t="s">
        <v>59</v>
      </c>
      <c r="O4" s="16" t="s">
        <v>60</v>
      </c>
      <c r="P4" s="16" t="s">
        <v>61</v>
      </c>
      <c r="Q4" s="17" t="n">
        <f aca="false">$B$2-1</f>
        <v>89</v>
      </c>
      <c r="R4" s="16" t="s">
        <v>62</v>
      </c>
      <c r="S4" s="16" t="s">
        <v>63</v>
      </c>
      <c r="T4" s="16" t="s">
        <v>64</v>
      </c>
      <c r="U4" s="16" t="s">
        <v>65</v>
      </c>
    </row>
    <row r="5" customFormat="false" ht="15" hidden="false" customHeight="true" outlineLevel="0" collapsed="false">
      <c r="A5" s="18" t="n">
        <v>46238</v>
      </c>
      <c r="B5" s="19" t="s">
        <v>66</v>
      </c>
      <c r="C5" s="20" t="s">
        <v>67</v>
      </c>
      <c r="D5" s="19" t="s">
        <v>34</v>
      </c>
      <c r="E5" s="21" t="n">
        <v>1000</v>
      </c>
      <c r="F5" s="21" t="n">
        <v>2700</v>
      </c>
      <c r="G5" s="19"/>
      <c r="H5" s="19"/>
      <c r="I5" s="20"/>
      <c r="J5" s="22" t="str">
        <f aca="false">IF($D5="","",IFERROR(VLOOKUP($D5,商品マスタ!$A$5:$G$1000,2,FALSE()),"※商品マスタ未登録"))</f>
        <v>黄肌鮪プレートA</v>
      </c>
      <c r="K5" s="22" t="str">
        <f aca="false">IF($D5="","",IFERROR(VLOOKUP($D5,商品マスタ!$A$5:$G$1000,3,FALSE()),""))</f>
        <v>kg</v>
      </c>
      <c r="L5" s="22" t="n">
        <f aca="false">IF($D5="","",IF($H5&lt;&gt;"",$H5,IFERROR(VLOOKUP($D5,商品マスタ!$A$5:$G$1000,4,FALSE()),"")))</f>
        <v>30</v>
      </c>
      <c r="M5" s="22" t="n">
        <f aca="false">IF($D5="","",IFERROR(VLOOKUP($D5,商品マスタ!$A$5:$G$1000,5,FALSE()),0))</f>
        <v>1</v>
      </c>
      <c r="N5" s="22" t="n">
        <f aca="false">IF($D5="","",IFERROR(VLOOKUP($D5,商品マスタ!$A$5:$G$1000,6,FALSE()),0))</f>
        <v>1</v>
      </c>
      <c r="O5" s="22" t="n">
        <f aca="false">IF($D5="","",ROUND($E5*$F5,0))</f>
        <v>2700000</v>
      </c>
      <c r="P5" s="22" t="n">
        <f aca="false">IF($D5="","",$O5)</f>
        <v>2700000</v>
      </c>
      <c r="Q5" s="22" t="n">
        <f aca="false">IF($A5="","",IF($S5=1,$Q4+1,$Q4))</f>
        <v>90</v>
      </c>
      <c r="R5" s="22" t="n">
        <f aca="false">IF($A5="","",IF($Q5=$Q4,$R4+1,1))</f>
        <v>1</v>
      </c>
      <c r="S5" s="22" t="n">
        <f aca="false">IF($A5="","",IF(AND($A5=$A4,$B5=$B4),0,1))</f>
        <v>1</v>
      </c>
      <c r="T5" s="22" t="n">
        <f aca="false">IF($A5="","",IF($S5=1,COUNTIF($S$5:$S5,1),""))</f>
        <v>1</v>
      </c>
      <c r="U5" s="22" t="n">
        <f aca="false">IF($D5="","",IFERROR(VLOOKUP($D5,商品マスタ!$A$5:$G$1000,7,FALSE()),0))</f>
        <v>0</v>
      </c>
    </row>
    <row r="6" customFormat="false" ht="15" hidden="false" customHeight="true" outlineLevel="0" collapsed="false">
      <c r="A6" s="18" t="n">
        <v>46238</v>
      </c>
      <c r="B6" s="19" t="s">
        <v>66</v>
      </c>
      <c r="C6" s="20" t="s">
        <v>67</v>
      </c>
      <c r="D6" s="19" t="s">
        <v>36</v>
      </c>
      <c r="E6" s="21" t="n">
        <v>1000</v>
      </c>
      <c r="F6" s="21" t="n">
        <v>2450</v>
      </c>
      <c r="G6" s="19"/>
      <c r="H6" s="19"/>
      <c r="I6" s="20"/>
      <c r="J6" s="22" t="str">
        <f aca="false">IF($D6="","",IFERROR(VLOOKUP($D6,商品マスタ!$A$5:$G$1000,2,FALSE()),"※商品マスタ未登録"))</f>
        <v>黄肌鮪プレートB</v>
      </c>
      <c r="K6" s="22" t="str">
        <f aca="false">IF($D6="","",IFERROR(VLOOKUP($D6,商品マスタ!$A$5:$G$1000,3,FALSE()),""))</f>
        <v>kg</v>
      </c>
      <c r="L6" s="22" t="n">
        <f aca="false">IF($D6="","",IF($H6&lt;&gt;"",$H6,IFERROR(VLOOKUP($D6,商品マスタ!$A$5:$G$1000,4,FALSE()),"")))</f>
        <v>30</v>
      </c>
      <c r="M6" s="22" t="n">
        <f aca="false">IF($D6="","",IFERROR(VLOOKUP($D6,商品マスタ!$A$5:$G$1000,5,FALSE()),0))</f>
        <v>1</v>
      </c>
      <c r="N6" s="22" t="n">
        <f aca="false">IF($D6="","",IFERROR(VLOOKUP($D6,商品マスタ!$A$5:$G$1000,6,FALSE()),0))</f>
        <v>1</v>
      </c>
      <c r="O6" s="22" t="n">
        <f aca="false">IF($D6="","",ROUND($E6*$F6,0))</f>
        <v>2450000</v>
      </c>
      <c r="P6" s="22" t="n">
        <f aca="false">IF($D6="","",$O6)</f>
        <v>2450000</v>
      </c>
      <c r="Q6" s="22" t="n">
        <f aca="false">IF($A6="","",IF($S6=1,$Q5+1,$Q5))</f>
        <v>90</v>
      </c>
      <c r="R6" s="22" t="n">
        <f aca="false">IF($A6="","",IF($Q6=$Q5,$R5+1,1))</f>
        <v>2</v>
      </c>
      <c r="S6" s="22" t="n">
        <f aca="false">IF($A6="","",IF(AND($A6=$A5,$B6=$B5),0,1))</f>
        <v>0</v>
      </c>
      <c r="T6" s="22" t="str">
        <f aca="false">IF($A6="","",IF($S6=1,COUNTIF($S$5:$S6,1),""))</f>
        <v/>
      </c>
      <c r="U6" s="22" t="n">
        <f aca="false">IF($D6="","",IFERROR(VLOOKUP($D6,商品マスタ!$A$5:$G$1000,7,FALSE()),0))</f>
        <v>0</v>
      </c>
    </row>
    <row r="7" customFormat="false" ht="15" hidden="false" customHeight="true" outlineLevel="0" collapsed="false">
      <c r="A7" s="23"/>
      <c r="B7" s="14"/>
      <c r="C7" s="14"/>
      <c r="D7" s="14"/>
      <c r="E7" s="24"/>
      <c r="F7" s="24"/>
      <c r="G7" s="14"/>
      <c r="H7" s="14"/>
      <c r="I7" s="14"/>
      <c r="J7" s="22" t="str">
        <f aca="false">IF($D7="","",IFERROR(VLOOKUP($D7,商品マスタ!$A$5:$G$1000,2,FALSE()),"※商品マスタ未登録"))</f>
        <v/>
      </c>
      <c r="K7" s="22" t="str">
        <f aca="false">IF($D7="","",IFERROR(VLOOKUP($D7,商品マスタ!$A$5:$G$1000,3,FALSE()),""))</f>
        <v/>
      </c>
      <c r="L7" s="22" t="str">
        <f aca="false">IF($D7="","",IF($H7&lt;&gt;"",$H7,IFERROR(VLOOKUP($D7,商品マスタ!$A$5:$G$1000,4,FALSE()),"")))</f>
        <v/>
      </c>
      <c r="M7" s="22" t="str">
        <f aca="false">IF($D7="","",IFERROR(VLOOKUP($D7,商品マスタ!$A$5:$G$1000,5,FALSE()),0))</f>
        <v/>
      </c>
      <c r="N7" s="22" t="str">
        <f aca="false">IF($D7="","",IFERROR(VLOOKUP($D7,商品マスタ!$A$5:$G$1000,6,FALSE()),0))</f>
        <v/>
      </c>
      <c r="O7" s="22" t="str">
        <f aca="false">IF($D7="","",ROUND($E7*$F7,0))</f>
        <v/>
      </c>
      <c r="P7" s="22" t="str">
        <f aca="false">IF($D7="","",$O7)</f>
        <v/>
      </c>
      <c r="Q7" s="22" t="str">
        <f aca="false">IF($A7="","",IF($S7=1,$Q6+1,$Q6))</f>
        <v/>
      </c>
      <c r="R7" s="22" t="str">
        <f aca="false">IF($A7="","",IF($Q7=$Q6,$R6+1,1))</f>
        <v/>
      </c>
      <c r="S7" s="22" t="str">
        <f aca="false">IF($A7="","",IF(AND($A7=$A6,$B7=$B6),0,1))</f>
        <v/>
      </c>
      <c r="T7" s="22" t="str">
        <f aca="false">IF($A7="","",IF($S7=1,COUNTIF($S$5:$S7,1),""))</f>
        <v/>
      </c>
      <c r="U7" s="22" t="str">
        <f aca="false">IF($D7="","",IFERROR(VLOOKUP($D7,商品マスタ!$A$5:$G$1000,7,FALSE()),0))</f>
        <v/>
      </c>
    </row>
    <row r="8" customFormat="false" ht="15" hidden="false" customHeight="true" outlineLevel="0" collapsed="false">
      <c r="A8" s="23"/>
      <c r="B8" s="14"/>
      <c r="C8" s="14"/>
      <c r="D8" s="14"/>
      <c r="E8" s="24"/>
      <c r="F8" s="24"/>
      <c r="G8" s="14"/>
      <c r="H8" s="14"/>
      <c r="I8" s="14"/>
      <c r="J8" s="22" t="str">
        <f aca="false">IF($D8="","",IFERROR(VLOOKUP($D8,商品マスタ!$A$5:$G$1000,2,FALSE()),"※商品マスタ未登録"))</f>
        <v/>
      </c>
      <c r="K8" s="22" t="str">
        <f aca="false">IF($D8="","",IFERROR(VLOOKUP($D8,商品マスタ!$A$5:$G$1000,3,FALSE()),""))</f>
        <v/>
      </c>
      <c r="L8" s="22" t="str">
        <f aca="false">IF($D8="","",IF($H8&lt;&gt;"",$H8,IFERROR(VLOOKUP($D8,商品マスタ!$A$5:$G$1000,4,FALSE()),"")))</f>
        <v/>
      </c>
      <c r="M8" s="22" t="str">
        <f aca="false">IF($D8="","",IFERROR(VLOOKUP($D8,商品マスタ!$A$5:$G$1000,5,FALSE()),0))</f>
        <v/>
      </c>
      <c r="N8" s="22" t="str">
        <f aca="false">IF($D8="","",IFERROR(VLOOKUP($D8,商品マスタ!$A$5:$G$1000,6,FALSE()),0))</f>
        <v/>
      </c>
      <c r="O8" s="22" t="str">
        <f aca="false">IF($D8="","",ROUND($E8*$F8,0))</f>
        <v/>
      </c>
      <c r="P8" s="22" t="str">
        <f aca="false">IF($D8="","",$O8)</f>
        <v/>
      </c>
      <c r="Q8" s="22" t="str">
        <f aca="false">IF($A8="","",IF($S8=1,$Q7+1,$Q7))</f>
        <v/>
      </c>
      <c r="R8" s="22" t="str">
        <f aca="false">IF($A8="","",IF($Q8=$Q7,$R7+1,1))</f>
        <v/>
      </c>
      <c r="S8" s="22" t="str">
        <f aca="false">IF($A8="","",IF(AND($A8=$A7,$B8=$B7),0,1))</f>
        <v/>
      </c>
      <c r="T8" s="22" t="str">
        <f aca="false">IF($A8="","",IF($S8=1,COUNTIF($S$5:$S8,1),""))</f>
        <v/>
      </c>
      <c r="U8" s="22" t="str">
        <f aca="false">IF($D8="","",IFERROR(VLOOKUP($D8,商品マスタ!$A$5:$G$1000,7,FALSE()),0))</f>
        <v/>
      </c>
    </row>
    <row r="9" customFormat="false" ht="15" hidden="false" customHeight="true" outlineLevel="0" collapsed="false">
      <c r="A9" s="23"/>
      <c r="B9" s="14"/>
      <c r="C9" s="14"/>
      <c r="D9" s="14"/>
      <c r="E9" s="24"/>
      <c r="F9" s="24"/>
      <c r="G9" s="14"/>
      <c r="H9" s="14"/>
      <c r="I9" s="14"/>
      <c r="J9" s="22" t="str">
        <f aca="false">IF($D9="","",IFERROR(VLOOKUP($D9,商品マスタ!$A$5:$G$1000,2,FALSE()),"※商品マスタ未登録"))</f>
        <v/>
      </c>
      <c r="K9" s="22" t="str">
        <f aca="false">IF($D9="","",IFERROR(VLOOKUP($D9,商品マスタ!$A$5:$G$1000,3,FALSE()),""))</f>
        <v/>
      </c>
      <c r="L9" s="22" t="str">
        <f aca="false">IF($D9="","",IF($H9&lt;&gt;"",$H9,IFERROR(VLOOKUP($D9,商品マスタ!$A$5:$G$1000,4,FALSE()),"")))</f>
        <v/>
      </c>
      <c r="M9" s="22" t="str">
        <f aca="false">IF($D9="","",IFERROR(VLOOKUP($D9,商品マスタ!$A$5:$G$1000,5,FALSE()),0))</f>
        <v/>
      </c>
      <c r="N9" s="22" t="str">
        <f aca="false">IF($D9="","",IFERROR(VLOOKUP($D9,商品マスタ!$A$5:$G$1000,6,FALSE()),0))</f>
        <v/>
      </c>
      <c r="O9" s="22" t="str">
        <f aca="false">IF($D9="","",ROUND($E9*$F9,0))</f>
        <v/>
      </c>
      <c r="P9" s="22" t="str">
        <f aca="false">IF($D9="","",$O9)</f>
        <v/>
      </c>
      <c r="Q9" s="22" t="str">
        <f aca="false">IF($A9="","",IF($S9=1,$Q8+1,$Q8))</f>
        <v/>
      </c>
      <c r="R9" s="22" t="str">
        <f aca="false">IF($A9="","",IF($Q9=$Q8,$R8+1,1))</f>
        <v/>
      </c>
      <c r="S9" s="22" t="str">
        <f aca="false">IF($A9="","",IF(AND($A9=$A8,$B9=$B8),0,1))</f>
        <v/>
      </c>
      <c r="T9" s="22" t="str">
        <f aca="false">IF($A9="","",IF($S9=1,COUNTIF($S$5:$S9,1),""))</f>
        <v/>
      </c>
      <c r="U9" s="22" t="str">
        <f aca="false">IF($D9="","",IFERROR(VLOOKUP($D9,商品マスタ!$A$5:$G$1000,7,FALSE()),0))</f>
        <v/>
      </c>
    </row>
    <row r="10" customFormat="false" ht="15" hidden="false" customHeight="true" outlineLevel="0" collapsed="false">
      <c r="A10" s="23"/>
      <c r="B10" s="14"/>
      <c r="C10" s="14"/>
      <c r="D10" s="14"/>
      <c r="E10" s="24"/>
      <c r="F10" s="24"/>
      <c r="G10" s="14"/>
      <c r="H10" s="14"/>
      <c r="I10" s="14"/>
      <c r="J10" s="22" t="str">
        <f aca="false">IF($D10="","",IFERROR(VLOOKUP($D10,商品マスタ!$A$5:$G$1000,2,FALSE()),"※商品マスタ未登録"))</f>
        <v/>
      </c>
      <c r="K10" s="22" t="str">
        <f aca="false">IF($D10="","",IFERROR(VLOOKUP($D10,商品マスタ!$A$5:$G$1000,3,FALSE()),""))</f>
        <v/>
      </c>
      <c r="L10" s="22" t="str">
        <f aca="false">IF($D10="","",IF($H10&lt;&gt;"",$H10,IFERROR(VLOOKUP($D10,商品マスタ!$A$5:$G$1000,4,FALSE()),"")))</f>
        <v/>
      </c>
      <c r="M10" s="22" t="str">
        <f aca="false">IF($D10="","",IFERROR(VLOOKUP($D10,商品マスタ!$A$5:$G$1000,5,FALSE()),0))</f>
        <v/>
      </c>
      <c r="N10" s="22" t="str">
        <f aca="false">IF($D10="","",IFERROR(VLOOKUP($D10,商品マスタ!$A$5:$G$1000,6,FALSE()),0))</f>
        <v/>
      </c>
      <c r="O10" s="22" t="str">
        <f aca="false">IF($D10="","",ROUND($E10*$F10,0))</f>
        <v/>
      </c>
      <c r="P10" s="22" t="str">
        <f aca="false">IF($D10="","",$O10)</f>
        <v/>
      </c>
      <c r="Q10" s="22" t="str">
        <f aca="false">IF($A10="","",IF($S10=1,$Q9+1,$Q9))</f>
        <v/>
      </c>
      <c r="R10" s="22" t="str">
        <f aca="false">IF($A10="","",IF($Q10=$Q9,$R9+1,1))</f>
        <v/>
      </c>
      <c r="S10" s="22" t="str">
        <f aca="false">IF($A10="","",IF(AND($A10=$A9,$B10=$B9),0,1))</f>
        <v/>
      </c>
      <c r="T10" s="22" t="str">
        <f aca="false">IF($A10="","",IF($S10=1,COUNTIF($S$5:$S10,1),""))</f>
        <v/>
      </c>
      <c r="U10" s="22" t="str">
        <f aca="false">IF($D10="","",IFERROR(VLOOKUP($D10,商品マスタ!$A$5:$G$1000,7,FALSE()),0))</f>
        <v/>
      </c>
    </row>
    <row r="11" customFormat="false" ht="15" hidden="false" customHeight="true" outlineLevel="0" collapsed="false">
      <c r="A11" s="23"/>
      <c r="B11" s="14"/>
      <c r="C11" s="14"/>
      <c r="D11" s="14"/>
      <c r="E11" s="24"/>
      <c r="F11" s="24"/>
      <c r="G11" s="14"/>
      <c r="H11" s="14"/>
      <c r="I11" s="14"/>
      <c r="J11" s="22" t="str">
        <f aca="false">IF($D11="","",IFERROR(VLOOKUP($D11,商品マスタ!$A$5:$G$1000,2,FALSE()),"※商品マスタ未登録"))</f>
        <v/>
      </c>
      <c r="K11" s="22" t="str">
        <f aca="false">IF($D11="","",IFERROR(VLOOKUP($D11,商品マスタ!$A$5:$G$1000,3,FALSE()),""))</f>
        <v/>
      </c>
      <c r="L11" s="22" t="str">
        <f aca="false">IF($D11="","",IF($H11&lt;&gt;"",$H11,IFERROR(VLOOKUP($D11,商品マスタ!$A$5:$G$1000,4,FALSE()),"")))</f>
        <v/>
      </c>
      <c r="M11" s="22" t="str">
        <f aca="false">IF($D11="","",IFERROR(VLOOKUP($D11,商品マスタ!$A$5:$G$1000,5,FALSE()),0))</f>
        <v/>
      </c>
      <c r="N11" s="22" t="str">
        <f aca="false">IF($D11="","",IFERROR(VLOOKUP($D11,商品マスタ!$A$5:$G$1000,6,FALSE()),0))</f>
        <v/>
      </c>
      <c r="O11" s="22" t="str">
        <f aca="false">IF($D11="","",ROUND($E11*$F11,0))</f>
        <v/>
      </c>
      <c r="P11" s="22" t="str">
        <f aca="false">IF($D11="","",$O11)</f>
        <v/>
      </c>
      <c r="Q11" s="22" t="str">
        <f aca="false">IF($A11="","",IF($S11=1,$Q10+1,$Q10))</f>
        <v/>
      </c>
      <c r="R11" s="22" t="str">
        <f aca="false">IF($A11="","",IF($Q11=$Q10,$R10+1,1))</f>
        <v/>
      </c>
      <c r="S11" s="22" t="str">
        <f aca="false">IF($A11="","",IF(AND($A11=$A10,$B11=$B10),0,1))</f>
        <v/>
      </c>
      <c r="T11" s="22" t="str">
        <f aca="false">IF($A11="","",IF($S11=1,COUNTIF($S$5:$S11,1),""))</f>
        <v/>
      </c>
      <c r="U11" s="22" t="str">
        <f aca="false">IF($D11="","",IFERROR(VLOOKUP($D11,商品マスタ!$A$5:$G$1000,7,FALSE()),0))</f>
        <v/>
      </c>
    </row>
    <row r="12" customFormat="false" ht="15" hidden="false" customHeight="true" outlineLevel="0" collapsed="false">
      <c r="A12" s="23"/>
      <c r="B12" s="14"/>
      <c r="C12" s="14"/>
      <c r="D12" s="14"/>
      <c r="E12" s="24"/>
      <c r="F12" s="24"/>
      <c r="G12" s="14"/>
      <c r="H12" s="14"/>
      <c r="I12" s="14"/>
      <c r="J12" s="22" t="str">
        <f aca="false">IF($D12="","",IFERROR(VLOOKUP($D12,商品マスタ!$A$5:$G$1000,2,FALSE()),"※商品マスタ未登録"))</f>
        <v/>
      </c>
      <c r="K12" s="22" t="str">
        <f aca="false">IF($D12="","",IFERROR(VLOOKUP($D12,商品マスタ!$A$5:$G$1000,3,FALSE()),""))</f>
        <v/>
      </c>
      <c r="L12" s="22" t="str">
        <f aca="false">IF($D12="","",IF($H12&lt;&gt;"",$H12,IFERROR(VLOOKUP($D12,商品マスタ!$A$5:$G$1000,4,FALSE()),"")))</f>
        <v/>
      </c>
      <c r="M12" s="22" t="str">
        <f aca="false">IF($D12="","",IFERROR(VLOOKUP($D12,商品マスタ!$A$5:$G$1000,5,FALSE()),0))</f>
        <v/>
      </c>
      <c r="N12" s="22" t="str">
        <f aca="false">IF($D12="","",IFERROR(VLOOKUP($D12,商品マスタ!$A$5:$G$1000,6,FALSE()),0))</f>
        <v/>
      </c>
      <c r="O12" s="22" t="str">
        <f aca="false">IF($D12="","",ROUND($E12*$F12,0))</f>
        <v/>
      </c>
      <c r="P12" s="22" t="str">
        <f aca="false">IF($D12="","",$O12)</f>
        <v/>
      </c>
      <c r="Q12" s="22" t="str">
        <f aca="false">IF($A12="","",IF($S12=1,$Q11+1,$Q11))</f>
        <v/>
      </c>
      <c r="R12" s="22" t="str">
        <f aca="false">IF($A12="","",IF($Q12=$Q11,$R11+1,1))</f>
        <v/>
      </c>
      <c r="S12" s="22" t="str">
        <f aca="false">IF($A12="","",IF(AND($A12=$A11,$B12=$B11),0,1))</f>
        <v/>
      </c>
      <c r="T12" s="22" t="str">
        <f aca="false">IF($A12="","",IF($S12=1,COUNTIF($S$5:$S12,1),""))</f>
        <v/>
      </c>
      <c r="U12" s="22" t="str">
        <f aca="false">IF($D12="","",IFERROR(VLOOKUP($D12,商品マスタ!$A$5:$G$1000,7,FALSE()),0))</f>
        <v/>
      </c>
    </row>
    <row r="13" customFormat="false" ht="15" hidden="false" customHeight="true" outlineLevel="0" collapsed="false">
      <c r="A13" s="23"/>
      <c r="B13" s="14"/>
      <c r="C13" s="14"/>
      <c r="D13" s="14"/>
      <c r="E13" s="24"/>
      <c r="F13" s="24"/>
      <c r="G13" s="14"/>
      <c r="H13" s="14"/>
      <c r="I13" s="14"/>
      <c r="J13" s="22" t="str">
        <f aca="false">IF($D13="","",IFERROR(VLOOKUP($D13,商品マスタ!$A$5:$G$1000,2,FALSE()),"※商品マスタ未登録"))</f>
        <v/>
      </c>
      <c r="K13" s="22" t="str">
        <f aca="false">IF($D13="","",IFERROR(VLOOKUP($D13,商品マスタ!$A$5:$G$1000,3,FALSE()),""))</f>
        <v/>
      </c>
      <c r="L13" s="22" t="str">
        <f aca="false">IF($D13="","",IF($H13&lt;&gt;"",$H13,IFERROR(VLOOKUP($D13,商品マスタ!$A$5:$G$1000,4,FALSE()),"")))</f>
        <v/>
      </c>
      <c r="M13" s="22" t="str">
        <f aca="false">IF($D13="","",IFERROR(VLOOKUP($D13,商品マスタ!$A$5:$G$1000,5,FALSE()),0))</f>
        <v/>
      </c>
      <c r="N13" s="22" t="str">
        <f aca="false">IF($D13="","",IFERROR(VLOOKUP($D13,商品マスタ!$A$5:$G$1000,6,FALSE()),0))</f>
        <v/>
      </c>
      <c r="O13" s="22" t="str">
        <f aca="false">IF($D13="","",ROUND($E13*$F13,0))</f>
        <v/>
      </c>
      <c r="P13" s="22" t="str">
        <f aca="false">IF($D13="","",$O13)</f>
        <v/>
      </c>
      <c r="Q13" s="22" t="str">
        <f aca="false">IF($A13="","",IF($S13=1,$Q12+1,$Q12))</f>
        <v/>
      </c>
      <c r="R13" s="22" t="str">
        <f aca="false">IF($A13="","",IF($Q13=$Q12,$R12+1,1))</f>
        <v/>
      </c>
      <c r="S13" s="22" t="str">
        <f aca="false">IF($A13="","",IF(AND($A13=$A12,$B13=$B12),0,1))</f>
        <v/>
      </c>
      <c r="T13" s="22" t="str">
        <f aca="false">IF($A13="","",IF($S13=1,COUNTIF($S$5:$S13,1),""))</f>
        <v/>
      </c>
      <c r="U13" s="22" t="str">
        <f aca="false">IF($D13="","",IFERROR(VLOOKUP($D13,商品マスタ!$A$5:$G$1000,7,FALSE()),0))</f>
        <v/>
      </c>
    </row>
    <row r="14" customFormat="false" ht="15" hidden="false" customHeight="true" outlineLevel="0" collapsed="false">
      <c r="A14" s="23"/>
      <c r="B14" s="14"/>
      <c r="C14" s="14"/>
      <c r="D14" s="14"/>
      <c r="E14" s="24"/>
      <c r="F14" s="24"/>
      <c r="G14" s="14"/>
      <c r="H14" s="14"/>
      <c r="I14" s="14"/>
      <c r="J14" s="22" t="str">
        <f aca="false">IF($D14="","",IFERROR(VLOOKUP($D14,商品マスタ!$A$5:$G$1000,2,FALSE()),"※商品マスタ未登録"))</f>
        <v/>
      </c>
      <c r="K14" s="22" t="str">
        <f aca="false">IF($D14="","",IFERROR(VLOOKUP($D14,商品マスタ!$A$5:$G$1000,3,FALSE()),""))</f>
        <v/>
      </c>
      <c r="L14" s="22" t="str">
        <f aca="false">IF($D14="","",IF($H14&lt;&gt;"",$H14,IFERROR(VLOOKUP($D14,商品マスタ!$A$5:$G$1000,4,FALSE()),"")))</f>
        <v/>
      </c>
      <c r="M14" s="22" t="str">
        <f aca="false">IF($D14="","",IFERROR(VLOOKUP($D14,商品マスタ!$A$5:$G$1000,5,FALSE()),0))</f>
        <v/>
      </c>
      <c r="N14" s="22" t="str">
        <f aca="false">IF($D14="","",IFERROR(VLOOKUP($D14,商品マスタ!$A$5:$G$1000,6,FALSE()),0))</f>
        <v/>
      </c>
      <c r="O14" s="22" t="str">
        <f aca="false">IF($D14="","",ROUND($E14*$F14,0))</f>
        <v/>
      </c>
      <c r="P14" s="22" t="str">
        <f aca="false">IF($D14="","",$O14)</f>
        <v/>
      </c>
      <c r="Q14" s="22" t="str">
        <f aca="false">IF($A14="","",IF($S14=1,$Q13+1,$Q13))</f>
        <v/>
      </c>
      <c r="R14" s="22" t="str">
        <f aca="false">IF($A14="","",IF($Q14=$Q13,$R13+1,1))</f>
        <v/>
      </c>
      <c r="S14" s="22" t="str">
        <f aca="false">IF($A14="","",IF(AND($A14=$A13,$B14=$B13),0,1))</f>
        <v/>
      </c>
      <c r="T14" s="22" t="str">
        <f aca="false">IF($A14="","",IF($S14=1,COUNTIF($S$5:$S14,1),""))</f>
        <v/>
      </c>
      <c r="U14" s="22" t="str">
        <f aca="false">IF($D14="","",IFERROR(VLOOKUP($D14,商品マスタ!$A$5:$G$1000,7,FALSE()),0))</f>
        <v/>
      </c>
    </row>
    <row r="15" customFormat="false" ht="15" hidden="false" customHeight="true" outlineLevel="0" collapsed="false">
      <c r="A15" s="23"/>
      <c r="B15" s="14"/>
      <c r="C15" s="14"/>
      <c r="D15" s="14"/>
      <c r="E15" s="24"/>
      <c r="F15" s="24"/>
      <c r="G15" s="14"/>
      <c r="H15" s="14"/>
      <c r="I15" s="14"/>
      <c r="J15" s="22" t="str">
        <f aca="false">IF($D15="","",IFERROR(VLOOKUP($D15,商品マスタ!$A$5:$G$1000,2,FALSE()),"※商品マスタ未登録"))</f>
        <v/>
      </c>
      <c r="K15" s="22" t="str">
        <f aca="false">IF($D15="","",IFERROR(VLOOKUP($D15,商品マスタ!$A$5:$G$1000,3,FALSE()),""))</f>
        <v/>
      </c>
      <c r="L15" s="22" t="str">
        <f aca="false">IF($D15="","",IF($H15&lt;&gt;"",$H15,IFERROR(VLOOKUP($D15,商品マスタ!$A$5:$G$1000,4,FALSE()),"")))</f>
        <v/>
      </c>
      <c r="M15" s="22" t="str">
        <f aca="false">IF($D15="","",IFERROR(VLOOKUP($D15,商品マスタ!$A$5:$G$1000,5,FALSE()),0))</f>
        <v/>
      </c>
      <c r="N15" s="22" t="str">
        <f aca="false">IF($D15="","",IFERROR(VLOOKUP($D15,商品マスタ!$A$5:$G$1000,6,FALSE()),0))</f>
        <v/>
      </c>
      <c r="O15" s="22" t="str">
        <f aca="false">IF($D15="","",ROUND($E15*$F15,0))</f>
        <v/>
      </c>
      <c r="P15" s="22" t="str">
        <f aca="false">IF($D15="","",$O15)</f>
        <v/>
      </c>
      <c r="Q15" s="22" t="str">
        <f aca="false">IF($A15="","",IF($S15=1,$Q14+1,$Q14))</f>
        <v/>
      </c>
      <c r="R15" s="22" t="str">
        <f aca="false">IF($A15="","",IF($Q15=$Q14,$R14+1,1))</f>
        <v/>
      </c>
      <c r="S15" s="22" t="str">
        <f aca="false">IF($A15="","",IF(AND($A15=$A14,$B15=$B14),0,1))</f>
        <v/>
      </c>
      <c r="T15" s="22" t="str">
        <f aca="false">IF($A15="","",IF($S15=1,COUNTIF($S$5:$S15,1),""))</f>
        <v/>
      </c>
      <c r="U15" s="22" t="str">
        <f aca="false">IF($D15="","",IFERROR(VLOOKUP($D15,商品マスタ!$A$5:$G$1000,7,FALSE()),0))</f>
        <v/>
      </c>
    </row>
    <row r="16" customFormat="false" ht="15" hidden="false" customHeight="true" outlineLevel="0" collapsed="false">
      <c r="A16" s="23"/>
      <c r="B16" s="14"/>
      <c r="C16" s="14"/>
      <c r="D16" s="14"/>
      <c r="E16" s="24"/>
      <c r="F16" s="24"/>
      <c r="G16" s="14"/>
      <c r="H16" s="14"/>
      <c r="I16" s="14"/>
      <c r="J16" s="22" t="str">
        <f aca="false">IF($D16="","",IFERROR(VLOOKUP($D16,商品マスタ!$A$5:$G$1000,2,FALSE()),"※商品マスタ未登録"))</f>
        <v/>
      </c>
      <c r="K16" s="22" t="str">
        <f aca="false">IF($D16="","",IFERROR(VLOOKUP($D16,商品マスタ!$A$5:$G$1000,3,FALSE()),""))</f>
        <v/>
      </c>
      <c r="L16" s="22" t="str">
        <f aca="false">IF($D16="","",IF($H16&lt;&gt;"",$H16,IFERROR(VLOOKUP($D16,商品マスタ!$A$5:$G$1000,4,FALSE()),"")))</f>
        <v/>
      </c>
      <c r="M16" s="22" t="str">
        <f aca="false">IF($D16="","",IFERROR(VLOOKUP($D16,商品マスタ!$A$5:$G$1000,5,FALSE()),0))</f>
        <v/>
      </c>
      <c r="N16" s="22" t="str">
        <f aca="false">IF($D16="","",IFERROR(VLOOKUP($D16,商品マスタ!$A$5:$G$1000,6,FALSE()),0))</f>
        <v/>
      </c>
      <c r="O16" s="22" t="str">
        <f aca="false">IF($D16="","",ROUND($E16*$F16,0))</f>
        <v/>
      </c>
      <c r="P16" s="22" t="str">
        <f aca="false">IF($D16="","",$O16)</f>
        <v/>
      </c>
      <c r="Q16" s="22" t="str">
        <f aca="false">IF($A16="","",IF($S16=1,$Q15+1,$Q15))</f>
        <v/>
      </c>
      <c r="R16" s="22" t="str">
        <f aca="false">IF($A16="","",IF($Q16=$Q15,$R15+1,1))</f>
        <v/>
      </c>
      <c r="S16" s="22" t="str">
        <f aca="false">IF($A16="","",IF(AND($A16=$A15,$B16=$B15),0,1))</f>
        <v/>
      </c>
      <c r="T16" s="22" t="str">
        <f aca="false">IF($A16="","",IF($S16=1,COUNTIF($S$5:$S16,1),""))</f>
        <v/>
      </c>
      <c r="U16" s="22" t="str">
        <f aca="false">IF($D16="","",IFERROR(VLOOKUP($D16,商品マスタ!$A$5:$G$1000,7,FALSE()),0))</f>
        <v/>
      </c>
    </row>
    <row r="17" customFormat="false" ht="15" hidden="false" customHeight="true" outlineLevel="0" collapsed="false">
      <c r="A17" s="23"/>
      <c r="B17" s="14"/>
      <c r="C17" s="14"/>
      <c r="D17" s="14"/>
      <c r="E17" s="24"/>
      <c r="F17" s="24"/>
      <c r="G17" s="14"/>
      <c r="H17" s="14"/>
      <c r="I17" s="14"/>
      <c r="J17" s="22" t="str">
        <f aca="false">IF($D17="","",IFERROR(VLOOKUP($D17,商品マスタ!$A$5:$G$1000,2,FALSE()),"※商品マスタ未登録"))</f>
        <v/>
      </c>
      <c r="K17" s="22" t="str">
        <f aca="false">IF($D17="","",IFERROR(VLOOKUP($D17,商品マスタ!$A$5:$G$1000,3,FALSE()),""))</f>
        <v/>
      </c>
      <c r="L17" s="22" t="str">
        <f aca="false">IF($D17="","",IF($H17&lt;&gt;"",$H17,IFERROR(VLOOKUP($D17,商品マスタ!$A$5:$G$1000,4,FALSE()),"")))</f>
        <v/>
      </c>
      <c r="M17" s="22" t="str">
        <f aca="false">IF($D17="","",IFERROR(VLOOKUP($D17,商品マスタ!$A$5:$G$1000,5,FALSE()),0))</f>
        <v/>
      </c>
      <c r="N17" s="22" t="str">
        <f aca="false">IF($D17="","",IFERROR(VLOOKUP($D17,商品マスタ!$A$5:$G$1000,6,FALSE()),0))</f>
        <v/>
      </c>
      <c r="O17" s="22" t="str">
        <f aca="false">IF($D17="","",ROUND($E17*$F17,0))</f>
        <v/>
      </c>
      <c r="P17" s="22" t="str">
        <f aca="false">IF($D17="","",$O17)</f>
        <v/>
      </c>
      <c r="Q17" s="22" t="str">
        <f aca="false">IF($A17="","",IF($S17=1,$Q16+1,$Q16))</f>
        <v/>
      </c>
      <c r="R17" s="22" t="str">
        <f aca="false">IF($A17="","",IF($Q17=$Q16,$R16+1,1))</f>
        <v/>
      </c>
      <c r="S17" s="22" t="str">
        <f aca="false">IF($A17="","",IF(AND($A17=$A16,$B17=$B16),0,1))</f>
        <v/>
      </c>
      <c r="T17" s="22" t="str">
        <f aca="false">IF($A17="","",IF($S17=1,COUNTIF($S$5:$S17,1),""))</f>
        <v/>
      </c>
      <c r="U17" s="22" t="str">
        <f aca="false">IF($D17="","",IFERROR(VLOOKUP($D17,商品マスタ!$A$5:$G$1000,7,FALSE()),0))</f>
        <v/>
      </c>
    </row>
    <row r="18" customFormat="false" ht="15" hidden="false" customHeight="true" outlineLevel="0" collapsed="false">
      <c r="A18" s="23"/>
      <c r="B18" s="14"/>
      <c r="C18" s="14"/>
      <c r="D18" s="14"/>
      <c r="E18" s="24"/>
      <c r="F18" s="24"/>
      <c r="G18" s="14"/>
      <c r="H18" s="14"/>
      <c r="I18" s="14"/>
      <c r="J18" s="22" t="str">
        <f aca="false">IF($D18="","",IFERROR(VLOOKUP($D18,商品マスタ!$A$5:$G$1000,2,FALSE()),"※商品マスタ未登録"))</f>
        <v/>
      </c>
      <c r="K18" s="22" t="str">
        <f aca="false">IF($D18="","",IFERROR(VLOOKUP($D18,商品マスタ!$A$5:$G$1000,3,FALSE()),""))</f>
        <v/>
      </c>
      <c r="L18" s="22" t="str">
        <f aca="false">IF($D18="","",IF($H18&lt;&gt;"",$H18,IFERROR(VLOOKUP($D18,商品マスタ!$A$5:$G$1000,4,FALSE()),"")))</f>
        <v/>
      </c>
      <c r="M18" s="22" t="str">
        <f aca="false">IF($D18="","",IFERROR(VLOOKUP($D18,商品マスタ!$A$5:$G$1000,5,FALSE()),0))</f>
        <v/>
      </c>
      <c r="N18" s="22" t="str">
        <f aca="false">IF($D18="","",IFERROR(VLOOKUP($D18,商品マスタ!$A$5:$G$1000,6,FALSE()),0))</f>
        <v/>
      </c>
      <c r="O18" s="22" t="str">
        <f aca="false">IF($D18="","",ROUND($E18*$F18,0))</f>
        <v/>
      </c>
      <c r="P18" s="22" t="str">
        <f aca="false">IF($D18="","",$O18)</f>
        <v/>
      </c>
      <c r="Q18" s="22" t="str">
        <f aca="false">IF($A18="","",IF($S18=1,$Q17+1,$Q17))</f>
        <v/>
      </c>
      <c r="R18" s="22" t="str">
        <f aca="false">IF($A18="","",IF($Q18=$Q17,$R17+1,1))</f>
        <v/>
      </c>
      <c r="S18" s="22" t="str">
        <f aca="false">IF($A18="","",IF(AND($A18=$A17,$B18=$B17),0,1))</f>
        <v/>
      </c>
      <c r="T18" s="22" t="str">
        <f aca="false">IF($A18="","",IF($S18=1,COUNTIF($S$5:$S18,1),""))</f>
        <v/>
      </c>
      <c r="U18" s="22" t="str">
        <f aca="false">IF($D18="","",IFERROR(VLOOKUP($D18,商品マスタ!$A$5:$G$1000,7,FALSE()),0))</f>
        <v/>
      </c>
    </row>
    <row r="19" customFormat="false" ht="15" hidden="false" customHeight="true" outlineLevel="0" collapsed="false">
      <c r="A19" s="23"/>
      <c r="B19" s="14"/>
      <c r="C19" s="14"/>
      <c r="D19" s="14"/>
      <c r="E19" s="24"/>
      <c r="F19" s="24"/>
      <c r="G19" s="14"/>
      <c r="H19" s="14"/>
      <c r="I19" s="14"/>
      <c r="J19" s="22" t="str">
        <f aca="false">IF($D19="","",IFERROR(VLOOKUP($D19,商品マスタ!$A$5:$G$1000,2,FALSE()),"※商品マスタ未登録"))</f>
        <v/>
      </c>
      <c r="K19" s="22" t="str">
        <f aca="false">IF($D19="","",IFERROR(VLOOKUP($D19,商品マスタ!$A$5:$G$1000,3,FALSE()),""))</f>
        <v/>
      </c>
      <c r="L19" s="22" t="str">
        <f aca="false">IF($D19="","",IF($H19&lt;&gt;"",$H19,IFERROR(VLOOKUP($D19,商品マスタ!$A$5:$G$1000,4,FALSE()),"")))</f>
        <v/>
      </c>
      <c r="M19" s="22" t="str">
        <f aca="false">IF($D19="","",IFERROR(VLOOKUP($D19,商品マスタ!$A$5:$G$1000,5,FALSE()),0))</f>
        <v/>
      </c>
      <c r="N19" s="22" t="str">
        <f aca="false">IF($D19="","",IFERROR(VLOOKUP($D19,商品マスタ!$A$5:$G$1000,6,FALSE()),0))</f>
        <v/>
      </c>
      <c r="O19" s="22" t="str">
        <f aca="false">IF($D19="","",ROUND($E19*$F19,0))</f>
        <v/>
      </c>
      <c r="P19" s="22" t="str">
        <f aca="false">IF($D19="","",$O19)</f>
        <v/>
      </c>
      <c r="Q19" s="22" t="str">
        <f aca="false">IF($A19="","",IF($S19=1,$Q18+1,$Q18))</f>
        <v/>
      </c>
      <c r="R19" s="22" t="str">
        <f aca="false">IF($A19="","",IF($Q19=$Q18,$R18+1,1))</f>
        <v/>
      </c>
      <c r="S19" s="22" t="str">
        <f aca="false">IF($A19="","",IF(AND($A19=$A18,$B19=$B18),0,1))</f>
        <v/>
      </c>
      <c r="T19" s="22" t="str">
        <f aca="false">IF($A19="","",IF($S19=1,COUNTIF($S$5:$S19,1),""))</f>
        <v/>
      </c>
      <c r="U19" s="22" t="str">
        <f aca="false">IF($D19="","",IFERROR(VLOOKUP($D19,商品マスタ!$A$5:$G$1000,7,FALSE()),0))</f>
        <v/>
      </c>
    </row>
    <row r="20" customFormat="false" ht="15" hidden="false" customHeight="true" outlineLevel="0" collapsed="false">
      <c r="A20" s="23"/>
      <c r="B20" s="14"/>
      <c r="C20" s="14"/>
      <c r="D20" s="14"/>
      <c r="E20" s="24"/>
      <c r="F20" s="24"/>
      <c r="G20" s="14"/>
      <c r="H20" s="14"/>
      <c r="I20" s="14"/>
      <c r="J20" s="22" t="str">
        <f aca="false">IF($D20="","",IFERROR(VLOOKUP($D20,商品マスタ!$A$5:$G$1000,2,FALSE()),"※商品マスタ未登録"))</f>
        <v/>
      </c>
      <c r="K20" s="22" t="str">
        <f aca="false">IF($D20="","",IFERROR(VLOOKUP($D20,商品マスタ!$A$5:$G$1000,3,FALSE()),""))</f>
        <v/>
      </c>
      <c r="L20" s="22" t="str">
        <f aca="false">IF($D20="","",IF($H20&lt;&gt;"",$H20,IFERROR(VLOOKUP($D20,商品マスタ!$A$5:$G$1000,4,FALSE()),"")))</f>
        <v/>
      </c>
      <c r="M20" s="22" t="str">
        <f aca="false">IF($D20="","",IFERROR(VLOOKUP($D20,商品マスタ!$A$5:$G$1000,5,FALSE()),0))</f>
        <v/>
      </c>
      <c r="N20" s="22" t="str">
        <f aca="false">IF($D20="","",IFERROR(VLOOKUP($D20,商品マスタ!$A$5:$G$1000,6,FALSE()),0))</f>
        <v/>
      </c>
      <c r="O20" s="22" t="str">
        <f aca="false">IF($D20="","",ROUND($E20*$F20,0))</f>
        <v/>
      </c>
      <c r="P20" s="22" t="str">
        <f aca="false">IF($D20="","",$O20)</f>
        <v/>
      </c>
      <c r="Q20" s="22" t="str">
        <f aca="false">IF($A20="","",IF($S20=1,$Q19+1,$Q19))</f>
        <v/>
      </c>
      <c r="R20" s="22" t="str">
        <f aca="false">IF($A20="","",IF($Q20=$Q19,$R19+1,1))</f>
        <v/>
      </c>
      <c r="S20" s="22" t="str">
        <f aca="false">IF($A20="","",IF(AND($A20=$A19,$B20=$B19),0,1))</f>
        <v/>
      </c>
      <c r="T20" s="22" t="str">
        <f aca="false">IF($A20="","",IF($S20=1,COUNTIF($S$5:$S20,1),""))</f>
        <v/>
      </c>
      <c r="U20" s="22" t="str">
        <f aca="false">IF($D20="","",IFERROR(VLOOKUP($D20,商品マスタ!$A$5:$G$1000,7,FALSE()),0))</f>
        <v/>
      </c>
    </row>
    <row r="21" customFormat="false" ht="15" hidden="false" customHeight="true" outlineLevel="0" collapsed="false">
      <c r="A21" s="23"/>
      <c r="B21" s="14"/>
      <c r="C21" s="14"/>
      <c r="D21" s="14"/>
      <c r="E21" s="24"/>
      <c r="F21" s="24"/>
      <c r="G21" s="14"/>
      <c r="H21" s="14"/>
      <c r="I21" s="14"/>
      <c r="J21" s="22" t="str">
        <f aca="false">IF($D21="","",IFERROR(VLOOKUP($D21,商品マスタ!$A$5:$G$1000,2,FALSE()),"※商品マスタ未登録"))</f>
        <v/>
      </c>
      <c r="K21" s="22" t="str">
        <f aca="false">IF($D21="","",IFERROR(VLOOKUP($D21,商品マスタ!$A$5:$G$1000,3,FALSE()),""))</f>
        <v/>
      </c>
      <c r="L21" s="22" t="str">
        <f aca="false">IF($D21="","",IF($H21&lt;&gt;"",$H21,IFERROR(VLOOKUP($D21,商品マスタ!$A$5:$G$1000,4,FALSE()),"")))</f>
        <v/>
      </c>
      <c r="M21" s="22" t="str">
        <f aca="false">IF($D21="","",IFERROR(VLOOKUP($D21,商品マスタ!$A$5:$G$1000,5,FALSE()),0))</f>
        <v/>
      </c>
      <c r="N21" s="22" t="str">
        <f aca="false">IF($D21="","",IFERROR(VLOOKUP($D21,商品マスタ!$A$5:$G$1000,6,FALSE()),0))</f>
        <v/>
      </c>
      <c r="O21" s="22" t="str">
        <f aca="false">IF($D21="","",ROUND($E21*$F21,0))</f>
        <v/>
      </c>
      <c r="P21" s="22" t="str">
        <f aca="false">IF($D21="","",$O21)</f>
        <v/>
      </c>
      <c r="Q21" s="22" t="str">
        <f aca="false">IF($A21="","",IF($S21=1,$Q20+1,$Q20))</f>
        <v/>
      </c>
      <c r="R21" s="22" t="str">
        <f aca="false">IF($A21="","",IF($Q21=$Q20,$R20+1,1))</f>
        <v/>
      </c>
      <c r="S21" s="22" t="str">
        <f aca="false">IF($A21="","",IF(AND($A21=$A20,$B21=$B20),0,1))</f>
        <v/>
      </c>
      <c r="T21" s="22" t="str">
        <f aca="false">IF($A21="","",IF($S21=1,COUNTIF($S$5:$S21,1),""))</f>
        <v/>
      </c>
      <c r="U21" s="22" t="str">
        <f aca="false">IF($D21="","",IFERROR(VLOOKUP($D21,商品マスタ!$A$5:$G$1000,7,FALSE()),0))</f>
        <v/>
      </c>
    </row>
    <row r="22" customFormat="false" ht="15" hidden="false" customHeight="true" outlineLevel="0" collapsed="false">
      <c r="A22" s="23"/>
      <c r="B22" s="14"/>
      <c r="C22" s="14"/>
      <c r="D22" s="14"/>
      <c r="E22" s="24"/>
      <c r="F22" s="24"/>
      <c r="G22" s="14"/>
      <c r="H22" s="14"/>
      <c r="I22" s="14"/>
      <c r="J22" s="22" t="str">
        <f aca="false">IF($D22="","",IFERROR(VLOOKUP($D22,商品マスタ!$A$5:$G$1000,2,FALSE()),"※商品マスタ未登録"))</f>
        <v/>
      </c>
      <c r="K22" s="22" t="str">
        <f aca="false">IF($D22="","",IFERROR(VLOOKUP($D22,商品マスタ!$A$5:$G$1000,3,FALSE()),""))</f>
        <v/>
      </c>
      <c r="L22" s="22" t="str">
        <f aca="false">IF($D22="","",IF($H22&lt;&gt;"",$H22,IFERROR(VLOOKUP($D22,商品マスタ!$A$5:$G$1000,4,FALSE()),"")))</f>
        <v/>
      </c>
      <c r="M22" s="22" t="str">
        <f aca="false">IF($D22="","",IFERROR(VLOOKUP($D22,商品マスタ!$A$5:$G$1000,5,FALSE()),0))</f>
        <v/>
      </c>
      <c r="N22" s="22" t="str">
        <f aca="false">IF($D22="","",IFERROR(VLOOKUP($D22,商品マスタ!$A$5:$G$1000,6,FALSE()),0))</f>
        <v/>
      </c>
      <c r="O22" s="22" t="str">
        <f aca="false">IF($D22="","",ROUND($E22*$F22,0))</f>
        <v/>
      </c>
      <c r="P22" s="22" t="str">
        <f aca="false">IF($D22="","",$O22)</f>
        <v/>
      </c>
      <c r="Q22" s="22" t="str">
        <f aca="false">IF($A22="","",IF($S22=1,$Q21+1,$Q21))</f>
        <v/>
      </c>
      <c r="R22" s="22" t="str">
        <f aca="false">IF($A22="","",IF($Q22=$Q21,$R21+1,1))</f>
        <v/>
      </c>
      <c r="S22" s="22" t="str">
        <f aca="false">IF($A22="","",IF(AND($A22=$A21,$B22=$B21),0,1))</f>
        <v/>
      </c>
      <c r="T22" s="22" t="str">
        <f aca="false">IF($A22="","",IF($S22=1,COUNTIF($S$5:$S22,1),""))</f>
        <v/>
      </c>
      <c r="U22" s="22" t="str">
        <f aca="false">IF($D22="","",IFERROR(VLOOKUP($D22,商品マスタ!$A$5:$G$1000,7,FALSE()),0))</f>
        <v/>
      </c>
    </row>
    <row r="23" customFormat="false" ht="15" hidden="false" customHeight="true" outlineLevel="0" collapsed="false">
      <c r="A23" s="23"/>
      <c r="B23" s="14"/>
      <c r="C23" s="14"/>
      <c r="D23" s="14"/>
      <c r="E23" s="24"/>
      <c r="F23" s="24"/>
      <c r="G23" s="14"/>
      <c r="H23" s="14"/>
      <c r="I23" s="14"/>
      <c r="J23" s="22" t="str">
        <f aca="false">IF($D23="","",IFERROR(VLOOKUP($D23,商品マスタ!$A$5:$G$1000,2,FALSE()),"※商品マスタ未登録"))</f>
        <v/>
      </c>
      <c r="K23" s="22" t="str">
        <f aca="false">IF($D23="","",IFERROR(VLOOKUP($D23,商品マスタ!$A$5:$G$1000,3,FALSE()),""))</f>
        <v/>
      </c>
      <c r="L23" s="22" t="str">
        <f aca="false">IF($D23="","",IF($H23&lt;&gt;"",$H23,IFERROR(VLOOKUP($D23,商品マスタ!$A$5:$G$1000,4,FALSE()),"")))</f>
        <v/>
      </c>
      <c r="M23" s="22" t="str">
        <f aca="false">IF($D23="","",IFERROR(VLOOKUP($D23,商品マスタ!$A$5:$G$1000,5,FALSE()),0))</f>
        <v/>
      </c>
      <c r="N23" s="22" t="str">
        <f aca="false">IF($D23="","",IFERROR(VLOOKUP($D23,商品マスタ!$A$5:$G$1000,6,FALSE()),0))</f>
        <v/>
      </c>
      <c r="O23" s="22" t="str">
        <f aca="false">IF($D23="","",ROUND($E23*$F23,0))</f>
        <v/>
      </c>
      <c r="P23" s="22" t="str">
        <f aca="false">IF($D23="","",$O23)</f>
        <v/>
      </c>
      <c r="Q23" s="22" t="str">
        <f aca="false">IF($A23="","",IF($S23=1,$Q22+1,$Q22))</f>
        <v/>
      </c>
      <c r="R23" s="22" t="str">
        <f aca="false">IF($A23="","",IF($Q23=$Q22,$R22+1,1))</f>
        <v/>
      </c>
      <c r="S23" s="22" t="str">
        <f aca="false">IF($A23="","",IF(AND($A23=$A22,$B23=$B22),0,1))</f>
        <v/>
      </c>
      <c r="T23" s="22" t="str">
        <f aca="false">IF($A23="","",IF($S23=1,COUNTIF($S$5:$S23,1),""))</f>
        <v/>
      </c>
      <c r="U23" s="22" t="str">
        <f aca="false">IF($D23="","",IFERROR(VLOOKUP($D23,商品マスタ!$A$5:$G$1000,7,FALSE()),0))</f>
        <v/>
      </c>
    </row>
    <row r="24" customFormat="false" ht="15" hidden="false" customHeight="true" outlineLevel="0" collapsed="false">
      <c r="A24" s="23"/>
      <c r="B24" s="14"/>
      <c r="C24" s="14"/>
      <c r="D24" s="14"/>
      <c r="E24" s="24"/>
      <c r="F24" s="24"/>
      <c r="G24" s="14"/>
      <c r="H24" s="14"/>
      <c r="I24" s="14"/>
      <c r="J24" s="22" t="str">
        <f aca="false">IF($D24="","",IFERROR(VLOOKUP($D24,商品マスタ!$A$5:$G$1000,2,FALSE()),"※商品マスタ未登録"))</f>
        <v/>
      </c>
      <c r="K24" s="22" t="str">
        <f aca="false">IF($D24="","",IFERROR(VLOOKUP($D24,商品マスタ!$A$5:$G$1000,3,FALSE()),""))</f>
        <v/>
      </c>
      <c r="L24" s="22" t="str">
        <f aca="false">IF($D24="","",IF($H24&lt;&gt;"",$H24,IFERROR(VLOOKUP($D24,商品マスタ!$A$5:$G$1000,4,FALSE()),"")))</f>
        <v/>
      </c>
      <c r="M24" s="22" t="str">
        <f aca="false">IF($D24="","",IFERROR(VLOOKUP($D24,商品マスタ!$A$5:$G$1000,5,FALSE()),0))</f>
        <v/>
      </c>
      <c r="N24" s="22" t="str">
        <f aca="false">IF($D24="","",IFERROR(VLOOKUP($D24,商品マスタ!$A$5:$G$1000,6,FALSE()),0))</f>
        <v/>
      </c>
      <c r="O24" s="22" t="str">
        <f aca="false">IF($D24="","",ROUND($E24*$F24,0))</f>
        <v/>
      </c>
      <c r="P24" s="22" t="str">
        <f aca="false">IF($D24="","",$O24)</f>
        <v/>
      </c>
      <c r="Q24" s="22" t="str">
        <f aca="false">IF($A24="","",IF($S24=1,$Q23+1,$Q23))</f>
        <v/>
      </c>
      <c r="R24" s="22" t="str">
        <f aca="false">IF($A24="","",IF($Q24=$Q23,$R23+1,1))</f>
        <v/>
      </c>
      <c r="S24" s="22" t="str">
        <f aca="false">IF($A24="","",IF(AND($A24=$A23,$B24=$B23),0,1))</f>
        <v/>
      </c>
      <c r="T24" s="22" t="str">
        <f aca="false">IF($A24="","",IF($S24=1,COUNTIF($S$5:$S24,1),""))</f>
        <v/>
      </c>
      <c r="U24" s="22" t="str">
        <f aca="false">IF($D24="","",IFERROR(VLOOKUP($D24,商品マスタ!$A$5:$G$1000,7,FALSE()),0))</f>
        <v/>
      </c>
    </row>
    <row r="25" customFormat="false" ht="15" hidden="false" customHeight="true" outlineLevel="0" collapsed="false">
      <c r="A25" s="23"/>
      <c r="B25" s="14"/>
      <c r="C25" s="14"/>
      <c r="D25" s="14"/>
      <c r="E25" s="24"/>
      <c r="F25" s="24"/>
      <c r="G25" s="14"/>
      <c r="H25" s="14"/>
      <c r="I25" s="14"/>
      <c r="J25" s="22" t="str">
        <f aca="false">IF($D25="","",IFERROR(VLOOKUP($D25,商品マスタ!$A$5:$G$1000,2,FALSE()),"※商品マスタ未登録"))</f>
        <v/>
      </c>
      <c r="K25" s="22" t="str">
        <f aca="false">IF($D25="","",IFERROR(VLOOKUP($D25,商品マスタ!$A$5:$G$1000,3,FALSE()),""))</f>
        <v/>
      </c>
      <c r="L25" s="22" t="str">
        <f aca="false">IF($D25="","",IF($H25&lt;&gt;"",$H25,IFERROR(VLOOKUP($D25,商品マスタ!$A$5:$G$1000,4,FALSE()),"")))</f>
        <v/>
      </c>
      <c r="M25" s="22" t="str">
        <f aca="false">IF($D25="","",IFERROR(VLOOKUP($D25,商品マスタ!$A$5:$G$1000,5,FALSE()),0))</f>
        <v/>
      </c>
      <c r="N25" s="22" t="str">
        <f aca="false">IF($D25="","",IFERROR(VLOOKUP($D25,商品マスタ!$A$5:$G$1000,6,FALSE()),0))</f>
        <v/>
      </c>
      <c r="O25" s="22" t="str">
        <f aca="false">IF($D25="","",ROUND($E25*$F25,0))</f>
        <v/>
      </c>
      <c r="P25" s="22" t="str">
        <f aca="false">IF($D25="","",$O25)</f>
        <v/>
      </c>
      <c r="Q25" s="22" t="str">
        <f aca="false">IF($A25="","",IF($S25=1,$Q24+1,$Q24))</f>
        <v/>
      </c>
      <c r="R25" s="22" t="str">
        <f aca="false">IF($A25="","",IF($Q25=$Q24,$R24+1,1))</f>
        <v/>
      </c>
      <c r="S25" s="22" t="str">
        <f aca="false">IF($A25="","",IF(AND($A25=$A24,$B25=$B24),0,1))</f>
        <v/>
      </c>
      <c r="T25" s="22" t="str">
        <f aca="false">IF($A25="","",IF($S25=1,COUNTIF($S$5:$S25,1),""))</f>
        <v/>
      </c>
      <c r="U25" s="22" t="str">
        <f aca="false">IF($D25="","",IFERROR(VLOOKUP($D25,商品マスタ!$A$5:$G$1000,7,FALSE()),0))</f>
        <v/>
      </c>
    </row>
    <row r="26" customFormat="false" ht="15" hidden="false" customHeight="true" outlineLevel="0" collapsed="false">
      <c r="A26" s="23"/>
      <c r="B26" s="14"/>
      <c r="C26" s="14"/>
      <c r="D26" s="14"/>
      <c r="E26" s="24"/>
      <c r="F26" s="24"/>
      <c r="G26" s="14"/>
      <c r="H26" s="14"/>
      <c r="I26" s="14"/>
      <c r="J26" s="22" t="str">
        <f aca="false">IF($D26="","",IFERROR(VLOOKUP($D26,商品マスタ!$A$5:$G$1000,2,FALSE()),"※商品マスタ未登録"))</f>
        <v/>
      </c>
      <c r="K26" s="22" t="str">
        <f aca="false">IF($D26="","",IFERROR(VLOOKUP($D26,商品マスタ!$A$5:$G$1000,3,FALSE()),""))</f>
        <v/>
      </c>
      <c r="L26" s="22" t="str">
        <f aca="false">IF($D26="","",IF($H26&lt;&gt;"",$H26,IFERROR(VLOOKUP($D26,商品マスタ!$A$5:$G$1000,4,FALSE()),"")))</f>
        <v/>
      </c>
      <c r="M26" s="22" t="str">
        <f aca="false">IF($D26="","",IFERROR(VLOOKUP($D26,商品マスタ!$A$5:$G$1000,5,FALSE()),0))</f>
        <v/>
      </c>
      <c r="N26" s="22" t="str">
        <f aca="false">IF($D26="","",IFERROR(VLOOKUP($D26,商品マスタ!$A$5:$G$1000,6,FALSE()),0))</f>
        <v/>
      </c>
      <c r="O26" s="22" t="str">
        <f aca="false">IF($D26="","",ROUND($E26*$F26,0))</f>
        <v/>
      </c>
      <c r="P26" s="22" t="str">
        <f aca="false">IF($D26="","",$O26)</f>
        <v/>
      </c>
      <c r="Q26" s="22" t="str">
        <f aca="false">IF($A26="","",IF($S26=1,$Q25+1,$Q25))</f>
        <v/>
      </c>
      <c r="R26" s="22" t="str">
        <f aca="false">IF($A26="","",IF($Q26=$Q25,$R25+1,1))</f>
        <v/>
      </c>
      <c r="S26" s="22" t="str">
        <f aca="false">IF($A26="","",IF(AND($A26=$A25,$B26=$B25),0,1))</f>
        <v/>
      </c>
      <c r="T26" s="22" t="str">
        <f aca="false">IF($A26="","",IF($S26=1,COUNTIF($S$5:$S26,1),""))</f>
        <v/>
      </c>
      <c r="U26" s="22" t="str">
        <f aca="false">IF($D26="","",IFERROR(VLOOKUP($D26,商品マスタ!$A$5:$G$1000,7,FALSE()),0))</f>
        <v/>
      </c>
    </row>
    <row r="27" customFormat="false" ht="15" hidden="false" customHeight="true" outlineLevel="0" collapsed="false">
      <c r="A27" s="23"/>
      <c r="B27" s="14"/>
      <c r="C27" s="14"/>
      <c r="D27" s="14"/>
      <c r="E27" s="24"/>
      <c r="F27" s="24"/>
      <c r="G27" s="14"/>
      <c r="H27" s="14"/>
      <c r="I27" s="14"/>
      <c r="J27" s="22" t="str">
        <f aca="false">IF($D27="","",IFERROR(VLOOKUP($D27,商品マスタ!$A$5:$G$1000,2,FALSE()),"※商品マスタ未登録"))</f>
        <v/>
      </c>
      <c r="K27" s="22" t="str">
        <f aca="false">IF($D27="","",IFERROR(VLOOKUP($D27,商品マスタ!$A$5:$G$1000,3,FALSE()),""))</f>
        <v/>
      </c>
      <c r="L27" s="22" t="str">
        <f aca="false">IF($D27="","",IF($H27&lt;&gt;"",$H27,IFERROR(VLOOKUP($D27,商品マスタ!$A$5:$G$1000,4,FALSE()),"")))</f>
        <v/>
      </c>
      <c r="M27" s="22" t="str">
        <f aca="false">IF($D27="","",IFERROR(VLOOKUP($D27,商品マスタ!$A$5:$G$1000,5,FALSE()),0))</f>
        <v/>
      </c>
      <c r="N27" s="22" t="str">
        <f aca="false">IF($D27="","",IFERROR(VLOOKUP($D27,商品マスタ!$A$5:$G$1000,6,FALSE()),0))</f>
        <v/>
      </c>
      <c r="O27" s="22" t="str">
        <f aca="false">IF($D27="","",ROUND($E27*$F27,0))</f>
        <v/>
      </c>
      <c r="P27" s="22" t="str">
        <f aca="false">IF($D27="","",$O27)</f>
        <v/>
      </c>
      <c r="Q27" s="22" t="str">
        <f aca="false">IF($A27="","",IF($S27=1,$Q26+1,$Q26))</f>
        <v/>
      </c>
      <c r="R27" s="22" t="str">
        <f aca="false">IF($A27="","",IF($Q27=$Q26,$R26+1,1))</f>
        <v/>
      </c>
      <c r="S27" s="22" t="str">
        <f aca="false">IF($A27="","",IF(AND($A27=$A26,$B27=$B26),0,1))</f>
        <v/>
      </c>
      <c r="T27" s="22" t="str">
        <f aca="false">IF($A27="","",IF($S27=1,COUNTIF($S$5:$S27,1),""))</f>
        <v/>
      </c>
      <c r="U27" s="22" t="str">
        <f aca="false">IF($D27="","",IFERROR(VLOOKUP($D27,商品マスタ!$A$5:$G$1000,7,FALSE()),0))</f>
        <v/>
      </c>
    </row>
    <row r="28" customFormat="false" ht="15" hidden="false" customHeight="true" outlineLevel="0" collapsed="false">
      <c r="A28" s="23"/>
      <c r="B28" s="14"/>
      <c r="C28" s="14"/>
      <c r="D28" s="14"/>
      <c r="E28" s="24"/>
      <c r="F28" s="24"/>
      <c r="G28" s="14"/>
      <c r="H28" s="14"/>
      <c r="I28" s="14"/>
      <c r="J28" s="22" t="str">
        <f aca="false">IF($D28="","",IFERROR(VLOOKUP($D28,商品マスタ!$A$5:$G$1000,2,FALSE()),"※商品マスタ未登録"))</f>
        <v/>
      </c>
      <c r="K28" s="22" t="str">
        <f aca="false">IF($D28="","",IFERROR(VLOOKUP($D28,商品マスタ!$A$5:$G$1000,3,FALSE()),""))</f>
        <v/>
      </c>
      <c r="L28" s="22" t="str">
        <f aca="false">IF($D28="","",IF($H28&lt;&gt;"",$H28,IFERROR(VLOOKUP($D28,商品マスタ!$A$5:$G$1000,4,FALSE()),"")))</f>
        <v/>
      </c>
      <c r="M28" s="22" t="str">
        <f aca="false">IF($D28="","",IFERROR(VLOOKUP($D28,商品マスタ!$A$5:$G$1000,5,FALSE()),0))</f>
        <v/>
      </c>
      <c r="N28" s="22" t="str">
        <f aca="false">IF($D28="","",IFERROR(VLOOKUP($D28,商品マスタ!$A$5:$G$1000,6,FALSE()),0))</f>
        <v/>
      </c>
      <c r="O28" s="22" t="str">
        <f aca="false">IF($D28="","",ROUND($E28*$F28,0))</f>
        <v/>
      </c>
      <c r="P28" s="22" t="str">
        <f aca="false">IF($D28="","",$O28)</f>
        <v/>
      </c>
      <c r="Q28" s="22" t="str">
        <f aca="false">IF($A28="","",IF($S28=1,$Q27+1,$Q27))</f>
        <v/>
      </c>
      <c r="R28" s="22" t="str">
        <f aca="false">IF($A28="","",IF($Q28=$Q27,$R27+1,1))</f>
        <v/>
      </c>
      <c r="S28" s="22" t="str">
        <f aca="false">IF($A28="","",IF(AND($A28=$A27,$B28=$B27),0,1))</f>
        <v/>
      </c>
      <c r="T28" s="22" t="str">
        <f aca="false">IF($A28="","",IF($S28=1,COUNTIF($S$5:$S28,1),""))</f>
        <v/>
      </c>
      <c r="U28" s="22" t="str">
        <f aca="false">IF($D28="","",IFERROR(VLOOKUP($D28,商品マスタ!$A$5:$G$1000,7,FALSE()),0))</f>
        <v/>
      </c>
    </row>
    <row r="29" customFormat="false" ht="15" hidden="false" customHeight="true" outlineLevel="0" collapsed="false">
      <c r="A29" s="23"/>
      <c r="B29" s="14"/>
      <c r="C29" s="14"/>
      <c r="D29" s="14"/>
      <c r="E29" s="24"/>
      <c r="F29" s="24"/>
      <c r="G29" s="14"/>
      <c r="H29" s="14"/>
      <c r="I29" s="14"/>
      <c r="J29" s="22" t="str">
        <f aca="false">IF($D29="","",IFERROR(VLOOKUP($D29,商品マスタ!$A$5:$G$1000,2,FALSE()),"※商品マスタ未登録"))</f>
        <v/>
      </c>
      <c r="K29" s="22" t="str">
        <f aca="false">IF($D29="","",IFERROR(VLOOKUP($D29,商品マスタ!$A$5:$G$1000,3,FALSE()),""))</f>
        <v/>
      </c>
      <c r="L29" s="22" t="str">
        <f aca="false">IF($D29="","",IF($H29&lt;&gt;"",$H29,IFERROR(VLOOKUP($D29,商品マスタ!$A$5:$G$1000,4,FALSE()),"")))</f>
        <v/>
      </c>
      <c r="M29" s="22" t="str">
        <f aca="false">IF($D29="","",IFERROR(VLOOKUP($D29,商品マスタ!$A$5:$G$1000,5,FALSE()),0))</f>
        <v/>
      </c>
      <c r="N29" s="22" t="str">
        <f aca="false">IF($D29="","",IFERROR(VLOOKUP($D29,商品マスタ!$A$5:$G$1000,6,FALSE()),0))</f>
        <v/>
      </c>
      <c r="O29" s="22" t="str">
        <f aca="false">IF($D29="","",ROUND($E29*$F29,0))</f>
        <v/>
      </c>
      <c r="P29" s="22" t="str">
        <f aca="false">IF($D29="","",$O29)</f>
        <v/>
      </c>
      <c r="Q29" s="22" t="str">
        <f aca="false">IF($A29="","",IF($S29=1,$Q28+1,$Q28))</f>
        <v/>
      </c>
      <c r="R29" s="22" t="str">
        <f aca="false">IF($A29="","",IF($Q29=$Q28,$R28+1,1))</f>
        <v/>
      </c>
      <c r="S29" s="22" t="str">
        <f aca="false">IF($A29="","",IF(AND($A29=$A28,$B29=$B28),0,1))</f>
        <v/>
      </c>
      <c r="T29" s="22" t="str">
        <f aca="false">IF($A29="","",IF($S29=1,COUNTIF($S$5:$S29,1),""))</f>
        <v/>
      </c>
      <c r="U29" s="22" t="str">
        <f aca="false">IF($D29="","",IFERROR(VLOOKUP($D29,商品マスタ!$A$5:$G$1000,7,FALSE()),0))</f>
        <v/>
      </c>
    </row>
    <row r="30" customFormat="false" ht="15" hidden="false" customHeight="true" outlineLevel="0" collapsed="false">
      <c r="A30" s="23"/>
      <c r="B30" s="14"/>
      <c r="C30" s="14"/>
      <c r="D30" s="14"/>
      <c r="E30" s="24"/>
      <c r="F30" s="24"/>
      <c r="G30" s="14"/>
      <c r="H30" s="14"/>
      <c r="I30" s="14"/>
      <c r="J30" s="22" t="str">
        <f aca="false">IF($D30="","",IFERROR(VLOOKUP($D30,商品マスタ!$A$5:$G$1000,2,FALSE()),"※商品マスタ未登録"))</f>
        <v/>
      </c>
      <c r="K30" s="22" t="str">
        <f aca="false">IF($D30="","",IFERROR(VLOOKUP($D30,商品マスタ!$A$5:$G$1000,3,FALSE()),""))</f>
        <v/>
      </c>
      <c r="L30" s="22" t="str">
        <f aca="false">IF($D30="","",IF($H30&lt;&gt;"",$H30,IFERROR(VLOOKUP($D30,商品マスタ!$A$5:$G$1000,4,FALSE()),"")))</f>
        <v/>
      </c>
      <c r="M30" s="22" t="str">
        <f aca="false">IF($D30="","",IFERROR(VLOOKUP($D30,商品マスタ!$A$5:$G$1000,5,FALSE()),0))</f>
        <v/>
      </c>
      <c r="N30" s="22" t="str">
        <f aca="false">IF($D30="","",IFERROR(VLOOKUP($D30,商品マスタ!$A$5:$G$1000,6,FALSE()),0))</f>
        <v/>
      </c>
      <c r="O30" s="22" t="str">
        <f aca="false">IF($D30="","",ROUND($E30*$F30,0))</f>
        <v/>
      </c>
      <c r="P30" s="22" t="str">
        <f aca="false">IF($D30="","",$O30)</f>
        <v/>
      </c>
      <c r="Q30" s="22" t="str">
        <f aca="false">IF($A30="","",IF($S30=1,$Q29+1,$Q29))</f>
        <v/>
      </c>
      <c r="R30" s="22" t="str">
        <f aca="false">IF($A30="","",IF($Q30=$Q29,$R29+1,1))</f>
        <v/>
      </c>
      <c r="S30" s="22" t="str">
        <f aca="false">IF($A30="","",IF(AND($A30=$A29,$B30=$B29),0,1))</f>
        <v/>
      </c>
      <c r="T30" s="22" t="str">
        <f aca="false">IF($A30="","",IF($S30=1,COUNTIF($S$5:$S30,1),""))</f>
        <v/>
      </c>
      <c r="U30" s="22" t="str">
        <f aca="false">IF($D30="","",IFERROR(VLOOKUP($D30,商品マスタ!$A$5:$G$1000,7,FALSE()),0))</f>
        <v/>
      </c>
    </row>
    <row r="31" customFormat="false" ht="15" hidden="false" customHeight="true" outlineLevel="0" collapsed="false">
      <c r="A31" s="23"/>
      <c r="B31" s="14"/>
      <c r="C31" s="14"/>
      <c r="D31" s="14"/>
      <c r="E31" s="24"/>
      <c r="F31" s="24"/>
      <c r="G31" s="14"/>
      <c r="H31" s="14"/>
      <c r="I31" s="14"/>
      <c r="J31" s="22" t="str">
        <f aca="false">IF($D31="","",IFERROR(VLOOKUP($D31,商品マスタ!$A$5:$G$1000,2,FALSE()),"※商品マスタ未登録"))</f>
        <v/>
      </c>
      <c r="K31" s="22" t="str">
        <f aca="false">IF($D31="","",IFERROR(VLOOKUP($D31,商品マスタ!$A$5:$G$1000,3,FALSE()),""))</f>
        <v/>
      </c>
      <c r="L31" s="22" t="str">
        <f aca="false">IF($D31="","",IF($H31&lt;&gt;"",$H31,IFERROR(VLOOKUP($D31,商品マスタ!$A$5:$G$1000,4,FALSE()),"")))</f>
        <v/>
      </c>
      <c r="M31" s="22" t="str">
        <f aca="false">IF($D31="","",IFERROR(VLOOKUP($D31,商品マスタ!$A$5:$G$1000,5,FALSE()),0))</f>
        <v/>
      </c>
      <c r="N31" s="22" t="str">
        <f aca="false">IF($D31="","",IFERROR(VLOOKUP($D31,商品マスタ!$A$5:$G$1000,6,FALSE()),0))</f>
        <v/>
      </c>
      <c r="O31" s="22" t="str">
        <f aca="false">IF($D31="","",ROUND($E31*$F31,0))</f>
        <v/>
      </c>
      <c r="P31" s="22" t="str">
        <f aca="false">IF($D31="","",$O31)</f>
        <v/>
      </c>
      <c r="Q31" s="22" t="str">
        <f aca="false">IF($A31="","",IF($S31=1,$Q30+1,$Q30))</f>
        <v/>
      </c>
      <c r="R31" s="22" t="str">
        <f aca="false">IF($A31="","",IF($Q31=$Q30,$R30+1,1))</f>
        <v/>
      </c>
      <c r="S31" s="22" t="str">
        <f aca="false">IF($A31="","",IF(AND($A31=$A30,$B31=$B30),0,1))</f>
        <v/>
      </c>
      <c r="T31" s="22" t="str">
        <f aca="false">IF($A31="","",IF($S31=1,COUNTIF($S$5:$S31,1),""))</f>
        <v/>
      </c>
      <c r="U31" s="22" t="str">
        <f aca="false">IF($D31="","",IFERROR(VLOOKUP($D31,商品マスタ!$A$5:$G$1000,7,FALSE()),0))</f>
        <v/>
      </c>
    </row>
    <row r="32" customFormat="false" ht="15" hidden="false" customHeight="true" outlineLevel="0" collapsed="false">
      <c r="A32" s="23"/>
      <c r="B32" s="14"/>
      <c r="C32" s="14"/>
      <c r="D32" s="14"/>
      <c r="E32" s="24"/>
      <c r="F32" s="24"/>
      <c r="G32" s="14"/>
      <c r="H32" s="14"/>
      <c r="I32" s="14"/>
      <c r="J32" s="22" t="str">
        <f aca="false">IF($D32="","",IFERROR(VLOOKUP($D32,商品マスタ!$A$5:$G$1000,2,FALSE()),"※商品マスタ未登録"))</f>
        <v/>
      </c>
      <c r="K32" s="22" t="str">
        <f aca="false">IF($D32="","",IFERROR(VLOOKUP($D32,商品マスタ!$A$5:$G$1000,3,FALSE()),""))</f>
        <v/>
      </c>
      <c r="L32" s="22" t="str">
        <f aca="false">IF($D32="","",IF($H32&lt;&gt;"",$H32,IFERROR(VLOOKUP($D32,商品マスタ!$A$5:$G$1000,4,FALSE()),"")))</f>
        <v/>
      </c>
      <c r="M32" s="22" t="str">
        <f aca="false">IF($D32="","",IFERROR(VLOOKUP($D32,商品マスタ!$A$5:$G$1000,5,FALSE()),0))</f>
        <v/>
      </c>
      <c r="N32" s="22" t="str">
        <f aca="false">IF($D32="","",IFERROR(VLOOKUP($D32,商品マスタ!$A$5:$G$1000,6,FALSE()),0))</f>
        <v/>
      </c>
      <c r="O32" s="22" t="str">
        <f aca="false">IF($D32="","",ROUND($E32*$F32,0))</f>
        <v/>
      </c>
      <c r="P32" s="22" t="str">
        <f aca="false">IF($D32="","",$O32)</f>
        <v/>
      </c>
      <c r="Q32" s="22" t="str">
        <f aca="false">IF($A32="","",IF($S32=1,$Q31+1,$Q31))</f>
        <v/>
      </c>
      <c r="R32" s="22" t="str">
        <f aca="false">IF($A32="","",IF($Q32=$Q31,$R31+1,1))</f>
        <v/>
      </c>
      <c r="S32" s="22" t="str">
        <f aca="false">IF($A32="","",IF(AND($A32=$A31,$B32=$B31),0,1))</f>
        <v/>
      </c>
      <c r="T32" s="22" t="str">
        <f aca="false">IF($A32="","",IF($S32=1,COUNTIF($S$5:$S32,1),""))</f>
        <v/>
      </c>
      <c r="U32" s="22" t="str">
        <f aca="false">IF($D32="","",IFERROR(VLOOKUP($D32,商品マスタ!$A$5:$G$1000,7,FALSE()),0))</f>
        <v/>
      </c>
    </row>
    <row r="33" customFormat="false" ht="15" hidden="false" customHeight="true" outlineLevel="0" collapsed="false">
      <c r="A33" s="23"/>
      <c r="B33" s="14"/>
      <c r="C33" s="14"/>
      <c r="D33" s="14"/>
      <c r="E33" s="24"/>
      <c r="F33" s="24"/>
      <c r="G33" s="14"/>
      <c r="H33" s="14"/>
      <c r="I33" s="14"/>
      <c r="J33" s="22" t="str">
        <f aca="false">IF($D33="","",IFERROR(VLOOKUP($D33,商品マスタ!$A$5:$G$1000,2,FALSE()),"※商品マスタ未登録"))</f>
        <v/>
      </c>
      <c r="K33" s="22" t="str">
        <f aca="false">IF($D33="","",IFERROR(VLOOKUP($D33,商品マスタ!$A$5:$G$1000,3,FALSE()),""))</f>
        <v/>
      </c>
      <c r="L33" s="22" t="str">
        <f aca="false">IF($D33="","",IF($H33&lt;&gt;"",$H33,IFERROR(VLOOKUP($D33,商品マスタ!$A$5:$G$1000,4,FALSE()),"")))</f>
        <v/>
      </c>
      <c r="M33" s="22" t="str">
        <f aca="false">IF($D33="","",IFERROR(VLOOKUP($D33,商品マスタ!$A$5:$G$1000,5,FALSE()),0))</f>
        <v/>
      </c>
      <c r="N33" s="22" t="str">
        <f aca="false">IF($D33="","",IFERROR(VLOOKUP($D33,商品マスタ!$A$5:$G$1000,6,FALSE()),0))</f>
        <v/>
      </c>
      <c r="O33" s="22" t="str">
        <f aca="false">IF($D33="","",ROUND($E33*$F33,0))</f>
        <v/>
      </c>
      <c r="P33" s="22" t="str">
        <f aca="false">IF($D33="","",$O33)</f>
        <v/>
      </c>
      <c r="Q33" s="22" t="str">
        <f aca="false">IF($A33="","",IF($S33=1,$Q32+1,$Q32))</f>
        <v/>
      </c>
      <c r="R33" s="22" t="str">
        <f aca="false">IF($A33="","",IF($Q33=$Q32,$R32+1,1))</f>
        <v/>
      </c>
      <c r="S33" s="22" t="str">
        <f aca="false">IF($A33="","",IF(AND($A33=$A32,$B33=$B32),0,1))</f>
        <v/>
      </c>
      <c r="T33" s="22" t="str">
        <f aca="false">IF($A33="","",IF($S33=1,COUNTIF($S$5:$S33,1),""))</f>
        <v/>
      </c>
      <c r="U33" s="22" t="str">
        <f aca="false">IF($D33="","",IFERROR(VLOOKUP($D33,商品マスタ!$A$5:$G$1000,7,FALSE()),0))</f>
        <v/>
      </c>
    </row>
    <row r="34" customFormat="false" ht="15" hidden="false" customHeight="true" outlineLevel="0" collapsed="false">
      <c r="A34" s="23"/>
      <c r="B34" s="14"/>
      <c r="C34" s="14"/>
      <c r="D34" s="14"/>
      <c r="E34" s="24"/>
      <c r="F34" s="24"/>
      <c r="G34" s="14"/>
      <c r="H34" s="14"/>
      <c r="I34" s="14"/>
      <c r="J34" s="22" t="str">
        <f aca="false">IF($D34="","",IFERROR(VLOOKUP($D34,商品マスタ!$A$5:$G$1000,2,FALSE()),"※商品マスタ未登録"))</f>
        <v/>
      </c>
      <c r="K34" s="22" t="str">
        <f aca="false">IF($D34="","",IFERROR(VLOOKUP($D34,商品マスタ!$A$5:$G$1000,3,FALSE()),""))</f>
        <v/>
      </c>
      <c r="L34" s="22" t="str">
        <f aca="false">IF($D34="","",IF($H34&lt;&gt;"",$H34,IFERROR(VLOOKUP($D34,商品マスタ!$A$5:$G$1000,4,FALSE()),"")))</f>
        <v/>
      </c>
      <c r="M34" s="22" t="str">
        <f aca="false">IF($D34="","",IFERROR(VLOOKUP($D34,商品マスタ!$A$5:$G$1000,5,FALSE()),0))</f>
        <v/>
      </c>
      <c r="N34" s="22" t="str">
        <f aca="false">IF($D34="","",IFERROR(VLOOKUP($D34,商品マスタ!$A$5:$G$1000,6,FALSE()),0))</f>
        <v/>
      </c>
      <c r="O34" s="22" t="str">
        <f aca="false">IF($D34="","",ROUND($E34*$F34,0))</f>
        <v/>
      </c>
      <c r="P34" s="22" t="str">
        <f aca="false">IF($D34="","",$O34)</f>
        <v/>
      </c>
      <c r="Q34" s="22" t="str">
        <f aca="false">IF($A34="","",IF($S34=1,$Q33+1,$Q33))</f>
        <v/>
      </c>
      <c r="R34" s="22" t="str">
        <f aca="false">IF($A34="","",IF($Q34=$Q33,$R33+1,1))</f>
        <v/>
      </c>
      <c r="S34" s="22" t="str">
        <f aca="false">IF($A34="","",IF(AND($A34=$A33,$B34=$B33),0,1))</f>
        <v/>
      </c>
      <c r="T34" s="22" t="str">
        <f aca="false">IF($A34="","",IF($S34=1,COUNTIF($S$5:$S34,1),""))</f>
        <v/>
      </c>
      <c r="U34" s="22" t="str">
        <f aca="false">IF($D34="","",IFERROR(VLOOKUP($D34,商品マスタ!$A$5:$G$1000,7,FALSE()),0))</f>
        <v/>
      </c>
    </row>
    <row r="35" customFormat="false" ht="15" hidden="false" customHeight="true" outlineLevel="0" collapsed="false">
      <c r="A35" s="23"/>
      <c r="B35" s="14"/>
      <c r="C35" s="14"/>
      <c r="D35" s="14"/>
      <c r="E35" s="24"/>
      <c r="F35" s="24"/>
      <c r="G35" s="14"/>
      <c r="H35" s="14"/>
      <c r="I35" s="14"/>
      <c r="J35" s="22" t="str">
        <f aca="false">IF($D35="","",IFERROR(VLOOKUP($D35,商品マスタ!$A$5:$G$1000,2,FALSE()),"※商品マスタ未登録"))</f>
        <v/>
      </c>
      <c r="K35" s="22" t="str">
        <f aca="false">IF($D35="","",IFERROR(VLOOKUP($D35,商品マスタ!$A$5:$G$1000,3,FALSE()),""))</f>
        <v/>
      </c>
      <c r="L35" s="22" t="str">
        <f aca="false">IF($D35="","",IF($H35&lt;&gt;"",$H35,IFERROR(VLOOKUP($D35,商品マスタ!$A$5:$G$1000,4,FALSE()),"")))</f>
        <v/>
      </c>
      <c r="M35" s="22" t="str">
        <f aca="false">IF($D35="","",IFERROR(VLOOKUP($D35,商品マスタ!$A$5:$G$1000,5,FALSE()),0))</f>
        <v/>
      </c>
      <c r="N35" s="22" t="str">
        <f aca="false">IF($D35="","",IFERROR(VLOOKUP($D35,商品マスタ!$A$5:$G$1000,6,FALSE()),0))</f>
        <v/>
      </c>
      <c r="O35" s="22" t="str">
        <f aca="false">IF($D35="","",ROUND($E35*$F35,0))</f>
        <v/>
      </c>
      <c r="P35" s="22" t="str">
        <f aca="false">IF($D35="","",$O35)</f>
        <v/>
      </c>
      <c r="Q35" s="22" t="str">
        <f aca="false">IF($A35="","",IF($S35=1,$Q34+1,$Q34))</f>
        <v/>
      </c>
      <c r="R35" s="22" t="str">
        <f aca="false">IF($A35="","",IF($Q35=$Q34,$R34+1,1))</f>
        <v/>
      </c>
      <c r="S35" s="22" t="str">
        <f aca="false">IF($A35="","",IF(AND($A35=$A34,$B35=$B34),0,1))</f>
        <v/>
      </c>
      <c r="T35" s="22" t="str">
        <f aca="false">IF($A35="","",IF($S35=1,COUNTIF($S$5:$S35,1),""))</f>
        <v/>
      </c>
      <c r="U35" s="22" t="str">
        <f aca="false">IF($D35="","",IFERROR(VLOOKUP($D35,商品マスタ!$A$5:$G$1000,7,FALSE()),0))</f>
        <v/>
      </c>
    </row>
    <row r="36" customFormat="false" ht="15" hidden="false" customHeight="true" outlineLevel="0" collapsed="false">
      <c r="A36" s="23"/>
      <c r="B36" s="14"/>
      <c r="C36" s="14"/>
      <c r="D36" s="14"/>
      <c r="E36" s="24"/>
      <c r="F36" s="24"/>
      <c r="G36" s="14"/>
      <c r="H36" s="14"/>
      <c r="I36" s="14"/>
      <c r="J36" s="22" t="str">
        <f aca="false">IF($D36="","",IFERROR(VLOOKUP($D36,商品マスタ!$A$5:$G$1000,2,FALSE()),"※商品マスタ未登録"))</f>
        <v/>
      </c>
      <c r="K36" s="22" t="str">
        <f aca="false">IF($D36="","",IFERROR(VLOOKUP($D36,商品マスタ!$A$5:$G$1000,3,FALSE()),""))</f>
        <v/>
      </c>
      <c r="L36" s="22" t="str">
        <f aca="false">IF($D36="","",IF($H36&lt;&gt;"",$H36,IFERROR(VLOOKUP($D36,商品マスタ!$A$5:$G$1000,4,FALSE()),"")))</f>
        <v/>
      </c>
      <c r="M36" s="22" t="str">
        <f aca="false">IF($D36="","",IFERROR(VLOOKUP($D36,商品マスタ!$A$5:$G$1000,5,FALSE()),0))</f>
        <v/>
      </c>
      <c r="N36" s="22" t="str">
        <f aca="false">IF($D36="","",IFERROR(VLOOKUP($D36,商品マスタ!$A$5:$G$1000,6,FALSE()),0))</f>
        <v/>
      </c>
      <c r="O36" s="22" t="str">
        <f aca="false">IF($D36="","",ROUND($E36*$F36,0))</f>
        <v/>
      </c>
      <c r="P36" s="22" t="str">
        <f aca="false">IF($D36="","",$O36)</f>
        <v/>
      </c>
      <c r="Q36" s="22" t="str">
        <f aca="false">IF($A36="","",IF($S36=1,$Q35+1,$Q35))</f>
        <v/>
      </c>
      <c r="R36" s="22" t="str">
        <f aca="false">IF($A36="","",IF($Q36=$Q35,$R35+1,1))</f>
        <v/>
      </c>
      <c r="S36" s="22" t="str">
        <f aca="false">IF($A36="","",IF(AND($A36=$A35,$B36=$B35),0,1))</f>
        <v/>
      </c>
      <c r="T36" s="22" t="str">
        <f aca="false">IF($A36="","",IF($S36=1,COUNTIF($S$5:$S36,1),""))</f>
        <v/>
      </c>
      <c r="U36" s="22" t="str">
        <f aca="false">IF($D36="","",IFERROR(VLOOKUP($D36,商品マスタ!$A$5:$G$1000,7,FALSE()),0))</f>
        <v/>
      </c>
    </row>
    <row r="37" customFormat="false" ht="15" hidden="false" customHeight="true" outlineLevel="0" collapsed="false">
      <c r="A37" s="23"/>
      <c r="B37" s="14"/>
      <c r="C37" s="14"/>
      <c r="D37" s="14"/>
      <c r="E37" s="24"/>
      <c r="F37" s="24"/>
      <c r="G37" s="14"/>
      <c r="H37" s="14"/>
      <c r="I37" s="14"/>
      <c r="J37" s="22" t="str">
        <f aca="false">IF($D37="","",IFERROR(VLOOKUP($D37,商品マスタ!$A$5:$G$1000,2,FALSE()),"※商品マスタ未登録"))</f>
        <v/>
      </c>
      <c r="K37" s="22" t="str">
        <f aca="false">IF($D37="","",IFERROR(VLOOKUP($D37,商品マスタ!$A$5:$G$1000,3,FALSE()),""))</f>
        <v/>
      </c>
      <c r="L37" s="22" t="str">
        <f aca="false">IF($D37="","",IF($H37&lt;&gt;"",$H37,IFERROR(VLOOKUP($D37,商品マスタ!$A$5:$G$1000,4,FALSE()),"")))</f>
        <v/>
      </c>
      <c r="M37" s="22" t="str">
        <f aca="false">IF($D37="","",IFERROR(VLOOKUP($D37,商品マスタ!$A$5:$G$1000,5,FALSE()),0))</f>
        <v/>
      </c>
      <c r="N37" s="22" t="str">
        <f aca="false">IF($D37="","",IFERROR(VLOOKUP($D37,商品マスタ!$A$5:$G$1000,6,FALSE()),0))</f>
        <v/>
      </c>
      <c r="O37" s="22" t="str">
        <f aca="false">IF($D37="","",ROUND($E37*$F37,0))</f>
        <v/>
      </c>
      <c r="P37" s="22" t="str">
        <f aca="false">IF($D37="","",$O37)</f>
        <v/>
      </c>
      <c r="Q37" s="22" t="str">
        <f aca="false">IF($A37="","",IF($S37=1,$Q36+1,$Q36))</f>
        <v/>
      </c>
      <c r="R37" s="22" t="str">
        <f aca="false">IF($A37="","",IF($Q37=$Q36,$R36+1,1))</f>
        <v/>
      </c>
      <c r="S37" s="22" t="str">
        <f aca="false">IF($A37="","",IF(AND($A37=$A36,$B37=$B36),0,1))</f>
        <v/>
      </c>
      <c r="T37" s="22" t="str">
        <f aca="false">IF($A37="","",IF($S37=1,COUNTIF($S$5:$S37,1),""))</f>
        <v/>
      </c>
      <c r="U37" s="22" t="str">
        <f aca="false">IF($D37="","",IFERROR(VLOOKUP($D37,商品マスタ!$A$5:$G$1000,7,FALSE()),0))</f>
        <v/>
      </c>
    </row>
    <row r="38" customFormat="false" ht="15" hidden="false" customHeight="true" outlineLevel="0" collapsed="false">
      <c r="A38" s="23"/>
      <c r="B38" s="14"/>
      <c r="C38" s="14"/>
      <c r="D38" s="14"/>
      <c r="E38" s="24"/>
      <c r="F38" s="24"/>
      <c r="G38" s="14"/>
      <c r="H38" s="14"/>
      <c r="I38" s="14"/>
      <c r="J38" s="22" t="str">
        <f aca="false">IF($D38="","",IFERROR(VLOOKUP($D38,商品マスタ!$A$5:$G$1000,2,FALSE()),"※商品マスタ未登録"))</f>
        <v/>
      </c>
      <c r="K38" s="22" t="str">
        <f aca="false">IF($D38="","",IFERROR(VLOOKUP($D38,商品マスタ!$A$5:$G$1000,3,FALSE()),""))</f>
        <v/>
      </c>
      <c r="L38" s="22" t="str">
        <f aca="false">IF($D38="","",IF($H38&lt;&gt;"",$H38,IFERROR(VLOOKUP($D38,商品マスタ!$A$5:$G$1000,4,FALSE()),"")))</f>
        <v/>
      </c>
      <c r="M38" s="22" t="str">
        <f aca="false">IF($D38="","",IFERROR(VLOOKUP($D38,商品マスタ!$A$5:$G$1000,5,FALSE()),0))</f>
        <v/>
      </c>
      <c r="N38" s="22" t="str">
        <f aca="false">IF($D38="","",IFERROR(VLOOKUP($D38,商品マスタ!$A$5:$G$1000,6,FALSE()),0))</f>
        <v/>
      </c>
      <c r="O38" s="22" t="str">
        <f aca="false">IF($D38="","",ROUND($E38*$F38,0))</f>
        <v/>
      </c>
      <c r="P38" s="22" t="str">
        <f aca="false">IF($D38="","",$O38)</f>
        <v/>
      </c>
      <c r="Q38" s="22" t="str">
        <f aca="false">IF($A38="","",IF($S38=1,$Q37+1,$Q37))</f>
        <v/>
      </c>
      <c r="R38" s="22" t="str">
        <f aca="false">IF($A38="","",IF($Q38=$Q37,$R37+1,1))</f>
        <v/>
      </c>
      <c r="S38" s="22" t="str">
        <f aca="false">IF($A38="","",IF(AND($A38=$A37,$B38=$B37),0,1))</f>
        <v/>
      </c>
      <c r="T38" s="22" t="str">
        <f aca="false">IF($A38="","",IF($S38=1,COUNTIF($S$5:$S38,1),""))</f>
        <v/>
      </c>
      <c r="U38" s="22" t="str">
        <f aca="false">IF($D38="","",IFERROR(VLOOKUP($D38,商品マスタ!$A$5:$G$1000,7,FALSE()),0))</f>
        <v/>
      </c>
    </row>
    <row r="39" customFormat="false" ht="15" hidden="false" customHeight="true" outlineLevel="0" collapsed="false">
      <c r="A39" s="23"/>
      <c r="B39" s="14"/>
      <c r="C39" s="14"/>
      <c r="D39" s="14"/>
      <c r="E39" s="24"/>
      <c r="F39" s="24"/>
      <c r="G39" s="14"/>
      <c r="H39" s="14"/>
      <c r="I39" s="14"/>
      <c r="J39" s="22" t="str">
        <f aca="false">IF($D39="","",IFERROR(VLOOKUP($D39,商品マスタ!$A$5:$G$1000,2,FALSE()),"※商品マスタ未登録"))</f>
        <v/>
      </c>
      <c r="K39" s="22" t="str">
        <f aca="false">IF($D39="","",IFERROR(VLOOKUP($D39,商品マスタ!$A$5:$G$1000,3,FALSE()),""))</f>
        <v/>
      </c>
      <c r="L39" s="22" t="str">
        <f aca="false">IF($D39="","",IF($H39&lt;&gt;"",$H39,IFERROR(VLOOKUP($D39,商品マスタ!$A$5:$G$1000,4,FALSE()),"")))</f>
        <v/>
      </c>
      <c r="M39" s="22" t="str">
        <f aca="false">IF($D39="","",IFERROR(VLOOKUP($D39,商品マスタ!$A$5:$G$1000,5,FALSE()),0))</f>
        <v/>
      </c>
      <c r="N39" s="22" t="str">
        <f aca="false">IF($D39="","",IFERROR(VLOOKUP($D39,商品マスタ!$A$5:$G$1000,6,FALSE()),0))</f>
        <v/>
      </c>
      <c r="O39" s="22" t="str">
        <f aca="false">IF($D39="","",ROUND($E39*$F39,0))</f>
        <v/>
      </c>
      <c r="P39" s="22" t="str">
        <f aca="false">IF($D39="","",$O39)</f>
        <v/>
      </c>
      <c r="Q39" s="22" t="str">
        <f aca="false">IF($A39="","",IF($S39=1,$Q38+1,$Q38))</f>
        <v/>
      </c>
      <c r="R39" s="22" t="str">
        <f aca="false">IF($A39="","",IF($Q39=$Q38,$R38+1,1))</f>
        <v/>
      </c>
      <c r="S39" s="22" t="str">
        <f aca="false">IF($A39="","",IF(AND($A39=$A38,$B39=$B38),0,1))</f>
        <v/>
      </c>
      <c r="T39" s="22" t="str">
        <f aca="false">IF($A39="","",IF($S39=1,COUNTIF($S$5:$S39,1),""))</f>
        <v/>
      </c>
      <c r="U39" s="22" t="str">
        <f aca="false">IF($D39="","",IFERROR(VLOOKUP($D39,商品マスタ!$A$5:$G$1000,7,FALSE()),0))</f>
        <v/>
      </c>
    </row>
    <row r="40" customFormat="false" ht="15" hidden="false" customHeight="true" outlineLevel="0" collapsed="false">
      <c r="A40" s="23"/>
      <c r="B40" s="14"/>
      <c r="C40" s="14"/>
      <c r="D40" s="14"/>
      <c r="E40" s="24"/>
      <c r="F40" s="24"/>
      <c r="G40" s="14"/>
      <c r="H40" s="14"/>
      <c r="I40" s="14"/>
      <c r="J40" s="22" t="str">
        <f aca="false">IF($D40="","",IFERROR(VLOOKUP($D40,商品マスタ!$A$5:$G$1000,2,FALSE()),"※商品マスタ未登録"))</f>
        <v/>
      </c>
      <c r="K40" s="22" t="str">
        <f aca="false">IF($D40="","",IFERROR(VLOOKUP($D40,商品マスタ!$A$5:$G$1000,3,FALSE()),""))</f>
        <v/>
      </c>
      <c r="L40" s="22" t="str">
        <f aca="false">IF($D40="","",IF($H40&lt;&gt;"",$H40,IFERROR(VLOOKUP($D40,商品マスタ!$A$5:$G$1000,4,FALSE()),"")))</f>
        <v/>
      </c>
      <c r="M40" s="22" t="str">
        <f aca="false">IF($D40="","",IFERROR(VLOOKUP($D40,商品マスタ!$A$5:$G$1000,5,FALSE()),0))</f>
        <v/>
      </c>
      <c r="N40" s="22" t="str">
        <f aca="false">IF($D40="","",IFERROR(VLOOKUP($D40,商品マスタ!$A$5:$G$1000,6,FALSE()),0))</f>
        <v/>
      </c>
      <c r="O40" s="22" t="str">
        <f aca="false">IF($D40="","",ROUND($E40*$F40,0))</f>
        <v/>
      </c>
      <c r="P40" s="22" t="str">
        <f aca="false">IF($D40="","",$O40)</f>
        <v/>
      </c>
      <c r="Q40" s="22" t="str">
        <f aca="false">IF($A40="","",IF($S40=1,$Q39+1,$Q39))</f>
        <v/>
      </c>
      <c r="R40" s="22" t="str">
        <f aca="false">IF($A40="","",IF($Q40=$Q39,$R39+1,1))</f>
        <v/>
      </c>
      <c r="S40" s="22" t="str">
        <f aca="false">IF($A40="","",IF(AND($A40=$A39,$B40=$B39),0,1))</f>
        <v/>
      </c>
      <c r="T40" s="22" t="str">
        <f aca="false">IF($A40="","",IF($S40=1,COUNTIF($S$5:$S40,1),""))</f>
        <v/>
      </c>
      <c r="U40" s="22" t="str">
        <f aca="false">IF($D40="","",IFERROR(VLOOKUP($D40,商品マスタ!$A$5:$G$1000,7,FALSE()),0))</f>
        <v/>
      </c>
    </row>
    <row r="41" customFormat="false" ht="15" hidden="false" customHeight="true" outlineLevel="0" collapsed="false">
      <c r="A41" s="23"/>
      <c r="B41" s="14"/>
      <c r="C41" s="14"/>
      <c r="D41" s="14"/>
      <c r="E41" s="24"/>
      <c r="F41" s="24"/>
      <c r="G41" s="14"/>
      <c r="H41" s="14"/>
      <c r="I41" s="14"/>
      <c r="J41" s="22" t="str">
        <f aca="false">IF($D41="","",IFERROR(VLOOKUP($D41,商品マスタ!$A$5:$G$1000,2,FALSE()),"※商品マスタ未登録"))</f>
        <v/>
      </c>
      <c r="K41" s="22" t="str">
        <f aca="false">IF($D41="","",IFERROR(VLOOKUP($D41,商品マスタ!$A$5:$G$1000,3,FALSE()),""))</f>
        <v/>
      </c>
      <c r="L41" s="22" t="str">
        <f aca="false">IF($D41="","",IF($H41&lt;&gt;"",$H41,IFERROR(VLOOKUP($D41,商品マスタ!$A$5:$G$1000,4,FALSE()),"")))</f>
        <v/>
      </c>
      <c r="M41" s="22" t="str">
        <f aca="false">IF($D41="","",IFERROR(VLOOKUP($D41,商品マスタ!$A$5:$G$1000,5,FALSE()),0))</f>
        <v/>
      </c>
      <c r="N41" s="22" t="str">
        <f aca="false">IF($D41="","",IFERROR(VLOOKUP($D41,商品マスタ!$A$5:$G$1000,6,FALSE()),0))</f>
        <v/>
      </c>
      <c r="O41" s="22" t="str">
        <f aca="false">IF($D41="","",ROUND($E41*$F41,0))</f>
        <v/>
      </c>
      <c r="P41" s="22" t="str">
        <f aca="false">IF($D41="","",$O41)</f>
        <v/>
      </c>
      <c r="Q41" s="22" t="str">
        <f aca="false">IF($A41="","",IF($S41=1,$Q40+1,$Q40))</f>
        <v/>
      </c>
      <c r="R41" s="22" t="str">
        <f aca="false">IF($A41="","",IF($Q41=$Q40,$R40+1,1))</f>
        <v/>
      </c>
      <c r="S41" s="22" t="str">
        <f aca="false">IF($A41="","",IF(AND($A41=$A40,$B41=$B40),0,1))</f>
        <v/>
      </c>
      <c r="T41" s="22" t="str">
        <f aca="false">IF($A41="","",IF($S41=1,COUNTIF($S$5:$S41,1),""))</f>
        <v/>
      </c>
      <c r="U41" s="22" t="str">
        <f aca="false">IF($D41="","",IFERROR(VLOOKUP($D41,商品マスタ!$A$5:$G$1000,7,FALSE()),0))</f>
        <v/>
      </c>
    </row>
    <row r="42" customFormat="false" ht="15" hidden="false" customHeight="true" outlineLevel="0" collapsed="false">
      <c r="A42" s="23"/>
      <c r="B42" s="14"/>
      <c r="C42" s="14"/>
      <c r="D42" s="14"/>
      <c r="E42" s="24"/>
      <c r="F42" s="24"/>
      <c r="G42" s="14"/>
      <c r="H42" s="14"/>
      <c r="I42" s="14"/>
      <c r="J42" s="22" t="str">
        <f aca="false">IF($D42="","",IFERROR(VLOOKUP($D42,商品マスタ!$A$5:$G$1000,2,FALSE()),"※商品マスタ未登録"))</f>
        <v/>
      </c>
      <c r="K42" s="22" t="str">
        <f aca="false">IF($D42="","",IFERROR(VLOOKUP($D42,商品マスタ!$A$5:$G$1000,3,FALSE()),""))</f>
        <v/>
      </c>
      <c r="L42" s="22" t="str">
        <f aca="false">IF($D42="","",IF($H42&lt;&gt;"",$H42,IFERROR(VLOOKUP($D42,商品マスタ!$A$5:$G$1000,4,FALSE()),"")))</f>
        <v/>
      </c>
      <c r="M42" s="22" t="str">
        <f aca="false">IF($D42="","",IFERROR(VLOOKUP($D42,商品マスタ!$A$5:$G$1000,5,FALSE()),0))</f>
        <v/>
      </c>
      <c r="N42" s="22" t="str">
        <f aca="false">IF($D42="","",IFERROR(VLOOKUP($D42,商品マスタ!$A$5:$G$1000,6,FALSE()),0))</f>
        <v/>
      </c>
      <c r="O42" s="22" t="str">
        <f aca="false">IF($D42="","",ROUND($E42*$F42,0))</f>
        <v/>
      </c>
      <c r="P42" s="22" t="str">
        <f aca="false">IF($D42="","",$O42)</f>
        <v/>
      </c>
      <c r="Q42" s="22" t="str">
        <f aca="false">IF($A42="","",IF($S42=1,$Q41+1,$Q41))</f>
        <v/>
      </c>
      <c r="R42" s="22" t="str">
        <f aca="false">IF($A42="","",IF($Q42=$Q41,$R41+1,1))</f>
        <v/>
      </c>
      <c r="S42" s="22" t="str">
        <f aca="false">IF($A42="","",IF(AND($A42=$A41,$B42=$B41),0,1))</f>
        <v/>
      </c>
      <c r="T42" s="22" t="str">
        <f aca="false">IF($A42="","",IF($S42=1,COUNTIF($S$5:$S42,1),""))</f>
        <v/>
      </c>
      <c r="U42" s="22" t="str">
        <f aca="false">IF($D42="","",IFERROR(VLOOKUP($D42,商品マスタ!$A$5:$G$1000,7,FALSE()),0))</f>
        <v/>
      </c>
    </row>
    <row r="43" customFormat="false" ht="15" hidden="false" customHeight="true" outlineLevel="0" collapsed="false">
      <c r="A43" s="23"/>
      <c r="B43" s="14"/>
      <c r="C43" s="14"/>
      <c r="D43" s="14"/>
      <c r="E43" s="24"/>
      <c r="F43" s="24"/>
      <c r="G43" s="14"/>
      <c r="H43" s="14"/>
      <c r="I43" s="14"/>
      <c r="J43" s="22" t="str">
        <f aca="false">IF($D43="","",IFERROR(VLOOKUP($D43,商品マスタ!$A$5:$G$1000,2,FALSE()),"※商品マスタ未登録"))</f>
        <v/>
      </c>
      <c r="K43" s="22" t="str">
        <f aca="false">IF($D43="","",IFERROR(VLOOKUP($D43,商品マスタ!$A$5:$G$1000,3,FALSE()),""))</f>
        <v/>
      </c>
      <c r="L43" s="22" t="str">
        <f aca="false">IF($D43="","",IF($H43&lt;&gt;"",$H43,IFERROR(VLOOKUP($D43,商品マスタ!$A$5:$G$1000,4,FALSE()),"")))</f>
        <v/>
      </c>
      <c r="M43" s="22" t="str">
        <f aca="false">IF($D43="","",IFERROR(VLOOKUP($D43,商品マスタ!$A$5:$G$1000,5,FALSE()),0))</f>
        <v/>
      </c>
      <c r="N43" s="22" t="str">
        <f aca="false">IF($D43="","",IFERROR(VLOOKUP($D43,商品マスタ!$A$5:$G$1000,6,FALSE()),0))</f>
        <v/>
      </c>
      <c r="O43" s="22" t="str">
        <f aca="false">IF($D43="","",ROUND($E43*$F43,0))</f>
        <v/>
      </c>
      <c r="P43" s="22" t="str">
        <f aca="false">IF($D43="","",$O43)</f>
        <v/>
      </c>
      <c r="Q43" s="22" t="str">
        <f aca="false">IF($A43="","",IF($S43=1,$Q42+1,$Q42))</f>
        <v/>
      </c>
      <c r="R43" s="22" t="str">
        <f aca="false">IF($A43="","",IF($Q43=$Q42,$R42+1,1))</f>
        <v/>
      </c>
      <c r="S43" s="22" t="str">
        <f aca="false">IF($A43="","",IF(AND($A43=$A42,$B43=$B42),0,1))</f>
        <v/>
      </c>
      <c r="T43" s="22" t="str">
        <f aca="false">IF($A43="","",IF($S43=1,COUNTIF($S$5:$S43,1),""))</f>
        <v/>
      </c>
      <c r="U43" s="22" t="str">
        <f aca="false">IF($D43="","",IFERROR(VLOOKUP($D43,商品マスタ!$A$5:$G$1000,7,FALSE()),0))</f>
        <v/>
      </c>
    </row>
    <row r="44" customFormat="false" ht="15" hidden="false" customHeight="true" outlineLevel="0" collapsed="false">
      <c r="A44" s="23"/>
      <c r="B44" s="14"/>
      <c r="C44" s="14"/>
      <c r="D44" s="14"/>
      <c r="E44" s="24"/>
      <c r="F44" s="24"/>
      <c r="G44" s="14"/>
      <c r="H44" s="14"/>
      <c r="I44" s="14"/>
      <c r="J44" s="22" t="str">
        <f aca="false">IF($D44="","",IFERROR(VLOOKUP($D44,商品マスタ!$A$5:$G$1000,2,FALSE()),"※商品マスタ未登録"))</f>
        <v/>
      </c>
      <c r="K44" s="22" t="str">
        <f aca="false">IF($D44="","",IFERROR(VLOOKUP($D44,商品マスタ!$A$5:$G$1000,3,FALSE()),""))</f>
        <v/>
      </c>
      <c r="L44" s="22" t="str">
        <f aca="false">IF($D44="","",IF($H44&lt;&gt;"",$H44,IFERROR(VLOOKUP($D44,商品マスタ!$A$5:$G$1000,4,FALSE()),"")))</f>
        <v/>
      </c>
      <c r="M44" s="22" t="str">
        <f aca="false">IF($D44="","",IFERROR(VLOOKUP($D44,商品マスタ!$A$5:$G$1000,5,FALSE()),0))</f>
        <v/>
      </c>
      <c r="N44" s="22" t="str">
        <f aca="false">IF($D44="","",IFERROR(VLOOKUP($D44,商品マスタ!$A$5:$G$1000,6,FALSE()),0))</f>
        <v/>
      </c>
      <c r="O44" s="22" t="str">
        <f aca="false">IF($D44="","",ROUND($E44*$F44,0))</f>
        <v/>
      </c>
      <c r="P44" s="22" t="str">
        <f aca="false">IF($D44="","",$O44)</f>
        <v/>
      </c>
      <c r="Q44" s="22" t="str">
        <f aca="false">IF($A44="","",IF($S44=1,$Q43+1,$Q43))</f>
        <v/>
      </c>
      <c r="R44" s="22" t="str">
        <f aca="false">IF($A44="","",IF($Q44=$Q43,$R43+1,1))</f>
        <v/>
      </c>
      <c r="S44" s="22" t="str">
        <f aca="false">IF($A44="","",IF(AND($A44=$A43,$B44=$B43),0,1))</f>
        <v/>
      </c>
      <c r="T44" s="22" t="str">
        <f aca="false">IF($A44="","",IF($S44=1,COUNTIF($S$5:$S44,1),""))</f>
        <v/>
      </c>
      <c r="U44" s="22" t="str">
        <f aca="false">IF($D44="","",IFERROR(VLOOKUP($D44,商品マスタ!$A$5:$G$1000,7,FALSE()),0))</f>
        <v/>
      </c>
    </row>
    <row r="45" customFormat="false" ht="15" hidden="false" customHeight="true" outlineLevel="0" collapsed="false">
      <c r="A45" s="23"/>
      <c r="B45" s="14"/>
      <c r="C45" s="14"/>
      <c r="D45" s="14"/>
      <c r="E45" s="24"/>
      <c r="F45" s="24"/>
      <c r="G45" s="14"/>
      <c r="H45" s="14"/>
      <c r="I45" s="14"/>
      <c r="J45" s="22" t="str">
        <f aca="false">IF($D45="","",IFERROR(VLOOKUP($D45,商品マスタ!$A$5:$G$1000,2,FALSE()),"※商品マスタ未登録"))</f>
        <v/>
      </c>
      <c r="K45" s="22" t="str">
        <f aca="false">IF($D45="","",IFERROR(VLOOKUP($D45,商品マスタ!$A$5:$G$1000,3,FALSE()),""))</f>
        <v/>
      </c>
      <c r="L45" s="22" t="str">
        <f aca="false">IF($D45="","",IF($H45&lt;&gt;"",$H45,IFERROR(VLOOKUP($D45,商品マスタ!$A$5:$G$1000,4,FALSE()),"")))</f>
        <v/>
      </c>
      <c r="M45" s="22" t="str">
        <f aca="false">IF($D45="","",IFERROR(VLOOKUP($D45,商品マスタ!$A$5:$G$1000,5,FALSE()),0))</f>
        <v/>
      </c>
      <c r="N45" s="22" t="str">
        <f aca="false">IF($D45="","",IFERROR(VLOOKUP($D45,商品マスタ!$A$5:$G$1000,6,FALSE()),0))</f>
        <v/>
      </c>
      <c r="O45" s="22" t="str">
        <f aca="false">IF($D45="","",ROUND($E45*$F45,0))</f>
        <v/>
      </c>
      <c r="P45" s="22" t="str">
        <f aca="false">IF($D45="","",$O45)</f>
        <v/>
      </c>
      <c r="Q45" s="22" t="str">
        <f aca="false">IF($A45="","",IF($S45=1,$Q44+1,$Q44))</f>
        <v/>
      </c>
      <c r="R45" s="22" t="str">
        <f aca="false">IF($A45="","",IF($Q45=$Q44,$R44+1,1))</f>
        <v/>
      </c>
      <c r="S45" s="22" t="str">
        <f aca="false">IF($A45="","",IF(AND($A45=$A44,$B45=$B44),0,1))</f>
        <v/>
      </c>
      <c r="T45" s="22" t="str">
        <f aca="false">IF($A45="","",IF($S45=1,COUNTIF($S$5:$S45,1),""))</f>
        <v/>
      </c>
      <c r="U45" s="22" t="str">
        <f aca="false">IF($D45="","",IFERROR(VLOOKUP($D45,商品マスタ!$A$5:$G$1000,7,FALSE()),0))</f>
        <v/>
      </c>
    </row>
    <row r="46" customFormat="false" ht="15" hidden="false" customHeight="true" outlineLevel="0" collapsed="false">
      <c r="A46" s="23"/>
      <c r="B46" s="14"/>
      <c r="C46" s="14"/>
      <c r="D46" s="14"/>
      <c r="E46" s="24"/>
      <c r="F46" s="24"/>
      <c r="G46" s="14"/>
      <c r="H46" s="14"/>
      <c r="I46" s="14"/>
      <c r="J46" s="22" t="str">
        <f aca="false">IF($D46="","",IFERROR(VLOOKUP($D46,商品マスタ!$A$5:$G$1000,2,FALSE()),"※商品マスタ未登録"))</f>
        <v/>
      </c>
      <c r="K46" s="22" t="str">
        <f aca="false">IF($D46="","",IFERROR(VLOOKUP($D46,商品マスタ!$A$5:$G$1000,3,FALSE()),""))</f>
        <v/>
      </c>
      <c r="L46" s="22" t="str">
        <f aca="false">IF($D46="","",IF($H46&lt;&gt;"",$H46,IFERROR(VLOOKUP($D46,商品マスタ!$A$5:$G$1000,4,FALSE()),"")))</f>
        <v/>
      </c>
      <c r="M46" s="22" t="str">
        <f aca="false">IF($D46="","",IFERROR(VLOOKUP($D46,商品マスタ!$A$5:$G$1000,5,FALSE()),0))</f>
        <v/>
      </c>
      <c r="N46" s="22" t="str">
        <f aca="false">IF($D46="","",IFERROR(VLOOKUP($D46,商品マスタ!$A$5:$G$1000,6,FALSE()),0))</f>
        <v/>
      </c>
      <c r="O46" s="22" t="str">
        <f aca="false">IF($D46="","",ROUND($E46*$F46,0))</f>
        <v/>
      </c>
      <c r="P46" s="22" t="str">
        <f aca="false">IF($D46="","",$O46)</f>
        <v/>
      </c>
      <c r="Q46" s="22" t="str">
        <f aca="false">IF($A46="","",IF($S46=1,$Q45+1,$Q45))</f>
        <v/>
      </c>
      <c r="R46" s="22" t="str">
        <f aca="false">IF($A46="","",IF($Q46=$Q45,$R45+1,1))</f>
        <v/>
      </c>
      <c r="S46" s="22" t="str">
        <f aca="false">IF($A46="","",IF(AND($A46=$A45,$B46=$B45),0,1))</f>
        <v/>
      </c>
      <c r="T46" s="22" t="str">
        <f aca="false">IF($A46="","",IF($S46=1,COUNTIF($S$5:$S46,1),""))</f>
        <v/>
      </c>
      <c r="U46" s="22" t="str">
        <f aca="false">IF($D46="","",IFERROR(VLOOKUP($D46,商品マスタ!$A$5:$G$1000,7,FALSE()),0))</f>
        <v/>
      </c>
    </row>
    <row r="47" customFormat="false" ht="15" hidden="false" customHeight="true" outlineLevel="0" collapsed="false">
      <c r="A47" s="23"/>
      <c r="B47" s="14"/>
      <c r="C47" s="14"/>
      <c r="D47" s="14"/>
      <c r="E47" s="24"/>
      <c r="F47" s="24"/>
      <c r="G47" s="14"/>
      <c r="H47" s="14"/>
      <c r="I47" s="14"/>
      <c r="J47" s="22" t="str">
        <f aca="false">IF($D47="","",IFERROR(VLOOKUP($D47,商品マスタ!$A$5:$G$1000,2,FALSE()),"※商品マスタ未登録"))</f>
        <v/>
      </c>
      <c r="K47" s="22" t="str">
        <f aca="false">IF($D47="","",IFERROR(VLOOKUP($D47,商品マスタ!$A$5:$G$1000,3,FALSE()),""))</f>
        <v/>
      </c>
      <c r="L47" s="22" t="str">
        <f aca="false">IF($D47="","",IF($H47&lt;&gt;"",$H47,IFERROR(VLOOKUP($D47,商品マスタ!$A$5:$G$1000,4,FALSE()),"")))</f>
        <v/>
      </c>
      <c r="M47" s="22" t="str">
        <f aca="false">IF($D47="","",IFERROR(VLOOKUP($D47,商品マスタ!$A$5:$G$1000,5,FALSE()),0))</f>
        <v/>
      </c>
      <c r="N47" s="22" t="str">
        <f aca="false">IF($D47="","",IFERROR(VLOOKUP($D47,商品マスタ!$A$5:$G$1000,6,FALSE()),0))</f>
        <v/>
      </c>
      <c r="O47" s="22" t="str">
        <f aca="false">IF($D47="","",ROUND($E47*$F47,0))</f>
        <v/>
      </c>
      <c r="P47" s="22" t="str">
        <f aca="false">IF($D47="","",$O47)</f>
        <v/>
      </c>
      <c r="Q47" s="22" t="str">
        <f aca="false">IF($A47="","",IF($S47=1,$Q46+1,$Q46))</f>
        <v/>
      </c>
      <c r="R47" s="22" t="str">
        <f aca="false">IF($A47="","",IF($Q47=$Q46,$R46+1,1))</f>
        <v/>
      </c>
      <c r="S47" s="22" t="str">
        <f aca="false">IF($A47="","",IF(AND($A47=$A46,$B47=$B46),0,1))</f>
        <v/>
      </c>
      <c r="T47" s="22" t="str">
        <f aca="false">IF($A47="","",IF($S47=1,COUNTIF($S$5:$S47,1),""))</f>
        <v/>
      </c>
      <c r="U47" s="22" t="str">
        <f aca="false">IF($D47="","",IFERROR(VLOOKUP($D47,商品マスタ!$A$5:$G$1000,7,FALSE()),0))</f>
        <v/>
      </c>
    </row>
    <row r="48" customFormat="false" ht="15" hidden="false" customHeight="true" outlineLevel="0" collapsed="false">
      <c r="A48" s="23"/>
      <c r="B48" s="14"/>
      <c r="C48" s="14"/>
      <c r="D48" s="14"/>
      <c r="E48" s="24"/>
      <c r="F48" s="24"/>
      <c r="G48" s="14"/>
      <c r="H48" s="14"/>
      <c r="I48" s="14"/>
      <c r="J48" s="22" t="str">
        <f aca="false">IF($D48="","",IFERROR(VLOOKUP($D48,商品マスタ!$A$5:$G$1000,2,FALSE()),"※商品マスタ未登録"))</f>
        <v/>
      </c>
      <c r="K48" s="22" t="str">
        <f aca="false">IF($D48="","",IFERROR(VLOOKUP($D48,商品マスタ!$A$5:$G$1000,3,FALSE()),""))</f>
        <v/>
      </c>
      <c r="L48" s="22" t="str">
        <f aca="false">IF($D48="","",IF($H48&lt;&gt;"",$H48,IFERROR(VLOOKUP($D48,商品マスタ!$A$5:$G$1000,4,FALSE()),"")))</f>
        <v/>
      </c>
      <c r="M48" s="22" t="str">
        <f aca="false">IF($D48="","",IFERROR(VLOOKUP($D48,商品マスタ!$A$5:$G$1000,5,FALSE()),0))</f>
        <v/>
      </c>
      <c r="N48" s="22" t="str">
        <f aca="false">IF($D48="","",IFERROR(VLOOKUP($D48,商品マスタ!$A$5:$G$1000,6,FALSE()),0))</f>
        <v/>
      </c>
      <c r="O48" s="22" t="str">
        <f aca="false">IF($D48="","",ROUND($E48*$F48,0))</f>
        <v/>
      </c>
      <c r="P48" s="22" t="str">
        <f aca="false">IF($D48="","",$O48)</f>
        <v/>
      </c>
      <c r="Q48" s="22" t="str">
        <f aca="false">IF($A48="","",IF($S48=1,$Q47+1,$Q47))</f>
        <v/>
      </c>
      <c r="R48" s="22" t="str">
        <f aca="false">IF($A48="","",IF($Q48=$Q47,$R47+1,1))</f>
        <v/>
      </c>
      <c r="S48" s="22" t="str">
        <f aca="false">IF($A48="","",IF(AND($A48=$A47,$B48=$B47),0,1))</f>
        <v/>
      </c>
      <c r="T48" s="22" t="str">
        <f aca="false">IF($A48="","",IF($S48=1,COUNTIF($S$5:$S48,1),""))</f>
        <v/>
      </c>
      <c r="U48" s="22" t="str">
        <f aca="false">IF($D48="","",IFERROR(VLOOKUP($D48,商品マスタ!$A$5:$G$1000,7,FALSE()),0))</f>
        <v/>
      </c>
    </row>
    <row r="49" customFormat="false" ht="15" hidden="false" customHeight="true" outlineLevel="0" collapsed="false">
      <c r="A49" s="23"/>
      <c r="B49" s="14"/>
      <c r="C49" s="14"/>
      <c r="D49" s="14"/>
      <c r="E49" s="24"/>
      <c r="F49" s="24"/>
      <c r="G49" s="14"/>
      <c r="H49" s="14"/>
      <c r="I49" s="14"/>
      <c r="J49" s="22" t="str">
        <f aca="false">IF($D49="","",IFERROR(VLOOKUP($D49,商品マスタ!$A$5:$G$1000,2,FALSE()),"※商品マスタ未登録"))</f>
        <v/>
      </c>
      <c r="K49" s="22" t="str">
        <f aca="false">IF($D49="","",IFERROR(VLOOKUP($D49,商品マスタ!$A$5:$G$1000,3,FALSE()),""))</f>
        <v/>
      </c>
      <c r="L49" s="22" t="str">
        <f aca="false">IF($D49="","",IF($H49&lt;&gt;"",$H49,IFERROR(VLOOKUP($D49,商品マスタ!$A$5:$G$1000,4,FALSE()),"")))</f>
        <v/>
      </c>
      <c r="M49" s="22" t="str">
        <f aca="false">IF($D49="","",IFERROR(VLOOKUP($D49,商品マスタ!$A$5:$G$1000,5,FALSE()),0))</f>
        <v/>
      </c>
      <c r="N49" s="22" t="str">
        <f aca="false">IF($D49="","",IFERROR(VLOOKUP($D49,商品マスタ!$A$5:$G$1000,6,FALSE()),0))</f>
        <v/>
      </c>
      <c r="O49" s="22" t="str">
        <f aca="false">IF($D49="","",ROUND($E49*$F49,0))</f>
        <v/>
      </c>
      <c r="P49" s="22" t="str">
        <f aca="false">IF($D49="","",$O49)</f>
        <v/>
      </c>
      <c r="Q49" s="22" t="str">
        <f aca="false">IF($A49="","",IF($S49=1,$Q48+1,$Q48))</f>
        <v/>
      </c>
      <c r="R49" s="22" t="str">
        <f aca="false">IF($A49="","",IF($Q49=$Q48,$R48+1,1))</f>
        <v/>
      </c>
      <c r="S49" s="22" t="str">
        <f aca="false">IF($A49="","",IF(AND($A49=$A48,$B49=$B48),0,1))</f>
        <v/>
      </c>
      <c r="T49" s="22" t="str">
        <f aca="false">IF($A49="","",IF($S49=1,COUNTIF($S$5:$S49,1),""))</f>
        <v/>
      </c>
      <c r="U49" s="22" t="str">
        <f aca="false">IF($D49="","",IFERROR(VLOOKUP($D49,商品マスタ!$A$5:$G$1000,7,FALSE()),0))</f>
        <v/>
      </c>
    </row>
    <row r="50" customFormat="false" ht="15" hidden="false" customHeight="true" outlineLevel="0" collapsed="false">
      <c r="A50" s="23"/>
      <c r="B50" s="14"/>
      <c r="C50" s="14"/>
      <c r="D50" s="14"/>
      <c r="E50" s="24"/>
      <c r="F50" s="24"/>
      <c r="G50" s="14"/>
      <c r="H50" s="14"/>
      <c r="I50" s="14"/>
      <c r="J50" s="22" t="str">
        <f aca="false">IF($D50="","",IFERROR(VLOOKUP($D50,商品マスタ!$A$5:$G$1000,2,FALSE()),"※商品マスタ未登録"))</f>
        <v/>
      </c>
      <c r="K50" s="22" t="str">
        <f aca="false">IF($D50="","",IFERROR(VLOOKUP($D50,商品マスタ!$A$5:$G$1000,3,FALSE()),""))</f>
        <v/>
      </c>
      <c r="L50" s="22" t="str">
        <f aca="false">IF($D50="","",IF($H50&lt;&gt;"",$H50,IFERROR(VLOOKUP($D50,商品マスタ!$A$5:$G$1000,4,FALSE()),"")))</f>
        <v/>
      </c>
      <c r="M50" s="22" t="str">
        <f aca="false">IF($D50="","",IFERROR(VLOOKUP($D50,商品マスタ!$A$5:$G$1000,5,FALSE()),0))</f>
        <v/>
      </c>
      <c r="N50" s="22" t="str">
        <f aca="false">IF($D50="","",IFERROR(VLOOKUP($D50,商品マスタ!$A$5:$G$1000,6,FALSE()),0))</f>
        <v/>
      </c>
      <c r="O50" s="22" t="str">
        <f aca="false">IF($D50="","",ROUND($E50*$F50,0))</f>
        <v/>
      </c>
      <c r="P50" s="22" t="str">
        <f aca="false">IF($D50="","",$O50)</f>
        <v/>
      </c>
      <c r="Q50" s="22" t="str">
        <f aca="false">IF($A50="","",IF($S50=1,$Q49+1,$Q49))</f>
        <v/>
      </c>
      <c r="R50" s="22" t="str">
        <f aca="false">IF($A50="","",IF($Q50=$Q49,$R49+1,1))</f>
        <v/>
      </c>
      <c r="S50" s="22" t="str">
        <f aca="false">IF($A50="","",IF(AND($A50=$A49,$B50=$B49),0,1))</f>
        <v/>
      </c>
      <c r="T50" s="22" t="str">
        <f aca="false">IF($A50="","",IF($S50=1,COUNTIF($S$5:$S50,1),""))</f>
        <v/>
      </c>
      <c r="U50" s="22" t="str">
        <f aca="false">IF($D50="","",IFERROR(VLOOKUP($D50,商品マスタ!$A$5:$G$1000,7,FALSE()),0))</f>
        <v/>
      </c>
    </row>
    <row r="51" customFormat="false" ht="15" hidden="false" customHeight="true" outlineLevel="0" collapsed="false">
      <c r="A51" s="23"/>
      <c r="B51" s="14"/>
      <c r="C51" s="14"/>
      <c r="D51" s="14"/>
      <c r="E51" s="24"/>
      <c r="F51" s="24"/>
      <c r="G51" s="14"/>
      <c r="H51" s="14"/>
      <c r="I51" s="14"/>
      <c r="J51" s="22" t="str">
        <f aca="false">IF($D51="","",IFERROR(VLOOKUP($D51,商品マスタ!$A$5:$G$1000,2,FALSE()),"※商品マスタ未登録"))</f>
        <v/>
      </c>
      <c r="K51" s="22" t="str">
        <f aca="false">IF($D51="","",IFERROR(VLOOKUP($D51,商品マスタ!$A$5:$G$1000,3,FALSE()),""))</f>
        <v/>
      </c>
      <c r="L51" s="22" t="str">
        <f aca="false">IF($D51="","",IF($H51&lt;&gt;"",$H51,IFERROR(VLOOKUP($D51,商品マスタ!$A$5:$G$1000,4,FALSE()),"")))</f>
        <v/>
      </c>
      <c r="M51" s="22" t="str">
        <f aca="false">IF($D51="","",IFERROR(VLOOKUP($D51,商品マスタ!$A$5:$G$1000,5,FALSE()),0))</f>
        <v/>
      </c>
      <c r="N51" s="22" t="str">
        <f aca="false">IF($D51="","",IFERROR(VLOOKUP($D51,商品マスタ!$A$5:$G$1000,6,FALSE()),0))</f>
        <v/>
      </c>
      <c r="O51" s="22" t="str">
        <f aca="false">IF($D51="","",ROUND($E51*$F51,0))</f>
        <v/>
      </c>
      <c r="P51" s="22" t="str">
        <f aca="false">IF($D51="","",$O51)</f>
        <v/>
      </c>
      <c r="Q51" s="22" t="str">
        <f aca="false">IF($A51="","",IF($S51=1,$Q50+1,$Q50))</f>
        <v/>
      </c>
      <c r="R51" s="22" t="str">
        <f aca="false">IF($A51="","",IF($Q51=$Q50,$R50+1,1))</f>
        <v/>
      </c>
      <c r="S51" s="22" t="str">
        <f aca="false">IF($A51="","",IF(AND($A51=$A50,$B51=$B50),0,1))</f>
        <v/>
      </c>
      <c r="T51" s="22" t="str">
        <f aca="false">IF($A51="","",IF($S51=1,COUNTIF($S$5:$S51,1),""))</f>
        <v/>
      </c>
      <c r="U51" s="22" t="str">
        <f aca="false">IF($D51="","",IFERROR(VLOOKUP($D51,商品マスタ!$A$5:$G$1000,7,FALSE()),0))</f>
        <v/>
      </c>
    </row>
    <row r="52" customFormat="false" ht="15" hidden="false" customHeight="true" outlineLevel="0" collapsed="false">
      <c r="A52" s="23"/>
      <c r="B52" s="14"/>
      <c r="C52" s="14"/>
      <c r="D52" s="14"/>
      <c r="E52" s="24"/>
      <c r="F52" s="24"/>
      <c r="G52" s="14"/>
      <c r="H52" s="14"/>
      <c r="I52" s="14"/>
      <c r="J52" s="22" t="str">
        <f aca="false">IF($D52="","",IFERROR(VLOOKUP($D52,商品マスタ!$A$5:$G$1000,2,FALSE()),"※商品マスタ未登録"))</f>
        <v/>
      </c>
      <c r="K52" s="22" t="str">
        <f aca="false">IF($D52="","",IFERROR(VLOOKUP($D52,商品マスタ!$A$5:$G$1000,3,FALSE()),""))</f>
        <v/>
      </c>
      <c r="L52" s="22" t="str">
        <f aca="false">IF($D52="","",IF($H52&lt;&gt;"",$H52,IFERROR(VLOOKUP($D52,商品マスタ!$A$5:$G$1000,4,FALSE()),"")))</f>
        <v/>
      </c>
      <c r="M52" s="22" t="str">
        <f aca="false">IF($D52="","",IFERROR(VLOOKUP($D52,商品マスタ!$A$5:$G$1000,5,FALSE()),0))</f>
        <v/>
      </c>
      <c r="N52" s="22" t="str">
        <f aca="false">IF($D52="","",IFERROR(VLOOKUP($D52,商品マスタ!$A$5:$G$1000,6,FALSE()),0))</f>
        <v/>
      </c>
      <c r="O52" s="22" t="str">
        <f aca="false">IF($D52="","",ROUND($E52*$F52,0))</f>
        <v/>
      </c>
      <c r="P52" s="22" t="str">
        <f aca="false">IF($D52="","",$O52)</f>
        <v/>
      </c>
      <c r="Q52" s="22" t="str">
        <f aca="false">IF($A52="","",IF($S52=1,$Q51+1,$Q51))</f>
        <v/>
      </c>
      <c r="R52" s="22" t="str">
        <f aca="false">IF($A52="","",IF($Q52=$Q51,$R51+1,1))</f>
        <v/>
      </c>
      <c r="S52" s="22" t="str">
        <f aca="false">IF($A52="","",IF(AND($A52=$A51,$B52=$B51),0,1))</f>
        <v/>
      </c>
      <c r="T52" s="22" t="str">
        <f aca="false">IF($A52="","",IF($S52=1,COUNTIF($S$5:$S52,1),""))</f>
        <v/>
      </c>
      <c r="U52" s="22" t="str">
        <f aca="false">IF($D52="","",IFERROR(VLOOKUP($D52,商品マスタ!$A$5:$G$1000,7,FALSE()),0))</f>
        <v/>
      </c>
    </row>
    <row r="53" customFormat="false" ht="15" hidden="false" customHeight="true" outlineLevel="0" collapsed="false">
      <c r="A53" s="23"/>
      <c r="B53" s="14"/>
      <c r="C53" s="14"/>
      <c r="D53" s="14"/>
      <c r="E53" s="24"/>
      <c r="F53" s="24"/>
      <c r="G53" s="14"/>
      <c r="H53" s="14"/>
      <c r="I53" s="14"/>
      <c r="J53" s="22" t="str">
        <f aca="false">IF($D53="","",IFERROR(VLOOKUP($D53,商品マスタ!$A$5:$G$1000,2,FALSE()),"※商品マスタ未登録"))</f>
        <v/>
      </c>
      <c r="K53" s="22" t="str">
        <f aca="false">IF($D53="","",IFERROR(VLOOKUP($D53,商品マスタ!$A$5:$G$1000,3,FALSE()),""))</f>
        <v/>
      </c>
      <c r="L53" s="22" t="str">
        <f aca="false">IF($D53="","",IF($H53&lt;&gt;"",$H53,IFERROR(VLOOKUP($D53,商品マスタ!$A$5:$G$1000,4,FALSE()),"")))</f>
        <v/>
      </c>
      <c r="M53" s="22" t="str">
        <f aca="false">IF($D53="","",IFERROR(VLOOKUP($D53,商品マスタ!$A$5:$G$1000,5,FALSE()),0))</f>
        <v/>
      </c>
      <c r="N53" s="22" t="str">
        <f aca="false">IF($D53="","",IFERROR(VLOOKUP($D53,商品マスタ!$A$5:$G$1000,6,FALSE()),0))</f>
        <v/>
      </c>
      <c r="O53" s="22" t="str">
        <f aca="false">IF($D53="","",ROUND($E53*$F53,0))</f>
        <v/>
      </c>
      <c r="P53" s="22" t="str">
        <f aca="false">IF($D53="","",$O53)</f>
        <v/>
      </c>
      <c r="Q53" s="22" t="str">
        <f aca="false">IF($A53="","",IF($S53=1,$Q52+1,$Q52))</f>
        <v/>
      </c>
      <c r="R53" s="22" t="str">
        <f aca="false">IF($A53="","",IF($Q53=$Q52,$R52+1,1))</f>
        <v/>
      </c>
      <c r="S53" s="22" t="str">
        <f aca="false">IF($A53="","",IF(AND($A53=$A52,$B53=$B52),0,1))</f>
        <v/>
      </c>
      <c r="T53" s="22" t="str">
        <f aca="false">IF($A53="","",IF($S53=1,COUNTIF($S$5:$S53,1),""))</f>
        <v/>
      </c>
      <c r="U53" s="22" t="str">
        <f aca="false">IF($D53="","",IFERROR(VLOOKUP($D53,商品マスタ!$A$5:$G$1000,7,FALSE()),0))</f>
        <v/>
      </c>
    </row>
    <row r="54" customFormat="false" ht="15" hidden="false" customHeight="true" outlineLevel="0" collapsed="false">
      <c r="A54" s="23"/>
      <c r="B54" s="14"/>
      <c r="C54" s="14"/>
      <c r="D54" s="14"/>
      <c r="E54" s="24"/>
      <c r="F54" s="24"/>
      <c r="G54" s="14"/>
      <c r="H54" s="14"/>
      <c r="I54" s="14"/>
      <c r="J54" s="22" t="str">
        <f aca="false">IF($D54="","",IFERROR(VLOOKUP($D54,商品マスタ!$A$5:$G$1000,2,FALSE()),"※商品マスタ未登録"))</f>
        <v/>
      </c>
      <c r="K54" s="22" t="str">
        <f aca="false">IF($D54="","",IFERROR(VLOOKUP($D54,商品マスタ!$A$5:$G$1000,3,FALSE()),""))</f>
        <v/>
      </c>
      <c r="L54" s="22" t="str">
        <f aca="false">IF($D54="","",IF($H54&lt;&gt;"",$H54,IFERROR(VLOOKUP($D54,商品マスタ!$A$5:$G$1000,4,FALSE()),"")))</f>
        <v/>
      </c>
      <c r="M54" s="22" t="str">
        <f aca="false">IF($D54="","",IFERROR(VLOOKUP($D54,商品マスタ!$A$5:$G$1000,5,FALSE()),0))</f>
        <v/>
      </c>
      <c r="N54" s="22" t="str">
        <f aca="false">IF($D54="","",IFERROR(VLOOKUP($D54,商品マスタ!$A$5:$G$1000,6,FALSE()),0))</f>
        <v/>
      </c>
      <c r="O54" s="22" t="str">
        <f aca="false">IF($D54="","",ROUND($E54*$F54,0))</f>
        <v/>
      </c>
      <c r="P54" s="22" t="str">
        <f aca="false">IF($D54="","",$O54)</f>
        <v/>
      </c>
      <c r="Q54" s="22" t="str">
        <f aca="false">IF($A54="","",IF($S54=1,$Q53+1,$Q53))</f>
        <v/>
      </c>
      <c r="R54" s="22" t="str">
        <f aca="false">IF($A54="","",IF($Q54=$Q53,$R53+1,1))</f>
        <v/>
      </c>
      <c r="S54" s="22" t="str">
        <f aca="false">IF($A54="","",IF(AND($A54=$A53,$B54=$B53),0,1))</f>
        <v/>
      </c>
      <c r="T54" s="22" t="str">
        <f aca="false">IF($A54="","",IF($S54=1,COUNTIF($S$5:$S54,1),""))</f>
        <v/>
      </c>
      <c r="U54" s="22" t="str">
        <f aca="false">IF($D54="","",IFERROR(VLOOKUP($D54,商品マスタ!$A$5:$G$1000,7,FALSE()),0))</f>
        <v/>
      </c>
    </row>
    <row r="55" customFormat="false" ht="15" hidden="false" customHeight="true" outlineLevel="0" collapsed="false">
      <c r="A55" s="23"/>
      <c r="B55" s="14"/>
      <c r="C55" s="14"/>
      <c r="D55" s="14"/>
      <c r="E55" s="24"/>
      <c r="F55" s="24"/>
      <c r="G55" s="14"/>
      <c r="H55" s="14"/>
      <c r="I55" s="14"/>
      <c r="J55" s="22" t="str">
        <f aca="false">IF($D55="","",IFERROR(VLOOKUP($D55,商品マスタ!$A$5:$G$1000,2,FALSE()),"※商品マスタ未登録"))</f>
        <v/>
      </c>
      <c r="K55" s="22" t="str">
        <f aca="false">IF($D55="","",IFERROR(VLOOKUP($D55,商品マスタ!$A$5:$G$1000,3,FALSE()),""))</f>
        <v/>
      </c>
      <c r="L55" s="22" t="str">
        <f aca="false">IF($D55="","",IF($H55&lt;&gt;"",$H55,IFERROR(VLOOKUP($D55,商品マスタ!$A$5:$G$1000,4,FALSE()),"")))</f>
        <v/>
      </c>
      <c r="M55" s="22" t="str">
        <f aca="false">IF($D55="","",IFERROR(VLOOKUP($D55,商品マスタ!$A$5:$G$1000,5,FALSE()),0))</f>
        <v/>
      </c>
      <c r="N55" s="22" t="str">
        <f aca="false">IF($D55="","",IFERROR(VLOOKUP($D55,商品マスタ!$A$5:$G$1000,6,FALSE()),0))</f>
        <v/>
      </c>
      <c r="O55" s="22" t="str">
        <f aca="false">IF($D55="","",ROUND($E55*$F55,0))</f>
        <v/>
      </c>
      <c r="P55" s="22" t="str">
        <f aca="false">IF($D55="","",$O55)</f>
        <v/>
      </c>
      <c r="Q55" s="22" t="str">
        <f aca="false">IF($A55="","",IF($S55=1,$Q54+1,$Q54))</f>
        <v/>
      </c>
      <c r="R55" s="22" t="str">
        <f aca="false">IF($A55="","",IF($Q55=$Q54,$R54+1,1))</f>
        <v/>
      </c>
      <c r="S55" s="22" t="str">
        <f aca="false">IF($A55="","",IF(AND($A55=$A54,$B55=$B54),0,1))</f>
        <v/>
      </c>
      <c r="T55" s="22" t="str">
        <f aca="false">IF($A55="","",IF($S55=1,COUNTIF($S$5:$S55,1),""))</f>
        <v/>
      </c>
      <c r="U55" s="22" t="str">
        <f aca="false">IF($D55="","",IFERROR(VLOOKUP($D55,商品マスタ!$A$5:$G$1000,7,FALSE()),0))</f>
        <v/>
      </c>
    </row>
    <row r="56" customFormat="false" ht="15" hidden="false" customHeight="true" outlineLevel="0" collapsed="false">
      <c r="A56" s="23"/>
      <c r="B56" s="14"/>
      <c r="C56" s="14"/>
      <c r="D56" s="14"/>
      <c r="E56" s="24"/>
      <c r="F56" s="24"/>
      <c r="G56" s="14"/>
      <c r="H56" s="14"/>
      <c r="I56" s="14"/>
      <c r="J56" s="22" t="str">
        <f aca="false">IF($D56="","",IFERROR(VLOOKUP($D56,商品マスタ!$A$5:$G$1000,2,FALSE()),"※商品マスタ未登録"))</f>
        <v/>
      </c>
      <c r="K56" s="22" t="str">
        <f aca="false">IF($D56="","",IFERROR(VLOOKUP($D56,商品マスタ!$A$5:$G$1000,3,FALSE()),""))</f>
        <v/>
      </c>
      <c r="L56" s="22" t="str">
        <f aca="false">IF($D56="","",IF($H56&lt;&gt;"",$H56,IFERROR(VLOOKUP($D56,商品マスタ!$A$5:$G$1000,4,FALSE()),"")))</f>
        <v/>
      </c>
      <c r="M56" s="22" t="str">
        <f aca="false">IF($D56="","",IFERROR(VLOOKUP($D56,商品マスタ!$A$5:$G$1000,5,FALSE()),0))</f>
        <v/>
      </c>
      <c r="N56" s="22" t="str">
        <f aca="false">IF($D56="","",IFERROR(VLOOKUP($D56,商品マスタ!$A$5:$G$1000,6,FALSE()),0))</f>
        <v/>
      </c>
      <c r="O56" s="22" t="str">
        <f aca="false">IF($D56="","",ROUND($E56*$F56,0))</f>
        <v/>
      </c>
      <c r="P56" s="22" t="str">
        <f aca="false">IF($D56="","",$O56)</f>
        <v/>
      </c>
      <c r="Q56" s="22" t="str">
        <f aca="false">IF($A56="","",IF($S56=1,$Q55+1,$Q55))</f>
        <v/>
      </c>
      <c r="R56" s="22" t="str">
        <f aca="false">IF($A56="","",IF($Q56=$Q55,$R55+1,1))</f>
        <v/>
      </c>
      <c r="S56" s="22" t="str">
        <f aca="false">IF($A56="","",IF(AND($A56=$A55,$B56=$B55),0,1))</f>
        <v/>
      </c>
      <c r="T56" s="22" t="str">
        <f aca="false">IF($A56="","",IF($S56=1,COUNTIF($S$5:$S56,1),""))</f>
        <v/>
      </c>
      <c r="U56" s="22" t="str">
        <f aca="false">IF($D56="","",IFERROR(VLOOKUP($D56,商品マスタ!$A$5:$G$1000,7,FALSE()),0))</f>
        <v/>
      </c>
    </row>
    <row r="57" customFormat="false" ht="15" hidden="false" customHeight="true" outlineLevel="0" collapsed="false">
      <c r="A57" s="23"/>
      <c r="B57" s="14"/>
      <c r="C57" s="14"/>
      <c r="D57" s="14"/>
      <c r="E57" s="24"/>
      <c r="F57" s="24"/>
      <c r="G57" s="14"/>
      <c r="H57" s="14"/>
      <c r="I57" s="14"/>
      <c r="J57" s="22" t="str">
        <f aca="false">IF($D57="","",IFERROR(VLOOKUP($D57,商品マスタ!$A$5:$G$1000,2,FALSE()),"※商品マスタ未登録"))</f>
        <v/>
      </c>
      <c r="K57" s="22" t="str">
        <f aca="false">IF($D57="","",IFERROR(VLOOKUP($D57,商品マスタ!$A$5:$G$1000,3,FALSE()),""))</f>
        <v/>
      </c>
      <c r="L57" s="22" t="str">
        <f aca="false">IF($D57="","",IF($H57&lt;&gt;"",$H57,IFERROR(VLOOKUP($D57,商品マスタ!$A$5:$G$1000,4,FALSE()),"")))</f>
        <v/>
      </c>
      <c r="M57" s="22" t="str">
        <f aca="false">IF($D57="","",IFERROR(VLOOKUP($D57,商品マスタ!$A$5:$G$1000,5,FALSE()),0))</f>
        <v/>
      </c>
      <c r="N57" s="22" t="str">
        <f aca="false">IF($D57="","",IFERROR(VLOOKUP($D57,商品マスタ!$A$5:$G$1000,6,FALSE()),0))</f>
        <v/>
      </c>
      <c r="O57" s="22" t="str">
        <f aca="false">IF($D57="","",ROUND($E57*$F57,0))</f>
        <v/>
      </c>
      <c r="P57" s="22" t="str">
        <f aca="false">IF($D57="","",$O57)</f>
        <v/>
      </c>
      <c r="Q57" s="22" t="str">
        <f aca="false">IF($A57="","",IF($S57=1,$Q56+1,$Q56))</f>
        <v/>
      </c>
      <c r="R57" s="22" t="str">
        <f aca="false">IF($A57="","",IF($Q57=$Q56,$R56+1,1))</f>
        <v/>
      </c>
      <c r="S57" s="22" t="str">
        <f aca="false">IF($A57="","",IF(AND($A57=$A56,$B57=$B56),0,1))</f>
        <v/>
      </c>
      <c r="T57" s="22" t="str">
        <f aca="false">IF($A57="","",IF($S57=1,COUNTIF($S$5:$S57,1),""))</f>
        <v/>
      </c>
      <c r="U57" s="22" t="str">
        <f aca="false">IF($D57="","",IFERROR(VLOOKUP($D57,商品マスタ!$A$5:$G$1000,7,FALSE()),0))</f>
        <v/>
      </c>
    </row>
    <row r="58" customFormat="false" ht="15" hidden="false" customHeight="true" outlineLevel="0" collapsed="false">
      <c r="A58" s="23"/>
      <c r="B58" s="14"/>
      <c r="C58" s="14"/>
      <c r="D58" s="14"/>
      <c r="E58" s="24"/>
      <c r="F58" s="24"/>
      <c r="G58" s="14"/>
      <c r="H58" s="14"/>
      <c r="I58" s="14"/>
      <c r="J58" s="22" t="str">
        <f aca="false">IF($D58="","",IFERROR(VLOOKUP($D58,商品マスタ!$A$5:$G$1000,2,FALSE()),"※商品マスタ未登録"))</f>
        <v/>
      </c>
      <c r="K58" s="22" t="str">
        <f aca="false">IF($D58="","",IFERROR(VLOOKUP($D58,商品マスタ!$A$5:$G$1000,3,FALSE()),""))</f>
        <v/>
      </c>
      <c r="L58" s="22" t="str">
        <f aca="false">IF($D58="","",IF($H58&lt;&gt;"",$H58,IFERROR(VLOOKUP($D58,商品マスタ!$A$5:$G$1000,4,FALSE()),"")))</f>
        <v/>
      </c>
      <c r="M58" s="22" t="str">
        <f aca="false">IF($D58="","",IFERROR(VLOOKUP($D58,商品マスタ!$A$5:$G$1000,5,FALSE()),0))</f>
        <v/>
      </c>
      <c r="N58" s="22" t="str">
        <f aca="false">IF($D58="","",IFERROR(VLOOKUP($D58,商品マスタ!$A$5:$G$1000,6,FALSE()),0))</f>
        <v/>
      </c>
      <c r="O58" s="22" t="str">
        <f aca="false">IF($D58="","",ROUND($E58*$F58,0))</f>
        <v/>
      </c>
      <c r="P58" s="22" t="str">
        <f aca="false">IF($D58="","",$O58)</f>
        <v/>
      </c>
      <c r="Q58" s="22" t="str">
        <f aca="false">IF($A58="","",IF($S58=1,$Q57+1,$Q57))</f>
        <v/>
      </c>
      <c r="R58" s="22" t="str">
        <f aca="false">IF($A58="","",IF($Q58=$Q57,$R57+1,1))</f>
        <v/>
      </c>
      <c r="S58" s="22" t="str">
        <f aca="false">IF($A58="","",IF(AND($A58=$A57,$B58=$B57),0,1))</f>
        <v/>
      </c>
      <c r="T58" s="22" t="str">
        <f aca="false">IF($A58="","",IF($S58=1,COUNTIF($S$5:$S58,1),""))</f>
        <v/>
      </c>
      <c r="U58" s="22" t="str">
        <f aca="false">IF($D58="","",IFERROR(VLOOKUP($D58,商品マスタ!$A$5:$G$1000,7,FALSE()),0))</f>
        <v/>
      </c>
    </row>
    <row r="59" customFormat="false" ht="15" hidden="false" customHeight="true" outlineLevel="0" collapsed="false">
      <c r="A59" s="23"/>
      <c r="B59" s="14"/>
      <c r="C59" s="14"/>
      <c r="D59" s="14"/>
      <c r="E59" s="24"/>
      <c r="F59" s="24"/>
      <c r="G59" s="14"/>
      <c r="H59" s="14"/>
      <c r="I59" s="14"/>
      <c r="J59" s="22" t="str">
        <f aca="false">IF($D59="","",IFERROR(VLOOKUP($D59,商品マスタ!$A$5:$G$1000,2,FALSE()),"※商品マスタ未登録"))</f>
        <v/>
      </c>
      <c r="K59" s="22" t="str">
        <f aca="false">IF($D59="","",IFERROR(VLOOKUP($D59,商品マスタ!$A$5:$G$1000,3,FALSE()),""))</f>
        <v/>
      </c>
      <c r="L59" s="22" t="str">
        <f aca="false">IF($D59="","",IF($H59&lt;&gt;"",$H59,IFERROR(VLOOKUP($D59,商品マスタ!$A$5:$G$1000,4,FALSE()),"")))</f>
        <v/>
      </c>
      <c r="M59" s="22" t="str">
        <f aca="false">IF($D59="","",IFERROR(VLOOKUP($D59,商品マスタ!$A$5:$G$1000,5,FALSE()),0))</f>
        <v/>
      </c>
      <c r="N59" s="22" t="str">
        <f aca="false">IF($D59="","",IFERROR(VLOOKUP($D59,商品マスタ!$A$5:$G$1000,6,FALSE()),0))</f>
        <v/>
      </c>
      <c r="O59" s="22" t="str">
        <f aca="false">IF($D59="","",ROUND($E59*$F59,0))</f>
        <v/>
      </c>
      <c r="P59" s="22" t="str">
        <f aca="false">IF($D59="","",$O59)</f>
        <v/>
      </c>
      <c r="Q59" s="22" t="str">
        <f aca="false">IF($A59="","",IF($S59=1,$Q58+1,$Q58))</f>
        <v/>
      </c>
      <c r="R59" s="22" t="str">
        <f aca="false">IF($A59="","",IF($Q59=$Q58,$R58+1,1))</f>
        <v/>
      </c>
      <c r="S59" s="22" t="str">
        <f aca="false">IF($A59="","",IF(AND($A59=$A58,$B59=$B58),0,1))</f>
        <v/>
      </c>
      <c r="T59" s="22" t="str">
        <f aca="false">IF($A59="","",IF($S59=1,COUNTIF($S$5:$S59,1),""))</f>
        <v/>
      </c>
      <c r="U59" s="22" t="str">
        <f aca="false">IF($D59="","",IFERROR(VLOOKUP($D59,商品マスタ!$A$5:$G$1000,7,FALSE()),0))</f>
        <v/>
      </c>
    </row>
    <row r="60" customFormat="false" ht="15" hidden="false" customHeight="true" outlineLevel="0" collapsed="false">
      <c r="A60" s="23"/>
      <c r="B60" s="14"/>
      <c r="C60" s="14"/>
      <c r="D60" s="14"/>
      <c r="E60" s="24"/>
      <c r="F60" s="24"/>
      <c r="G60" s="14"/>
      <c r="H60" s="14"/>
      <c r="I60" s="14"/>
      <c r="J60" s="22" t="str">
        <f aca="false">IF($D60="","",IFERROR(VLOOKUP($D60,商品マスタ!$A$5:$G$1000,2,FALSE()),"※商品マスタ未登録"))</f>
        <v/>
      </c>
      <c r="K60" s="22" t="str">
        <f aca="false">IF($D60="","",IFERROR(VLOOKUP($D60,商品マスタ!$A$5:$G$1000,3,FALSE()),""))</f>
        <v/>
      </c>
      <c r="L60" s="22" t="str">
        <f aca="false">IF($D60="","",IF($H60&lt;&gt;"",$H60,IFERROR(VLOOKUP($D60,商品マスタ!$A$5:$G$1000,4,FALSE()),"")))</f>
        <v/>
      </c>
      <c r="M60" s="22" t="str">
        <f aca="false">IF($D60="","",IFERROR(VLOOKUP($D60,商品マスタ!$A$5:$G$1000,5,FALSE()),0))</f>
        <v/>
      </c>
      <c r="N60" s="22" t="str">
        <f aca="false">IF($D60="","",IFERROR(VLOOKUP($D60,商品マスタ!$A$5:$G$1000,6,FALSE()),0))</f>
        <v/>
      </c>
      <c r="O60" s="22" t="str">
        <f aca="false">IF($D60="","",ROUND($E60*$F60,0))</f>
        <v/>
      </c>
      <c r="P60" s="22" t="str">
        <f aca="false">IF($D60="","",$O60)</f>
        <v/>
      </c>
      <c r="Q60" s="22" t="str">
        <f aca="false">IF($A60="","",IF($S60=1,$Q59+1,$Q59))</f>
        <v/>
      </c>
      <c r="R60" s="22" t="str">
        <f aca="false">IF($A60="","",IF($Q60=$Q59,$R59+1,1))</f>
        <v/>
      </c>
      <c r="S60" s="22" t="str">
        <f aca="false">IF($A60="","",IF(AND($A60=$A59,$B60=$B59),0,1))</f>
        <v/>
      </c>
      <c r="T60" s="22" t="str">
        <f aca="false">IF($A60="","",IF($S60=1,COUNTIF($S$5:$S60,1),""))</f>
        <v/>
      </c>
      <c r="U60" s="22" t="str">
        <f aca="false">IF($D60="","",IFERROR(VLOOKUP($D60,商品マスタ!$A$5:$G$1000,7,FALSE()),0))</f>
        <v/>
      </c>
    </row>
    <row r="61" customFormat="false" ht="15" hidden="false" customHeight="true" outlineLevel="0" collapsed="false">
      <c r="A61" s="23"/>
      <c r="B61" s="14"/>
      <c r="C61" s="14"/>
      <c r="D61" s="14"/>
      <c r="E61" s="24"/>
      <c r="F61" s="24"/>
      <c r="G61" s="14"/>
      <c r="H61" s="14"/>
      <c r="I61" s="14"/>
      <c r="J61" s="22" t="str">
        <f aca="false">IF($D61="","",IFERROR(VLOOKUP($D61,商品マスタ!$A$5:$G$1000,2,FALSE()),"※商品マスタ未登録"))</f>
        <v/>
      </c>
      <c r="K61" s="22" t="str">
        <f aca="false">IF($D61="","",IFERROR(VLOOKUP($D61,商品マスタ!$A$5:$G$1000,3,FALSE()),""))</f>
        <v/>
      </c>
      <c r="L61" s="22" t="str">
        <f aca="false">IF($D61="","",IF($H61&lt;&gt;"",$H61,IFERROR(VLOOKUP($D61,商品マスタ!$A$5:$G$1000,4,FALSE()),"")))</f>
        <v/>
      </c>
      <c r="M61" s="22" t="str">
        <f aca="false">IF($D61="","",IFERROR(VLOOKUP($D61,商品マスタ!$A$5:$G$1000,5,FALSE()),0))</f>
        <v/>
      </c>
      <c r="N61" s="22" t="str">
        <f aca="false">IF($D61="","",IFERROR(VLOOKUP($D61,商品マスタ!$A$5:$G$1000,6,FALSE()),0))</f>
        <v/>
      </c>
      <c r="O61" s="22" t="str">
        <f aca="false">IF($D61="","",ROUND($E61*$F61,0))</f>
        <v/>
      </c>
      <c r="P61" s="22" t="str">
        <f aca="false">IF($D61="","",$O61)</f>
        <v/>
      </c>
      <c r="Q61" s="22" t="str">
        <f aca="false">IF($A61="","",IF($S61=1,$Q60+1,$Q60))</f>
        <v/>
      </c>
      <c r="R61" s="22" t="str">
        <f aca="false">IF($A61="","",IF($Q61=$Q60,$R60+1,1))</f>
        <v/>
      </c>
      <c r="S61" s="22" t="str">
        <f aca="false">IF($A61="","",IF(AND($A61=$A60,$B61=$B60),0,1))</f>
        <v/>
      </c>
      <c r="T61" s="22" t="str">
        <f aca="false">IF($A61="","",IF($S61=1,COUNTIF($S$5:$S61,1),""))</f>
        <v/>
      </c>
      <c r="U61" s="22" t="str">
        <f aca="false">IF($D61="","",IFERROR(VLOOKUP($D61,商品マスタ!$A$5:$G$1000,7,FALSE()),0))</f>
        <v/>
      </c>
    </row>
    <row r="62" customFormat="false" ht="15" hidden="false" customHeight="true" outlineLevel="0" collapsed="false">
      <c r="A62" s="23"/>
      <c r="B62" s="14"/>
      <c r="C62" s="14"/>
      <c r="D62" s="14"/>
      <c r="E62" s="24"/>
      <c r="F62" s="24"/>
      <c r="G62" s="14"/>
      <c r="H62" s="14"/>
      <c r="I62" s="14"/>
      <c r="J62" s="22" t="str">
        <f aca="false">IF($D62="","",IFERROR(VLOOKUP($D62,商品マスタ!$A$5:$G$1000,2,FALSE()),"※商品マスタ未登録"))</f>
        <v/>
      </c>
      <c r="K62" s="22" t="str">
        <f aca="false">IF($D62="","",IFERROR(VLOOKUP($D62,商品マスタ!$A$5:$G$1000,3,FALSE()),""))</f>
        <v/>
      </c>
      <c r="L62" s="22" t="str">
        <f aca="false">IF($D62="","",IF($H62&lt;&gt;"",$H62,IFERROR(VLOOKUP($D62,商品マスタ!$A$5:$G$1000,4,FALSE()),"")))</f>
        <v/>
      </c>
      <c r="M62" s="22" t="str">
        <f aca="false">IF($D62="","",IFERROR(VLOOKUP($D62,商品マスタ!$A$5:$G$1000,5,FALSE()),0))</f>
        <v/>
      </c>
      <c r="N62" s="22" t="str">
        <f aca="false">IF($D62="","",IFERROR(VLOOKUP($D62,商品マスタ!$A$5:$G$1000,6,FALSE()),0))</f>
        <v/>
      </c>
      <c r="O62" s="22" t="str">
        <f aca="false">IF($D62="","",ROUND($E62*$F62,0))</f>
        <v/>
      </c>
      <c r="P62" s="22" t="str">
        <f aca="false">IF($D62="","",$O62)</f>
        <v/>
      </c>
      <c r="Q62" s="22" t="str">
        <f aca="false">IF($A62="","",IF($S62=1,$Q61+1,$Q61))</f>
        <v/>
      </c>
      <c r="R62" s="22" t="str">
        <f aca="false">IF($A62="","",IF($Q62=$Q61,$R61+1,1))</f>
        <v/>
      </c>
      <c r="S62" s="22" t="str">
        <f aca="false">IF($A62="","",IF(AND($A62=$A61,$B62=$B61),0,1))</f>
        <v/>
      </c>
      <c r="T62" s="22" t="str">
        <f aca="false">IF($A62="","",IF($S62=1,COUNTIF($S$5:$S62,1),""))</f>
        <v/>
      </c>
      <c r="U62" s="22" t="str">
        <f aca="false">IF($D62="","",IFERROR(VLOOKUP($D62,商品マスタ!$A$5:$G$1000,7,FALSE()),0))</f>
        <v/>
      </c>
    </row>
    <row r="63" customFormat="false" ht="15" hidden="false" customHeight="true" outlineLevel="0" collapsed="false">
      <c r="A63" s="23"/>
      <c r="B63" s="14"/>
      <c r="C63" s="14"/>
      <c r="D63" s="14"/>
      <c r="E63" s="24"/>
      <c r="F63" s="24"/>
      <c r="G63" s="14"/>
      <c r="H63" s="14"/>
      <c r="I63" s="14"/>
      <c r="J63" s="22" t="str">
        <f aca="false">IF($D63="","",IFERROR(VLOOKUP($D63,商品マスタ!$A$5:$G$1000,2,FALSE()),"※商品マスタ未登録"))</f>
        <v/>
      </c>
      <c r="K63" s="22" t="str">
        <f aca="false">IF($D63="","",IFERROR(VLOOKUP($D63,商品マスタ!$A$5:$G$1000,3,FALSE()),""))</f>
        <v/>
      </c>
      <c r="L63" s="22" t="str">
        <f aca="false">IF($D63="","",IF($H63&lt;&gt;"",$H63,IFERROR(VLOOKUP($D63,商品マスタ!$A$5:$G$1000,4,FALSE()),"")))</f>
        <v/>
      </c>
      <c r="M63" s="22" t="str">
        <f aca="false">IF($D63="","",IFERROR(VLOOKUP($D63,商品マスタ!$A$5:$G$1000,5,FALSE()),0))</f>
        <v/>
      </c>
      <c r="N63" s="22" t="str">
        <f aca="false">IF($D63="","",IFERROR(VLOOKUP($D63,商品マスタ!$A$5:$G$1000,6,FALSE()),0))</f>
        <v/>
      </c>
      <c r="O63" s="22" t="str">
        <f aca="false">IF($D63="","",ROUND($E63*$F63,0))</f>
        <v/>
      </c>
      <c r="P63" s="22" t="str">
        <f aca="false">IF($D63="","",$O63)</f>
        <v/>
      </c>
      <c r="Q63" s="22" t="str">
        <f aca="false">IF($A63="","",IF($S63=1,$Q62+1,$Q62))</f>
        <v/>
      </c>
      <c r="R63" s="22" t="str">
        <f aca="false">IF($A63="","",IF($Q63=$Q62,$R62+1,1))</f>
        <v/>
      </c>
      <c r="S63" s="22" t="str">
        <f aca="false">IF($A63="","",IF(AND($A63=$A62,$B63=$B62),0,1))</f>
        <v/>
      </c>
      <c r="T63" s="22" t="str">
        <f aca="false">IF($A63="","",IF($S63=1,COUNTIF($S$5:$S63,1),""))</f>
        <v/>
      </c>
      <c r="U63" s="22" t="str">
        <f aca="false">IF($D63="","",IFERROR(VLOOKUP($D63,商品マスタ!$A$5:$G$1000,7,FALSE()),0))</f>
        <v/>
      </c>
    </row>
    <row r="64" customFormat="false" ht="15" hidden="false" customHeight="true" outlineLevel="0" collapsed="false">
      <c r="A64" s="23"/>
      <c r="B64" s="14"/>
      <c r="C64" s="14"/>
      <c r="D64" s="14"/>
      <c r="E64" s="24"/>
      <c r="F64" s="24"/>
      <c r="G64" s="14"/>
      <c r="H64" s="14"/>
      <c r="I64" s="14"/>
      <c r="J64" s="22" t="str">
        <f aca="false">IF($D64="","",IFERROR(VLOOKUP($D64,商品マスタ!$A$5:$G$1000,2,FALSE()),"※商品マスタ未登録"))</f>
        <v/>
      </c>
      <c r="K64" s="22" t="str">
        <f aca="false">IF($D64="","",IFERROR(VLOOKUP($D64,商品マスタ!$A$5:$G$1000,3,FALSE()),""))</f>
        <v/>
      </c>
      <c r="L64" s="22" t="str">
        <f aca="false">IF($D64="","",IF($H64&lt;&gt;"",$H64,IFERROR(VLOOKUP($D64,商品マスタ!$A$5:$G$1000,4,FALSE()),"")))</f>
        <v/>
      </c>
      <c r="M64" s="22" t="str">
        <f aca="false">IF($D64="","",IFERROR(VLOOKUP($D64,商品マスタ!$A$5:$G$1000,5,FALSE()),0))</f>
        <v/>
      </c>
      <c r="N64" s="22" t="str">
        <f aca="false">IF($D64="","",IFERROR(VLOOKUP($D64,商品マスタ!$A$5:$G$1000,6,FALSE()),0))</f>
        <v/>
      </c>
      <c r="O64" s="22" t="str">
        <f aca="false">IF($D64="","",ROUND($E64*$F64,0))</f>
        <v/>
      </c>
      <c r="P64" s="22" t="str">
        <f aca="false">IF($D64="","",$O64)</f>
        <v/>
      </c>
      <c r="Q64" s="22" t="str">
        <f aca="false">IF($A64="","",IF($S64=1,$Q63+1,$Q63))</f>
        <v/>
      </c>
      <c r="R64" s="22" t="str">
        <f aca="false">IF($A64="","",IF($Q64=$Q63,$R63+1,1))</f>
        <v/>
      </c>
      <c r="S64" s="22" t="str">
        <f aca="false">IF($A64="","",IF(AND($A64=$A63,$B64=$B63),0,1))</f>
        <v/>
      </c>
      <c r="T64" s="22" t="str">
        <f aca="false">IF($A64="","",IF($S64=1,COUNTIF($S$5:$S64,1),""))</f>
        <v/>
      </c>
      <c r="U64" s="22" t="str">
        <f aca="false">IF($D64="","",IFERROR(VLOOKUP($D64,商品マスタ!$A$5:$G$1000,7,FALSE()),0))</f>
        <v/>
      </c>
    </row>
    <row r="65" customFormat="false" ht="15" hidden="false" customHeight="true" outlineLevel="0" collapsed="false">
      <c r="A65" s="23"/>
      <c r="B65" s="14"/>
      <c r="C65" s="14"/>
      <c r="D65" s="14"/>
      <c r="E65" s="24"/>
      <c r="F65" s="24"/>
      <c r="G65" s="14"/>
      <c r="H65" s="14"/>
      <c r="I65" s="14"/>
      <c r="J65" s="22" t="str">
        <f aca="false">IF($D65="","",IFERROR(VLOOKUP($D65,商品マスタ!$A$5:$G$1000,2,FALSE()),"※商品マスタ未登録"))</f>
        <v/>
      </c>
      <c r="K65" s="22" t="str">
        <f aca="false">IF($D65="","",IFERROR(VLOOKUP($D65,商品マスタ!$A$5:$G$1000,3,FALSE()),""))</f>
        <v/>
      </c>
      <c r="L65" s="22" t="str">
        <f aca="false">IF($D65="","",IF($H65&lt;&gt;"",$H65,IFERROR(VLOOKUP($D65,商品マスタ!$A$5:$G$1000,4,FALSE()),"")))</f>
        <v/>
      </c>
      <c r="M65" s="22" t="str">
        <f aca="false">IF($D65="","",IFERROR(VLOOKUP($D65,商品マスタ!$A$5:$G$1000,5,FALSE()),0))</f>
        <v/>
      </c>
      <c r="N65" s="22" t="str">
        <f aca="false">IF($D65="","",IFERROR(VLOOKUP($D65,商品マスタ!$A$5:$G$1000,6,FALSE()),0))</f>
        <v/>
      </c>
      <c r="O65" s="22" t="str">
        <f aca="false">IF($D65="","",ROUND($E65*$F65,0))</f>
        <v/>
      </c>
      <c r="P65" s="22" t="str">
        <f aca="false">IF($D65="","",$O65)</f>
        <v/>
      </c>
      <c r="Q65" s="22" t="str">
        <f aca="false">IF($A65="","",IF($S65=1,$Q64+1,$Q64))</f>
        <v/>
      </c>
      <c r="R65" s="22" t="str">
        <f aca="false">IF($A65="","",IF($Q65=$Q64,$R64+1,1))</f>
        <v/>
      </c>
      <c r="S65" s="22" t="str">
        <f aca="false">IF($A65="","",IF(AND($A65=$A64,$B65=$B64),0,1))</f>
        <v/>
      </c>
      <c r="T65" s="22" t="str">
        <f aca="false">IF($A65="","",IF($S65=1,COUNTIF($S$5:$S65,1),""))</f>
        <v/>
      </c>
      <c r="U65" s="22" t="str">
        <f aca="false">IF($D65="","",IFERROR(VLOOKUP($D65,商品マスタ!$A$5:$G$1000,7,FALSE()),0))</f>
        <v/>
      </c>
    </row>
    <row r="66" customFormat="false" ht="15" hidden="false" customHeight="true" outlineLevel="0" collapsed="false">
      <c r="A66" s="23"/>
      <c r="B66" s="14"/>
      <c r="C66" s="14"/>
      <c r="D66" s="14"/>
      <c r="E66" s="24"/>
      <c r="F66" s="24"/>
      <c r="G66" s="14"/>
      <c r="H66" s="14"/>
      <c r="I66" s="14"/>
      <c r="J66" s="22" t="str">
        <f aca="false">IF($D66="","",IFERROR(VLOOKUP($D66,商品マスタ!$A$5:$G$1000,2,FALSE()),"※商品マスタ未登録"))</f>
        <v/>
      </c>
      <c r="K66" s="22" t="str">
        <f aca="false">IF($D66="","",IFERROR(VLOOKUP($D66,商品マスタ!$A$5:$G$1000,3,FALSE()),""))</f>
        <v/>
      </c>
      <c r="L66" s="22" t="str">
        <f aca="false">IF($D66="","",IF($H66&lt;&gt;"",$H66,IFERROR(VLOOKUP($D66,商品マスタ!$A$5:$G$1000,4,FALSE()),"")))</f>
        <v/>
      </c>
      <c r="M66" s="22" t="str">
        <f aca="false">IF($D66="","",IFERROR(VLOOKUP($D66,商品マスタ!$A$5:$G$1000,5,FALSE()),0))</f>
        <v/>
      </c>
      <c r="N66" s="22" t="str">
        <f aca="false">IF($D66="","",IFERROR(VLOOKUP($D66,商品マスタ!$A$5:$G$1000,6,FALSE()),0))</f>
        <v/>
      </c>
      <c r="O66" s="22" t="str">
        <f aca="false">IF($D66="","",ROUND($E66*$F66,0))</f>
        <v/>
      </c>
      <c r="P66" s="22" t="str">
        <f aca="false">IF($D66="","",$O66)</f>
        <v/>
      </c>
      <c r="Q66" s="22" t="str">
        <f aca="false">IF($A66="","",IF($S66=1,$Q65+1,$Q65))</f>
        <v/>
      </c>
      <c r="R66" s="22" t="str">
        <f aca="false">IF($A66="","",IF($Q66=$Q65,$R65+1,1))</f>
        <v/>
      </c>
      <c r="S66" s="22" t="str">
        <f aca="false">IF($A66="","",IF(AND($A66=$A65,$B66=$B65),0,1))</f>
        <v/>
      </c>
      <c r="T66" s="22" t="str">
        <f aca="false">IF($A66="","",IF($S66=1,COUNTIF($S$5:$S66,1),""))</f>
        <v/>
      </c>
      <c r="U66" s="22" t="str">
        <f aca="false">IF($D66="","",IFERROR(VLOOKUP($D66,商品マスタ!$A$5:$G$1000,7,FALSE()),0))</f>
        <v/>
      </c>
    </row>
    <row r="67" customFormat="false" ht="15" hidden="false" customHeight="true" outlineLevel="0" collapsed="false">
      <c r="A67" s="23"/>
      <c r="B67" s="14"/>
      <c r="C67" s="14"/>
      <c r="D67" s="14"/>
      <c r="E67" s="24"/>
      <c r="F67" s="24"/>
      <c r="G67" s="14"/>
      <c r="H67" s="14"/>
      <c r="I67" s="14"/>
      <c r="J67" s="22" t="str">
        <f aca="false">IF($D67="","",IFERROR(VLOOKUP($D67,商品マスタ!$A$5:$G$1000,2,FALSE()),"※商品マスタ未登録"))</f>
        <v/>
      </c>
      <c r="K67" s="22" t="str">
        <f aca="false">IF($D67="","",IFERROR(VLOOKUP($D67,商品マスタ!$A$5:$G$1000,3,FALSE()),""))</f>
        <v/>
      </c>
      <c r="L67" s="22" t="str">
        <f aca="false">IF($D67="","",IF($H67&lt;&gt;"",$H67,IFERROR(VLOOKUP($D67,商品マスタ!$A$5:$G$1000,4,FALSE()),"")))</f>
        <v/>
      </c>
      <c r="M67" s="22" t="str">
        <f aca="false">IF($D67="","",IFERROR(VLOOKUP($D67,商品マスタ!$A$5:$G$1000,5,FALSE()),0))</f>
        <v/>
      </c>
      <c r="N67" s="22" t="str">
        <f aca="false">IF($D67="","",IFERROR(VLOOKUP($D67,商品マスタ!$A$5:$G$1000,6,FALSE()),0))</f>
        <v/>
      </c>
      <c r="O67" s="22" t="str">
        <f aca="false">IF($D67="","",ROUND($E67*$F67,0))</f>
        <v/>
      </c>
      <c r="P67" s="22" t="str">
        <f aca="false">IF($D67="","",$O67)</f>
        <v/>
      </c>
      <c r="Q67" s="22" t="str">
        <f aca="false">IF($A67="","",IF($S67=1,$Q66+1,$Q66))</f>
        <v/>
      </c>
      <c r="R67" s="22" t="str">
        <f aca="false">IF($A67="","",IF($Q67=$Q66,$R66+1,1))</f>
        <v/>
      </c>
      <c r="S67" s="22" t="str">
        <f aca="false">IF($A67="","",IF(AND($A67=$A66,$B67=$B66),0,1))</f>
        <v/>
      </c>
      <c r="T67" s="22" t="str">
        <f aca="false">IF($A67="","",IF($S67=1,COUNTIF($S$5:$S67,1),""))</f>
        <v/>
      </c>
      <c r="U67" s="22" t="str">
        <f aca="false">IF($D67="","",IFERROR(VLOOKUP($D67,商品マスタ!$A$5:$G$1000,7,FALSE()),0))</f>
        <v/>
      </c>
    </row>
    <row r="68" customFormat="false" ht="15" hidden="false" customHeight="true" outlineLevel="0" collapsed="false">
      <c r="A68" s="23"/>
      <c r="B68" s="14"/>
      <c r="C68" s="14"/>
      <c r="D68" s="14"/>
      <c r="E68" s="24"/>
      <c r="F68" s="24"/>
      <c r="G68" s="14"/>
      <c r="H68" s="14"/>
      <c r="I68" s="14"/>
      <c r="J68" s="22" t="str">
        <f aca="false">IF($D68="","",IFERROR(VLOOKUP($D68,商品マスタ!$A$5:$G$1000,2,FALSE()),"※商品マスタ未登録"))</f>
        <v/>
      </c>
      <c r="K68" s="22" t="str">
        <f aca="false">IF($D68="","",IFERROR(VLOOKUP($D68,商品マスタ!$A$5:$G$1000,3,FALSE()),""))</f>
        <v/>
      </c>
      <c r="L68" s="22" t="str">
        <f aca="false">IF($D68="","",IF($H68&lt;&gt;"",$H68,IFERROR(VLOOKUP($D68,商品マスタ!$A$5:$G$1000,4,FALSE()),"")))</f>
        <v/>
      </c>
      <c r="M68" s="22" t="str">
        <f aca="false">IF($D68="","",IFERROR(VLOOKUP($D68,商品マスタ!$A$5:$G$1000,5,FALSE()),0))</f>
        <v/>
      </c>
      <c r="N68" s="22" t="str">
        <f aca="false">IF($D68="","",IFERROR(VLOOKUP($D68,商品マスタ!$A$5:$G$1000,6,FALSE()),0))</f>
        <v/>
      </c>
      <c r="O68" s="22" t="str">
        <f aca="false">IF($D68="","",ROUND($E68*$F68,0))</f>
        <v/>
      </c>
      <c r="P68" s="22" t="str">
        <f aca="false">IF($D68="","",$O68)</f>
        <v/>
      </c>
      <c r="Q68" s="22" t="str">
        <f aca="false">IF($A68="","",IF($S68=1,$Q67+1,$Q67))</f>
        <v/>
      </c>
      <c r="R68" s="22" t="str">
        <f aca="false">IF($A68="","",IF($Q68=$Q67,$R67+1,1))</f>
        <v/>
      </c>
      <c r="S68" s="22" t="str">
        <f aca="false">IF($A68="","",IF(AND($A68=$A67,$B68=$B67),0,1))</f>
        <v/>
      </c>
      <c r="T68" s="22" t="str">
        <f aca="false">IF($A68="","",IF($S68=1,COUNTIF($S$5:$S68,1),""))</f>
        <v/>
      </c>
      <c r="U68" s="22" t="str">
        <f aca="false">IF($D68="","",IFERROR(VLOOKUP($D68,商品マスタ!$A$5:$G$1000,7,FALSE()),0))</f>
        <v/>
      </c>
    </row>
    <row r="69" customFormat="false" ht="15" hidden="false" customHeight="true" outlineLevel="0" collapsed="false">
      <c r="A69" s="23"/>
      <c r="B69" s="14"/>
      <c r="C69" s="14"/>
      <c r="D69" s="14"/>
      <c r="E69" s="24"/>
      <c r="F69" s="24"/>
      <c r="G69" s="14"/>
      <c r="H69" s="14"/>
      <c r="I69" s="14"/>
      <c r="J69" s="22" t="str">
        <f aca="false">IF($D69="","",IFERROR(VLOOKUP($D69,商品マスタ!$A$5:$G$1000,2,FALSE()),"※商品マスタ未登録"))</f>
        <v/>
      </c>
      <c r="K69" s="22" t="str">
        <f aca="false">IF($D69="","",IFERROR(VLOOKUP($D69,商品マスタ!$A$5:$G$1000,3,FALSE()),""))</f>
        <v/>
      </c>
      <c r="L69" s="22" t="str">
        <f aca="false">IF($D69="","",IF($H69&lt;&gt;"",$H69,IFERROR(VLOOKUP($D69,商品マスタ!$A$5:$G$1000,4,FALSE()),"")))</f>
        <v/>
      </c>
      <c r="M69" s="22" t="str">
        <f aca="false">IF($D69="","",IFERROR(VLOOKUP($D69,商品マスタ!$A$5:$G$1000,5,FALSE()),0))</f>
        <v/>
      </c>
      <c r="N69" s="22" t="str">
        <f aca="false">IF($D69="","",IFERROR(VLOOKUP($D69,商品マスタ!$A$5:$G$1000,6,FALSE()),0))</f>
        <v/>
      </c>
      <c r="O69" s="22" t="str">
        <f aca="false">IF($D69="","",ROUND($E69*$F69,0))</f>
        <v/>
      </c>
      <c r="P69" s="22" t="str">
        <f aca="false">IF($D69="","",$O69)</f>
        <v/>
      </c>
      <c r="Q69" s="22" t="str">
        <f aca="false">IF($A69="","",IF($S69=1,$Q68+1,$Q68))</f>
        <v/>
      </c>
      <c r="R69" s="22" t="str">
        <f aca="false">IF($A69="","",IF($Q69=$Q68,$R68+1,1))</f>
        <v/>
      </c>
      <c r="S69" s="22" t="str">
        <f aca="false">IF($A69="","",IF(AND($A69=$A68,$B69=$B68),0,1))</f>
        <v/>
      </c>
      <c r="T69" s="22" t="str">
        <f aca="false">IF($A69="","",IF($S69=1,COUNTIF($S$5:$S69,1),""))</f>
        <v/>
      </c>
      <c r="U69" s="22" t="str">
        <f aca="false">IF($D69="","",IFERROR(VLOOKUP($D69,商品マスタ!$A$5:$G$1000,7,FALSE()),0))</f>
        <v/>
      </c>
    </row>
    <row r="70" customFormat="false" ht="15" hidden="false" customHeight="true" outlineLevel="0" collapsed="false">
      <c r="A70" s="23"/>
      <c r="B70" s="14"/>
      <c r="C70" s="14"/>
      <c r="D70" s="14"/>
      <c r="E70" s="24"/>
      <c r="F70" s="24"/>
      <c r="G70" s="14"/>
      <c r="H70" s="14"/>
      <c r="I70" s="14"/>
      <c r="J70" s="22" t="str">
        <f aca="false">IF($D70="","",IFERROR(VLOOKUP($D70,商品マスタ!$A$5:$G$1000,2,FALSE()),"※商品マスタ未登録"))</f>
        <v/>
      </c>
      <c r="K70" s="22" t="str">
        <f aca="false">IF($D70="","",IFERROR(VLOOKUP($D70,商品マスタ!$A$5:$G$1000,3,FALSE()),""))</f>
        <v/>
      </c>
      <c r="L70" s="22" t="str">
        <f aca="false">IF($D70="","",IF($H70&lt;&gt;"",$H70,IFERROR(VLOOKUP($D70,商品マスタ!$A$5:$G$1000,4,FALSE()),"")))</f>
        <v/>
      </c>
      <c r="M70" s="22" t="str">
        <f aca="false">IF($D70="","",IFERROR(VLOOKUP($D70,商品マスタ!$A$5:$G$1000,5,FALSE()),0))</f>
        <v/>
      </c>
      <c r="N70" s="22" t="str">
        <f aca="false">IF($D70="","",IFERROR(VLOOKUP($D70,商品マスタ!$A$5:$G$1000,6,FALSE()),0))</f>
        <v/>
      </c>
      <c r="O70" s="22" t="str">
        <f aca="false">IF($D70="","",ROUND($E70*$F70,0))</f>
        <v/>
      </c>
      <c r="P70" s="22" t="str">
        <f aca="false">IF($D70="","",$O70)</f>
        <v/>
      </c>
      <c r="Q70" s="22" t="str">
        <f aca="false">IF($A70="","",IF($S70=1,$Q69+1,$Q69))</f>
        <v/>
      </c>
      <c r="R70" s="22" t="str">
        <f aca="false">IF($A70="","",IF($Q70=$Q69,$R69+1,1))</f>
        <v/>
      </c>
      <c r="S70" s="22" t="str">
        <f aca="false">IF($A70="","",IF(AND($A70=$A69,$B70=$B69),0,1))</f>
        <v/>
      </c>
      <c r="T70" s="22" t="str">
        <f aca="false">IF($A70="","",IF($S70=1,COUNTIF($S$5:$S70,1),""))</f>
        <v/>
      </c>
      <c r="U70" s="22" t="str">
        <f aca="false">IF($D70="","",IFERROR(VLOOKUP($D70,商品マスタ!$A$5:$G$1000,7,FALSE()),0))</f>
        <v/>
      </c>
    </row>
    <row r="71" customFormat="false" ht="15" hidden="false" customHeight="true" outlineLevel="0" collapsed="false">
      <c r="A71" s="23"/>
      <c r="B71" s="14"/>
      <c r="C71" s="14"/>
      <c r="D71" s="14"/>
      <c r="E71" s="24"/>
      <c r="F71" s="24"/>
      <c r="G71" s="14"/>
      <c r="H71" s="14"/>
      <c r="I71" s="14"/>
      <c r="J71" s="22" t="str">
        <f aca="false">IF($D71="","",IFERROR(VLOOKUP($D71,商品マスタ!$A$5:$G$1000,2,FALSE()),"※商品マスタ未登録"))</f>
        <v/>
      </c>
      <c r="K71" s="22" t="str">
        <f aca="false">IF($D71="","",IFERROR(VLOOKUP($D71,商品マスタ!$A$5:$G$1000,3,FALSE()),""))</f>
        <v/>
      </c>
      <c r="L71" s="22" t="str">
        <f aca="false">IF($D71="","",IF($H71&lt;&gt;"",$H71,IFERROR(VLOOKUP($D71,商品マスタ!$A$5:$G$1000,4,FALSE()),"")))</f>
        <v/>
      </c>
      <c r="M71" s="22" t="str">
        <f aca="false">IF($D71="","",IFERROR(VLOOKUP($D71,商品マスタ!$A$5:$G$1000,5,FALSE()),0))</f>
        <v/>
      </c>
      <c r="N71" s="22" t="str">
        <f aca="false">IF($D71="","",IFERROR(VLOOKUP($D71,商品マスタ!$A$5:$G$1000,6,FALSE()),0))</f>
        <v/>
      </c>
      <c r="O71" s="22" t="str">
        <f aca="false">IF($D71="","",ROUND($E71*$F71,0))</f>
        <v/>
      </c>
      <c r="P71" s="22" t="str">
        <f aca="false">IF($D71="","",$O71)</f>
        <v/>
      </c>
      <c r="Q71" s="22" t="str">
        <f aca="false">IF($A71="","",IF($S71=1,$Q70+1,$Q70))</f>
        <v/>
      </c>
      <c r="R71" s="22" t="str">
        <f aca="false">IF($A71="","",IF($Q71=$Q70,$R70+1,1))</f>
        <v/>
      </c>
      <c r="S71" s="22" t="str">
        <f aca="false">IF($A71="","",IF(AND($A71=$A70,$B71=$B70),0,1))</f>
        <v/>
      </c>
      <c r="T71" s="22" t="str">
        <f aca="false">IF($A71="","",IF($S71=1,COUNTIF($S$5:$S71,1),""))</f>
        <v/>
      </c>
      <c r="U71" s="22" t="str">
        <f aca="false">IF($D71="","",IFERROR(VLOOKUP($D71,商品マスタ!$A$5:$G$1000,7,FALSE()),0))</f>
        <v/>
      </c>
    </row>
    <row r="72" customFormat="false" ht="15" hidden="false" customHeight="true" outlineLevel="0" collapsed="false">
      <c r="A72" s="23"/>
      <c r="B72" s="14"/>
      <c r="C72" s="14"/>
      <c r="D72" s="14"/>
      <c r="E72" s="24"/>
      <c r="F72" s="24"/>
      <c r="G72" s="14"/>
      <c r="H72" s="14"/>
      <c r="I72" s="14"/>
      <c r="J72" s="22" t="str">
        <f aca="false">IF($D72="","",IFERROR(VLOOKUP($D72,商品マスタ!$A$5:$G$1000,2,FALSE()),"※商品マスタ未登録"))</f>
        <v/>
      </c>
      <c r="K72" s="22" t="str">
        <f aca="false">IF($D72="","",IFERROR(VLOOKUP($D72,商品マスタ!$A$5:$G$1000,3,FALSE()),""))</f>
        <v/>
      </c>
      <c r="L72" s="22" t="str">
        <f aca="false">IF($D72="","",IF($H72&lt;&gt;"",$H72,IFERROR(VLOOKUP($D72,商品マスタ!$A$5:$G$1000,4,FALSE()),"")))</f>
        <v/>
      </c>
      <c r="M72" s="22" t="str">
        <f aca="false">IF($D72="","",IFERROR(VLOOKUP($D72,商品マスタ!$A$5:$G$1000,5,FALSE()),0))</f>
        <v/>
      </c>
      <c r="N72" s="22" t="str">
        <f aca="false">IF($D72="","",IFERROR(VLOOKUP($D72,商品マスタ!$A$5:$G$1000,6,FALSE()),0))</f>
        <v/>
      </c>
      <c r="O72" s="22" t="str">
        <f aca="false">IF($D72="","",ROUND($E72*$F72,0))</f>
        <v/>
      </c>
      <c r="P72" s="22" t="str">
        <f aca="false">IF($D72="","",$O72)</f>
        <v/>
      </c>
      <c r="Q72" s="22" t="str">
        <f aca="false">IF($A72="","",IF($S72=1,$Q71+1,$Q71))</f>
        <v/>
      </c>
      <c r="R72" s="22" t="str">
        <f aca="false">IF($A72="","",IF($Q72=$Q71,$R71+1,1))</f>
        <v/>
      </c>
      <c r="S72" s="22" t="str">
        <f aca="false">IF($A72="","",IF(AND($A72=$A71,$B72=$B71),0,1))</f>
        <v/>
      </c>
      <c r="T72" s="22" t="str">
        <f aca="false">IF($A72="","",IF($S72=1,COUNTIF($S$5:$S72,1),""))</f>
        <v/>
      </c>
      <c r="U72" s="22" t="str">
        <f aca="false">IF($D72="","",IFERROR(VLOOKUP($D72,商品マスタ!$A$5:$G$1000,7,FALSE()),0))</f>
        <v/>
      </c>
    </row>
    <row r="73" customFormat="false" ht="15" hidden="false" customHeight="true" outlineLevel="0" collapsed="false">
      <c r="A73" s="23"/>
      <c r="B73" s="14"/>
      <c r="C73" s="14"/>
      <c r="D73" s="14"/>
      <c r="E73" s="24"/>
      <c r="F73" s="24"/>
      <c r="G73" s="14"/>
      <c r="H73" s="14"/>
      <c r="I73" s="14"/>
      <c r="J73" s="22" t="str">
        <f aca="false">IF($D73="","",IFERROR(VLOOKUP($D73,商品マスタ!$A$5:$G$1000,2,FALSE()),"※商品マスタ未登録"))</f>
        <v/>
      </c>
      <c r="K73" s="22" t="str">
        <f aca="false">IF($D73="","",IFERROR(VLOOKUP($D73,商品マスタ!$A$5:$G$1000,3,FALSE()),""))</f>
        <v/>
      </c>
      <c r="L73" s="22" t="str">
        <f aca="false">IF($D73="","",IF($H73&lt;&gt;"",$H73,IFERROR(VLOOKUP($D73,商品マスタ!$A$5:$G$1000,4,FALSE()),"")))</f>
        <v/>
      </c>
      <c r="M73" s="22" t="str">
        <f aca="false">IF($D73="","",IFERROR(VLOOKUP($D73,商品マスタ!$A$5:$G$1000,5,FALSE()),0))</f>
        <v/>
      </c>
      <c r="N73" s="22" t="str">
        <f aca="false">IF($D73="","",IFERROR(VLOOKUP($D73,商品マスタ!$A$5:$G$1000,6,FALSE()),0))</f>
        <v/>
      </c>
      <c r="O73" s="22" t="str">
        <f aca="false">IF($D73="","",ROUND($E73*$F73,0))</f>
        <v/>
      </c>
      <c r="P73" s="22" t="str">
        <f aca="false">IF($D73="","",$O73)</f>
        <v/>
      </c>
      <c r="Q73" s="22" t="str">
        <f aca="false">IF($A73="","",IF($S73=1,$Q72+1,$Q72))</f>
        <v/>
      </c>
      <c r="R73" s="22" t="str">
        <f aca="false">IF($A73="","",IF($Q73=$Q72,$R72+1,1))</f>
        <v/>
      </c>
      <c r="S73" s="22" t="str">
        <f aca="false">IF($A73="","",IF(AND($A73=$A72,$B73=$B72),0,1))</f>
        <v/>
      </c>
      <c r="T73" s="22" t="str">
        <f aca="false">IF($A73="","",IF($S73=1,COUNTIF($S$5:$S73,1),""))</f>
        <v/>
      </c>
      <c r="U73" s="22" t="str">
        <f aca="false">IF($D73="","",IFERROR(VLOOKUP($D73,商品マスタ!$A$5:$G$1000,7,FALSE()),0))</f>
        <v/>
      </c>
    </row>
    <row r="74" customFormat="false" ht="15" hidden="false" customHeight="true" outlineLevel="0" collapsed="false">
      <c r="A74" s="23"/>
      <c r="B74" s="14"/>
      <c r="C74" s="14"/>
      <c r="D74" s="14"/>
      <c r="E74" s="24"/>
      <c r="F74" s="24"/>
      <c r="G74" s="14"/>
      <c r="H74" s="14"/>
      <c r="I74" s="14"/>
      <c r="J74" s="22" t="str">
        <f aca="false">IF($D74="","",IFERROR(VLOOKUP($D74,商品マスタ!$A$5:$G$1000,2,FALSE()),"※商品マスタ未登録"))</f>
        <v/>
      </c>
      <c r="K74" s="22" t="str">
        <f aca="false">IF($D74="","",IFERROR(VLOOKUP($D74,商品マスタ!$A$5:$G$1000,3,FALSE()),""))</f>
        <v/>
      </c>
      <c r="L74" s="22" t="str">
        <f aca="false">IF($D74="","",IF($H74&lt;&gt;"",$H74,IFERROR(VLOOKUP($D74,商品マスタ!$A$5:$G$1000,4,FALSE()),"")))</f>
        <v/>
      </c>
      <c r="M74" s="22" t="str">
        <f aca="false">IF($D74="","",IFERROR(VLOOKUP($D74,商品マスタ!$A$5:$G$1000,5,FALSE()),0))</f>
        <v/>
      </c>
      <c r="N74" s="22" t="str">
        <f aca="false">IF($D74="","",IFERROR(VLOOKUP($D74,商品マスタ!$A$5:$G$1000,6,FALSE()),0))</f>
        <v/>
      </c>
      <c r="O74" s="22" t="str">
        <f aca="false">IF($D74="","",ROUND($E74*$F74,0))</f>
        <v/>
      </c>
      <c r="P74" s="22" t="str">
        <f aca="false">IF($D74="","",$O74)</f>
        <v/>
      </c>
      <c r="Q74" s="22" t="str">
        <f aca="false">IF($A74="","",IF($S74=1,$Q73+1,$Q73))</f>
        <v/>
      </c>
      <c r="R74" s="22" t="str">
        <f aca="false">IF($A74="","",IF($Q74=$Q73,$R73+1,1))</f>
        <v/>
      </c>
      <c r="S74" s="22" t="str">
        <f aca="false">IF($A74="","",IF(AND($A74=$A73,$B74=$B73),0,1))</f>
        <v/>
      </c>
      <c r="T74" s="22" t="str">
        <f aca="false">IF($A74="","",IF($S74=1,COUNTIF($S$5:$S74,1),""))</f>
        <v/>
      </c>
      <c r="U74" s="22" t="str">
        <f aca="false">IF($D74="","",IFERROR(VLOOKUP($D74,商品マスタ!$A$5:$G$1000,7,FALSE()),0))</f>
        <v/>
      </c>
    </row>
    <row r="75" customFormat="false" ht="15" hidden="false" customHeight="true" outlineLevel="0" collapsed="false">
      <c r="A75" s="23"/>
      <c r="B75" s="14"/>
      <c r="C75" s="14"/>
      <c r="D75" s="14"/>
      <c r="E75" s="24"/>
      <c r="F75" s="24"/>
      <c r="G75" s="14"/>
      <c r="H75" s="14"/>
      <c r="I75" s="14"/>
      <c r="J75" s="22" t="str">
        <f aca="false">IF($D75="","",IFERROR(VLOOKUP($D75,商品マスタ!$A$5:$G$1000,2,FALSE()),"※商品マスタ未登録"))</f>
        <v/>
      </c>
      <c r="K75" s="22" t="str">
        <f aca="false">IF($D75="","",IFERROR(VLOOKUP($D75,商品マスタ!$A$5:$G$1000,3,FALSE()),""))</f>
        <v/>
      </c>
      <c r="L75" s="22" t="str">
        <f aca="false">IF($D75="","",IF($H75&lt;&gt;"",$H75,IFERROR(VLOOKUP($D75,商品マスタ!$A$5:$G$1000,4,FALSE()),"")))</f>
        <v/>
      </c>
      <c r="M75" s="22" t="str">
        <f aca="false">IF($D75="","",IFERROR(VLOOKUP($D75,商品マスタ!$A$5:$G$1000,5,FALSE()),0))</f>
        <v/>
      </c>
      <c r="N75" s="22" t="str">
        <f aca="false">IF($D75="","",IFERROR(VLOOKUP($D75,商品マスタ!$A$5:$G$1000,6,FALSE()),0))</f>
        <v/>
      </c>
      <c r="O75" s="22" t="str">
        <f aca="false">IF($D75="","",ROUND($E75*$F75,0))</f>
        <v/>
      </c>
      <c r="P75" s="22" t="str">
        <f aca="false">IF($D75="","",$O75)</f>
        <v/>
      </c>
      <c r="Q75" s="22" t="str">
        <f aca="false">IF($A75="","",IF($S75=1,$Q74+1,$Q74))</f>
        <v/>
      </c>
      <c r="R75" s="22" t="str">
        <f aca="false">IF($A75="","",IF($Q75=$Q74,$R74+1,1))</f>
        <v/>
      </c>
      <c r="S75" s="22" t="str">
        <f aca="false">IF($A75="","",IF(AND($A75=$A74,$B75=$B74),0,1))</f>
        <v/>
      </c>
      <c r="T75" s="22" t="str">
        <f aca="false">IF($A75="","",IF($S75=1,COUNTIF($S$5:$S75,1),""))</f>
        <v/>
      </c>
      <c r="U75" s="22" t="str">
        <f aca="false">IF($D75="","",IFERROR(VLOOKUP($D75,商品マスタ!$A$5:$G$1000,7,FALSE()),0))</f>
        <v/>
      </c>
    </row>
    <row r="76" customFormat="false" ht="15" hidden="false" customHeight="true" outlineLevel="0" collapsed="false">
      <c r="A76" s="23"/>
      <c r="B76" s="14"/>
      <c r="C76" s="14"/>
      <c r="D76" s="14"/>
      <c r="E76" s="24"/>
      <c r="F76" s="24"/>
      <c r="G76" s="14"/>
      <c r="H76" s="14"/>
      <c r="I76" s="14"/>
      <c r="J76" s="22" t="str">
        <f aca="false">IF($D76="","",IFERROR(VLOOKUP($D76,商品マスタ!$A$5:$G$1000,2,FALSE()),"※商品マスタ未登録"))</f>
        <v/>
      </c>
      <c r="K76" s="22" t="str">
        <f aca="false">IF($D76="","",IFERROR(VLOOKUP($D76,商品マスタ!$A$5:$G$1000,3,FALSE()),""))</f>
        <v/>
      </c>
      <c r="L76" s="22" t="str">
        <f aca="false">IF($D76="","",IF($H76&lt;&gt;"",$H76,IFERROR(VLOOKUP($D76,商品マスタ!$A$5:$G$1000,4,FALSE()),"")))</f>
        <v/>
      </c>
      <c r="M76" s="22" t="str">
        <f aca="false">IF($D76="","",IFERROR(VLOOKUP($D76,商品マスタ!$A$5:$G$1000,5,FALSE()),0))</f>
        <v/>
      </c>
      <c r="N76" s="22" t="str">
        <f aca="false">IF($D76="","",IFERROR(VLOOKUP($D76,商品マスタ!$A$5:$G$1000,6,FALSE()),0))</f>
        <v/>
      </c>
      <c r="O76" s="22" t="str">
        <f aca="false">IF($D76="","",ROUND($E76*$F76,0))</f>
        <v/>
      </c>
      <c r="P76" s="22" t="str">
        <f aca="false">IF($D76="","",$O76)</f>
        <v/>
      </c>
      <c r="Q76" s="22" t="str">
        <f aca="false">IF($A76="","",IF($S76=1,$Q75+1,$Q75))</f>
        <v/>
      </c>
      <c r="R76" s="22" t="str">
        <f aca="false">IF($A76="","",IF($Q76=$Q75,$R75+1,1))</f>
        <v/>
      </c>
      <c r="S76" s="22" t="str">
        <f aca="false">IF($A76="","",IF(AND($A76=$A75,$B76=$B75),0,1))</f>
        <v/>
      </c>
      <c r="T76" s="22" t="str">
        <f aca="false">IF($A76="","",IF($S76=1,COUNTIF($S$5:$S76,1),""))</f>
        <v/>
      </c>
      <c r="U76" s="22" t="str">
        <f aca="false">IF($D76="","",IFERROR(VLOOKUP($D76,商品マスタ!$A$5:$G$1000,7,FALSE()),0))</f>
        <v/>
      </c>
    </row>
    <row r="77" customFormat="false" ht="15" hidden="false" customHeight="true" outlineLevel="0" collapsed="false">
      <c r="A77" s="23"/>
      <c r="B77" s="14"/>
      <c r="C77" s="14"/>
      <c r="D77" s="14"/>
      <c r="E77" s="24"/>
      <c r="F77" s="24"/>
      <c r="G77" s="14"/>
      <c r="H77" s="14"/>
      <c r="I77" s="14"/>
      <c r="J77" s="22" t="str">
        <f aca="false">IF($D77="","",IFERROR(VLOOKUP($D77,商品マスタ!$A$5:$G$1000,2,FALSE()),"※商品マスタ未登録"))</f>
        <v/>
      </c>
      <c r="K77" s="22" t="str">
        <f aca="false">IF($D77="","",IFERROR(VLOOKUP($D77,商品マスタ!$A$5:$G$1000,3,FALSE()),""))</f>
        <v/>
      </c>
      <c r="L77" s="22" t="str">
        <f aca="false">IF($D77="","",IF($H77&lt;&gt;"",$H77,IFERROR(VLOOKUP($D77,商品マスタ!$A$5:$G$1000,4,FALSE()),"")))</f>
        <v/>
      </c>
      <c r="M77" s="22" t="str">
        <f aca="false">IF($D77="","",IFERROR(VLOOKUP($D77,商品マスタ!$A$5:$G$1000,5,FALSE()),0))</f>
        <v/>
      </c>
      <c r="N77" s="22" t="str">
        <f aca="false">IF($D77="","",IFERROR(VLOOKUP($D77,商品マスタ!$A$5:$G$1000,6,FALSE()),0))</f>
        <v/>
      </c>
      <c r="O77" s="22" t="str">
        <f aca="false">IF($D77="","",ROUND($E77*$F77,0))</f>
        <v/>
      </c>
      <c r="P77" s="22" t="str">
        <f aca="false">IF($D77="","",$O77)</f>
        <v/>
      </c>
      <c r="Q77" s="22" t="str">
        <f aca="false">IF($A77="","",IF($S77=1,$Q76+1,$Q76))</f>
        <v/>
      </c>
      <c r="R77" s="22" t="str">
        <f aca="false">IF($A77="","",IF($Q77=$Q76,$R76+1,1))</f>
        <v/>
      </c>
      <c r="S77" s="22" t="str">
        <f aca="false">IF($A77="","",IF(AND($A77=$A76,$B77=$B76),0,1))</f>
        <v/>
      </c>
      <c r="T77" s="22" t="str">
        <f aca="false">IF($A77="","",IF($S77=1,COUNTIF($S$5:$S77,1),""))</f>
        <v/>
      </c>
      <c r="U77" s="22" t="str">
        <f aca="false">IF($D77="","",IFERROR(VLOOKUP($D77,商品マスタ!$A$5:$G$1000,7,FALSE()),0))</f>
        <v/>
      </c>
    </row>
    <row r="78" customFormat="false" ht="15" hidden="false" customHeight="true" outlineLevel="0" collapsed="false">
      <c r="A78" s="23"/>
      <c r="B78" s="14"/>
      <c r="C78" s="14"/>
      <c r="D78" s="14"/>
      <c r="E78" s="24"/>
      <c r="F78" s="24"/>
      <c r="G78" s="14"/>
      <c r="H78" s="14"/>
      <c r="I78" s="14"/>
      <c r="J78" s="22" t="str">
        <f aca="false">IF($D78="","",IFERROR(VLOOKUP($D78,商品マスタ!$A$5:$G$1000,2,FALSE()),"※商品マスタ未登録"))</f>
        <v/>
      </c>
      <c r="K78" s="22" t="str">
        <f aca="false">IF($D78="","",IFERROR(VLOOKUP($D78,商品マスタ!$A$5:$G$1000,3,FALSE()),""))</f>
        <v/>
      </c>
      <c r="L78" s="22" t="str">
        <f aca="false">IF($D78="","",IF($H78&lt;&gt;"",$H78,IFERROR(VLOOKUP($D78,商品マスタ!$A$5:$G$1000,4,FALSE()),"")))</f>
        <v/>
      </c>
      <c r="M78" s="22" t="str">
        <f aca="false">IF($D78="","",IFERROR(VLOOKUP($D78,商品マスタ!$A$5:$G$1000,5,FALSE()),0))</f>
        <v/>
      </c>
      <c r="N78" s="22" t="str">
        <f aca="false">IF($D78="","",IFERROR(VLOOKUP($D78,商品マスタ!$A$5:$G$1000,6,FALSE()),0))</f>
        <v/>
      </c>
      <c r="O78" s="22" t="str">
        <f aca="false">IF($D78="","",ROUND($E78*$F78,0))</f>
        <v/>
      </c>
      <c r="P78" s="22" t="str">
        <f aca="false">IF($D78="","",$O78)</f>
        <v/>
      </c>
      <c r="Q78" s="22" t="str">
        <f aca="false">IF($A78="","",IF($S78=1,$Q77+1,$Q77))</f>
        <v/>
      </c>
      <c r="R78" s="22" t="str">
        <f aca="false">IF($A78="","",IF($Q78=$Q77,$R77+1,1))</f>
        <v/>
      </c>
      <c r="S78" s="22" t="str">
        <f aca="false">IF($A78="","",IF(AND($A78=$A77,$B78=$B77),0,1))</f>
        <v/>
      </c>
      <c r="T78" s="22" t="str">
        <f aca="false">IF($A78="","",IF($S78=1,COUNTIF($S$5:$S78,1),""))</f>
        <v/>
      </c>
      <c r="U78" s="22" t="str">
        <f aca="false">IF($D78="","",IFERROR(VLOOKUP($D78,商品マスタ!$A$5:$G$1000,7,FALSE()),0))</f>
        <v/>
      </c>
    </row>
    <row r="79" customFormat="false" ht="15" hidden="false" customHeight="true" outlineLevel="0" collapsed="false">
      <c r="A79" s="23"/>
      <c r="B79" s="14"/>
      <c r="C79" s="14"/>
      <c r="D79" s="14"/>
      <c r="E79" s="24"/>
      <c r="F79" s="24"/>
      <c r="G79" s="14"/>
      <c r="H79" s="14"/>
      <c r="I79" s="14"/>
      <c r="J79" s="22" t="str">
        <f aca="false">IF($D79="","",IFERROR(VLOOKUP($D79,商品マスタ!$A$5:$G$1000,2,FALSE()),"※商品マスタ未登録"))</f>
        <v/>
      </c>
      <c r="K79" s="22" t="str">
        <f aca="false">IF($D79="","",IFERROR(VLOOKUP($D79,商品マスタ!$A$5:$G$1000,3,FALSE()),""))</f>
        <v/>
      </c>
      <c r="L79" s="22" t="str">
        <f aca="false">IF($D79="","",IF($H79&lt;&gt;"",$H79,IFERROR(VLOOKUP($D79,商品マスタ!$A$5:$G$1000,4,FALSE()),"")))</f>
        <v/>
      </c>
      <c r="M79" s="22" t="str">
        <f aca="false">IF($D79="","",IFERROR(VLOOKUP($D79,商品マスタ!$A$5:$G$1000,5,FALSE()),0))</f>
        <v/>
      </c>
      <c r="N79" s="22" t="str">
        <f aca="false">IF($D79="","",IFERROR(VLOOKUP($D79,商品マスタ!$A$5:$G$1000,6,FALSE()),0))</f>
        <v/>
      </c>
      <c r="O79" s="22" t="str">
        <f aca="false">IF($D79="","",ROUND($E79*$F79,0))</f>
        <v/>
      </c>
      <c r="P79" s="22" t="str">
        <f aca="false">IF($D79="","",$O79)</f>
        <v/>
      </c>
      <c r="Q79" s="22" t="str">
        <f aca="false">IF($A79="","",IF($S79=1,$Q78+1,$Q78))</f>
        <v/>
      </c>
      <c r="R79" s="22" t="str">
        <f aca="false">IF($A79="","",IF($Q79=$Q78,$R78+1,1))</f>
        <v/>
      </c>
      <c r="S79" s="22" t="str">
        <f aca="false">IF($A79="","",IF(AND($A79=$A78,$B79=$B78),0,1))</f>
        <v/>
      </c>
      <c r="T79" s="22" t="str">
        <f aca="false">IF($A79="","",IF($S79=1,COUNTIF($S$5:$S79,1),""))</f>
        <v/>
      </c>
      <c r="U79" s="22" t="str">
        <f aca="false">IF($D79="","",IFERROR(VLOOKUP($D79,商品マスタ!$A$5:$G$1000,7,FALSE()),0))</f>
        <v/>
      </c>
    </row>
    <row r="80" customFormat="false" ht="15" hidden="false" customHeight="true" outlineLevel="0" collapsed="false">
      <c r="A80" s="23"/>
      <c r="B80" s="14"/>
      <c r="C80" s="14"/>
      <c r="D80" s="14"/>
      <c r="E80" s="24"/>
      <c r="F80" s="24"/>
      <c r="G80" s="14"/>
      <c r="H80" s="14"/>
      <c r="I80" s="14"/>
      <c r="J80" s="22" t="str">
        <f aca="false">IF($D80="","",IFERROR(VLOOKUP($D80,商品マスタ!$A$5:$G$1000,2,FALSE()),"※商品マスタ未登録"))</f>
        <v/>
      </c>
      <c r="K80" s="22" t="str">
        <f aca="false">IF($D80="","",IFERROR(VLOOKUP($D80,商品マスタ!$A$5:$G$1000,3,FALSE()),""))</f>
        <v/>
      </c>
      <c r="L80" s="22" t="str">
        <f aca="false">IF($D80="","",IF($H80&lt;&gt;"",$H80,IFERROR(VLOOKUP($D80,商品マスタ!$A$5:$G$1000,4,FALSE()),"")))</f>
        <v/>
      </c>
      <c r="M80" s="22" t="str">
        <f aca="false">IF($D80="","",IFERROR(VLOOKUP($D80,商品マスタ!$A$5:$G$1000,5,FALSE()),0))</f>
        <v/>
      </c>
      <c r="N80" s="22" t="str">
        <f aca="false">IF($D80="","",IFERROR(VLOOKUP($D80,商品マスタ!$A$5:$G$1000,6,FALSE()),0))</f>
        <v/>
      </c>
      <c r="O80" s="22" t="str">
        <f aca="false">IF($D80="","",ROUND($E80*$F80,0))</f>
        <v/>
      </c>
      <c r="P80" s="22" t="str">
        <f aca="false">IF($D80="","",$O80)</f>
        <v/>
      </c>
      <c r="Q80" s="22" t="str">
        <f aca="false">IF($A80="","",IF($S80=1,$Q79+1,$Q79))</f>
        <v/>
      </c>
      <c r="R80" s="22" t="str">
        <f aca="false">IF($A80="","",IF($Q80=$Q79,$R79+1,1))</f>
        <v/>
      </c>
      <c r="S80" s="22" t="str">
        <f aca="false">IF($A80="","",IF(AND($A80=$A79,$B80=$B79),0,1))</f>
        <v/>
      </c>
      <c r="T80" s="22" t="str">
        <f aca="false">IF($A80="","",IF($S80=1,COUNTIF($S$5:$S80,1),""))</f>
        <v/>
      </c>
      <c r="U80" s="22" t="str">
        <f aca="false">IF($D80="","",IFERROR(VLOOKUP($D80,商品マスタ!$A$5:$G$1000,7,FALSE()),0))</f>
        <v/>
      </c>
    </row>
    <row r="81" customFormat="false" ht="15" hidden="false" customHeight="true" outlineLevel="0" collapsed="false">
      <c r="A81" s="23"/>
      <c r="B81" s="14"/>
      <c r="C81" s="14"/>
      <c r="D81" s="14"/>
      <c r="E81" s="24"/>
      <c r="F81" s="24"/>
      <c r="G81" s="14"/>
      <c r="H81" s="14"/>
      <c r="I81" s="14"/>
      <c r="J81" s="22" t="str">
        <f aca="false">IF($D81="","",IFERROR(VLOOKUP($D81,商品マスタ!$A$5:$G$1000,2,FALSE()),"※商品マスタ未登録"))</f>
        <v/>
      </c>
      <c r="K81" s="22" t="str">
        <f aca="false">IF($D81="","",IFERROR(VLOOKUP($D81,商品マスタ!$A$5:$G$1000,3,FALSE()),""))</f>
        <v/>
      </c>
      <c r="L81" s="22" t="str">
        <f aca="false">IF($D81="","",IF($H81&lt;&gt;"",$H81,IFERROR(VLOOKUP($D81,商品マスタ!$A$5:$G$1000,4,FALSE()),"")))</f>
        <v/>
      </c>
      <c r="M81" s="22" t="str">
        <f aca="false">IF($D81="","",IFERROR(VLOOKUP($D81,商品マスタ!$A$5:$G$1000,5,FALSE()),0))</f>
        <v/>
      </c>
      <c r="N81" s="22" t="str">
        <f aca="false">IF($D81="","",IFERROR(VLOOKUP($D81,商品マスタ!$A$5:$G$1000,6,FALSE()),0))</f>
        <v/>
      </c>
      <c r="O81" s="22" t="str">
        <f aca="false">IF($D81="","",ROUND($E81*$F81,0))</f>
        <v/>
      </c>
      <c r="P81" s="22" t="str">
        <f aca="false">IF($D81="","",$O81)</f>
        <v/>
      </c>
      <c r="Q81" s="22" t="str">
        <f aca="false">IF($A81="","",IF($S81=1,$Q80+1,$Q80))</f>
        <v/>
      </c>
      <c r="R81" s="22" t="str">
        <f aca="false">IF($A81="","",IF($Q81=$Q80,$R80+1,1))</f>
        <v/>
      </c>
      <c r="S81" s="22" t="str">
        <f aca="false">IF($A81="","",IF(AND($A81=$A80,$B81=$B80),0,1))</f>
        <v/>
      </c>
      <c r="T81" s="22" t="str">
        <f aca="false">IF($A81="","",IF($S81=1,COUNTIF($S$5:$S81,1),""))</f>
        <v/>
      </c>
      <c r="U81" s="22" t="str">
        <f aca="false">IF($D81="","",IFERROR(VLOOKUP($D81,商品マスタ!$A$5:$G$1000,7,FALSE()),0))</f>
        <v/>
      </c>
    </row>
    <row r="82" customFormat="false" ht="15" hidden="false" customHeight="true" outlineLevel="0" collapsed="false">
      <c r="A82" s="23"/>
      <c r="B82" s="14"/>
      <c r="C82" s="14"/>
      <c r="D82" s="14"/>
      <c r="E82" s="24"/>
      <c r="F82" s="24"/>
      <c r="G82" s="14"/>
      <c r="H82" s="14"/>
      <c r="I82" s="14"/>
      <c r="J82" s="22" t="str">
        <f aca="false">IF($D82="","",IFERROR(VLOOKUP($D82,商品マスタ!$A$5:$G$1000,2,FALSE()),"※商品マスタ未登録"))</f>
        <v/>
      </c>
      <c r="K82" s="22" t="str">
        <f aca="false">IF($D82="","",IFERROR(VLOOKUP($D82,商品マスタ!$A$5:$G$1000,3,FALSE()),""))</f>
        <v/>
      </c>
      <c r="L82" s="22" t="str">
        <f aca="false">IF($D82="","",IF($H82&lt;&gt;"",$H82,IFERROR(VLOOKUP($D82,商品マスタ!$A$5:$G$1000,4,FALSE()),"")))</f>
        <v/>
      </c>
      <c r="M82" s="22" t="str">
        <f aca="false">IF($D82="","",IFERROR(VLOOKUP($D82,商品マスタ!$A$5:$G$1000,5,FALSE()),0))</f>
        <v/>
      </c>
      <c r="N82" s="22" t="str">
        <f aca="false">IF($D82="","",IFERROR(VLOOKUP($D82,商品マスタ!$A$5:$G$1000,6,FALSE()),0))</f>
        <v/>
      </c>
      <c r="O82" s="22" t="str">
        <f aca="false">IF($D82="","",ROUND($E82*$F82,0))</f>
        <v/>
      </c>
      <c r="P82" s="22" t="str">
        <f aca="false">IF($D82="","",$O82)</f>
        <v/>
      </c>
      <c r="Q82" s="22" t="str">
        <f aca="false">IF($A82="","",IF($S82=1,$Q81+1,$Q81))</f>
        <v/>
      </c>
      <c r="R82" s="22" t="str">
        <f aca="false">IF($A82="","",IF($Q82=$Q81,$R81+1,1))</f>
        <v/>
      </c>
      <c r="S82" s="22" t="str">
        <f aca="false">IF($A82="","",IF(AND($A82=$A81,$B82=$B81),0,1))</f>
        <v/>
      </c>
      <c r="T82" s="22" t="str">
        <f aca="false">IF($A82="","",IF($S82=1,COUNTIF($S$5:$S82,1),""))</f>
        <v/>
      </c>
      <c r="U82" s="22" t="str">
        <f aca="false">IF($D82="","",IFERROR(VLOOKUP($D82,商品マスタ!$A$5:$G$1000,7,FALSE()),0))</f>
        <v/>
      </c>
    </row>
    <row r="83" customFormat="false" ht="15" hidden="false" customHeight="true" outlineLevel="0" collapsed="false">
      <c r="A83" s="23"/>
      <c r="B83" s="14"/>
      <c r="C83" s="14"/>
      <c r="D83" s="14"/>
      <c r="E83" s="24"/>
      <c r="F83" s="24"/>
      <c r="G83" s="14"/>
      <c r="H83" s="14"/>
      <c r="I83" s="14"/>
      <c r="J83" s="22" t="str">
        <f aca="false">IF($D83="","",IFERROR(VLOOKUP($D83,商品マスタ!$A$5:$G$1000,2,FALSE()),"※商品マスタ未登録"))</f>
        <v/>
      </c>
      <c r="K83" s="22" t="str">
        <f aca="false">IF($D83="","",IFERROR(VLOOKUP($D83,商品マスタ!$A$5:$G$1000,3,FALSE()),""))</f>
        <v/>
      </c>
      <c r="L83" s="22" t="str">
        <f aca="false">IF($D83="","",IF($H83&lt;&gt;"",$H83,IFERROR(VLOOKUP($D83,商品マスタ!$A$5:$G$1000,4,FALSE()),"")))</f>
        <v/>
      </c>
      <c r="M83" s="22" t="str">
        <f aca="false">IF($D83="","",IFERROR(VLOOKUP($D83,商品マスタ!$A$5:$G$1000,5,FALSE()),0))</f>
        <v/>
      </c>
      <c r="N83" s="22" t="str">
        <f aca="false">IF($D83="","",IFERROR(VLOOKUP($D83,商品マスタ!$A$5:$G$1000,6,FALSE()),0))</f>
        <v/>
      </c>
      <c r="O83" s="22" t="str">
        <f aca="false">IF($D83="","",ROUND($E83*$F83,0))</f>
        <v/>
      </c>
      <c r="P83" s="22" t="str">
        <f aca="false">IF($D83="","",$O83)</f>
        <v/>
      </c>
      <c r="Q83" s="22" t="str">
        <f aca="false">IF($A83="","",IF($S83=1,$Q82+1,$Q82))</f>
        <v/>
      </c>
      <c r="R83" s="22" t="str">
        <f aca="false">IF($A83="","",IF($Q83=$Q82,$R82+1,1))</f>
        <v/>
      </c>
      <c r="S83" s="22" t="str">
        <f aca="false">IF($A83="","",IF(AND($A83=$A82,$B83=$B82),0,1))</f>
        <v/>
      </c>
      <c r="T83" s="22" t="str">
        <f aca="false">IF($A83="","",IF($S83=1,COUNTIF($S$5:$S83,1),""))</f>
        <v/>
      </c>
      <c r="U83" s="22" t="str">
        <f aca="false">IF($D83="","",IFERROR(VLOOKUP($D83,商品マスタ!$A$5:$G$1000,7,FALSE()),0))</f>
        <v/>
      </c>
    </row>
    <row r="84" customFormat="false" ht="15" hidden="false" customHeight="true" outlineLevel="0" collapsed="false">
      <c r="A84" s="23"/>
      <c r="B84" s="14"/>
      <c r="C84" s="14"/>
      <c r="D84" s="14"/>
      <c r="E84" s="24"/>
      <c r="F84" s="24"/>
      <c r="G84" s="14"/>
      <c r="H84" s="14"/>
      <c r="I84" s="14"/>
      <c r="J84" s="22" t="str">
        <f aca="false">IF($D84="","",IFERROR(VLOOKUP($D84,商品マスタ!$A$5:$G$1000,2,FALSE()),"※商品マスタ未登録"))</f>
        <v/>
      </c>
      <c r="K84" s="22" t="str">
        <f aca="false">IF($D84="","",IFERROR(VLOOKUP($D84,商品マスタ!$A$5:$G$1000,3,FALSE()),""))</f>
        <v/>
      </c>
      <c r="L84" s="22" t="str">
        <f aca="false">IF($D84="","",IF($H84&lt;&gt;"",$H84,IFERROR(VLOOKUP($D84,商品マスタ!$A$5:$G$1000,4,FALSE()),"")))</f>
        <v/>
      </c>
      <c r="M84" s="22" t="str">
        <f aca="false">IF($D84="","",IFERROR(VLOOKUP($D84,商品マスタ!$A$5:$G$1000,5,FALSE()),0))</f>
        <v/>
      </c>
      <c r="N84" s="22" t="str">
        <f aca="false">IF($D84="","",IFERROR(VLOOKUP($D84,商品マスタ!$A$5:$G$1000,6,FALSE()),0))</f>
        <v/>
      </c>
      <c r="O84" s="22" t="str">
        <f aca="false">IF($D84="","",ROUND($E84*$F84,0))</f>
        <v/>
      </c>
      <c r="P84" s="22" t="str">
        <f aca="false">IF($D84="","",$O84)</f>
        <v/>
      </c>
      <c r="Q84" s="22" t="str">
        <f aca="false">IF($A84="","",IF($S84=1,$Q83+1,$Q83))</f>
        <v/>
      </c>
      <c r="R84" s="22" t="str">
        <f aca="false">IF($A84="","",IF($Q84=$Q83,$R83+1,1))</f>
        <v/>
      </c>
      <c r="S84" s="22" t="str">
        <f aca="false">IF($A84="","",IF(AND($A84=$A83,$B84=$B83),0,1))</f>
        <v/>
      </c>
      <c r="T84" s="22" t="str">
        <f aca="false">IF($A84="","",IF($S84=1,COUNTIF($S$5:$S84,1),""))</f>
        <v/>
      </c>
      <c r="U84" s="22" t="str">
        <f aca="false">IF($D84="","",IFERROR(VLOOKUP($D84,商品マスタ!$A$5:$G$1000,7,FALSE()),0))</f>
        <v/>
      </c>
    </row>
    <row r="85" customFormat="false" ht="15" hidden="false" customHeight="true" outlineLevel="0" collapsed="false">
      <c r="A85" s="23"/>
      <c r="B85" s="14"/>
      <c r="C85" s="14"/>
      <c r="D85" s="14"/>
      <c r="E85" s="24"/>
      <c r="F85" s="24"/>
      <c r="G85" s="14"/>
      <c r="H85" s="14"/>
      <c r="I85" s="14"/>
      <c r="J85" s="22" t="str">
        <f aca="false">IF($D85="","",IFERROR(VLOOKUP($D85,商品マスタ!$A$5:$G$1000,2,FALSE()),"※商品マスタ未登録"))</f>
        <v/>
      </c>
      <c r="K85" s="22" t="str">
        <f aca="false">IF($D85="","",IFERROR(VLOOKUP($D85,商品マスタ!$A$5:$G$1000,3,FALSE()),""))</f>
        <v/>
      </c>
      <c r="L85" s="22" t="str">
        <f aca="false">IF($D85="","",IF($H85&lt;&gt;"",$H85,IFERROR(VLOOKUP($D85,商品マスタ!$A$5:$G$1000,4,FALSE()),"")))</f>
        <v/>
      </c>
      <c r="M85" s="22" t="str">
        <f aca="false">IF($D85="","",IFERROR(VLOOKUP($D85,商品マスタ!$A$5:$G$1000,5,FALSE()),0))</f>
        <v/>
      </c>
      <c r="N85" s="22" t="str">
        <f aca="false">IF($D85="","",IFERROR(VLOOKUP($D85,商品マスタ!$A$5:$G$1000,6,FALSE()),0))</f>
        <v/>
      </c>
      <c r="O85" s="22" t="str">
        <f aca="false">IF($D85="","",ROUND($E85*$F85,0))</f>
        <v/>
      </c>
      <c r="P85" s="22" t="str">
        <f aca="false">IF($D85="","",$O85)</f>
        <v/>
      </c>
      <c r="Q85" s="22" t="str">
        <f aca="false">IF($A85="","",IF($S85=1,$Q84+1,$Q84))</f>
        <v/>
      </c>
      <c r="R85" s="22" t="str">
        <f aca="false">IF($A85="","",IF($Q85=$Q84,$R84+1,1))</f>
        <v/>
      </c>
      <c r="S85" s="22" t="str">
        <f aca="false">IF($A85="","",IF(AND($A85=$A84,$B85=$B84),0,1))</f>
        <v/>
      </c>
      <c r="T85" s="22" t="str">
        <f aca="false">IF($A85="","",IF($S85=1,COUNTIF($S$5:$S85,1),""))</f>
        <v/>
      </c>
      <c r="U85" s="22" t="str">
        <f aca="false">IF($D85="","",IFERROR(VLOOKUP($D85,商品マスタ!$A$5:$G$1000,7,FALSE()),0))</f>
        <v/>
      </c>
    </row>
    <row r="86" customFormat="false" ht="15" hidden="false" customHeight="true" outlineLevel="0" collapsed="false">
      <c r="A86" s="23"/>
      <c r="B86" s="14"/>
      <c r="C86" s="14"/>
      <c r="D86" s="14"/>
      <c r="E86" s="24"/>
      <c r="F86" s="24"/>
      <c r="G86" s="14"/>
      <c r="H86" s="14"/>
      <c r="I86" s="14"/>
      <c r="J86" s="22" t="str">
        <f aca="false">IF($D86="","",IFERROR(VLOOKUP($D86,商品マスタ!$A$5:$G$1000,2,FALSE()),"※商品マスタ未登録"))</f>
        <v/>
      </c>
      <c r="K86" s="22" t="str">
        <f aca="false">IF($D86="","",IFERROR(VLOOKUP($D86,商品マスタ!$A$5:$G$1000,3,FALSE()),""))</f>
        <v/>
      </c>
      <c r="L86" s="22" t="str">
        <f aca="false">IF($D86="","",IF($H86&lt;&gt;"",$H86,IFERROR(VLOOKUP($D86,商品マスタ!$A$5:$G$1000,4,FALSE()),"")))</f>
        <v/>
      </c>
      <c r="M86" s="22" t="str">
        <f aca="false">IF($D86="","",IFERROR(VLOOKUP($D86,商品マスタ!$A$5:$G$1000,5,FALSE()),0))</f>
        <v/>
      </c>
      <c r="N86" s="22" t="str">
        <f aca="false">IF($D86="","",IFERROR(VLOOKUP($D86,商品マスタ!$A$5:$G$1000,6,FALSE()),0))</f>
        <v/>
      </c>
      <c r="O86" s="22" t="str">
        <f aca="false">IF($D86="","",ROUND($E86*$F86,0))</f>
        <v/>
      </c>
      <c r="P86" s="22" t="str">
        <f aca="false">IF($D86="","",$O86)</f>
        <v/>
      </c>
      <c r="Q86" s="22" t="str">
        <f aca="false">IF($A86="","",IF($S86=1,$Q85+1,$Q85))</f>
        <v/>
      </c>
      <c r="R86" s="22" t="str">
        <f aca="false">IF($A86="","",IF($Q86=$Q85,$R85+1,1))</f>
        <v/>
      </c>
      <c r="S86" s="22" t="str">
        <f aca="false">IF($A86="","",IF(AND($A86=$A85,$B86=$B85),0,1))</f>
        <v/>
      </c>
      <c r="T86" s="22" t="str">
        <f aca="false">IF($A86="","",IF($S86=1,COUNTIF($S$5:$S86,1),""))</f>
        <v/>
      </c>
      <c r="U86" s="22" t="str">
        <f aca="false">IF($D86="","",IFERROR(VLOOKUP($D86,商品マスタ!$A$5:$G$1000,7,FALSE()),0))</f>
        <v/>
      </c>
    </row>
    <row r="87" customFormat="false" ht="15" hidden="false" customHeight="true" outlineLevel="0" collapsed="false">
      <c r="A87" s="23"/>
      <c r="B87" s="14"/>
      <c r="C87" s="14"/>
      <c r="D87" s="14"/>
      <c r="E87" s="24"/>
      <c r="F87" s="24"/>
      <c r="G87" s="14"/>
      <c r="H87" s="14"/>
      <c r="I87" s="14"/>
      <c r="J87" s="22" t="str">
        <f aca="false">IF($D87="","",IFERROR(VLOOKUP($D87,商品マスタ!$A$5:$G$1000,2,FALSE()),"※商品マスタ未登録"))</f>
        <v/>
      </c>
      <c r="K87" s="22" t="str">
        <f aca="false">IF($D87="","",IFERROR(VLOOKUP($D87,商品マスタ!$A$5:$G$1000,3,FALSE()),""))</f>
        <v/>
      </c>
      <c r="L87" s="22" t="str">
        <f aca="false">IF($D87="","",IF($H87&lt;&gt;"",$H87,IFERROR(VLOOKUP($D87,商品マスタ!$A$5:$G$1000,4,FALSE()),"")))</f>
        <v/>
      </c>
      <c r="M87" s="22" t="str">
        <f aca="false">IF($D87="","",IFERROR(VLOOKUP($D87,商品マスタ!$A$5:$G$1000,5,FALSE()),0))</f>
        <v/>
      </c>
      <c r="N87" s="22" t="str">
        <f aca="false">IF($D87="","",IFERROR(VLOOKUP($D87,商品マスタ!$A$5:$G$1000,6,FALSE()),0))</f>
        <v/>
      </c>
      <c r="O87" s="22" t="str">
        <f aca="false">IF($D87="","",ROUND($E87*$F87,0))</f>
        <v/>
      </c>
      <c r="P87" s="22" t="str">
        <f aca="false">IF($D87="","",$O87)</f>
        <v/>
      </c>
      <c r="Q87" s="22" t="str">
        <f aca="false">IF($A87="","",IF($S87=1,$Q86+1,$Q86))</f>
        <v/>
      </c>
      <c r="R87" s="22" t="str">
        <f aca="false">IF($A87="","",IF($Q87=$Q86,$R86+1,1))</f>
        <v/>
      </c>
      <c r="S87" s="22" t="str">
        <f aca="false">IF($A87="","",IF(AND($A87=$A86,$B87=$B86),0,1))</f>
        <v/>
      </c>
      <c r="T87" s="22" t="str">
        <f aca="false">IF($A87="","",IF($S87=1,COUNTIF($S$5:$S87,1),""))</f>
        <v/>
      </c>
      <c r="U87" s="22" t="str">
        <f aca="false">IF($D87="","",IFERROR(VLOOKUP($D87,商品マスタ!$A$5:$G$1000,7,FALSE()),0))</f>
        <v/>
      </c>
    </row>
    <row r="88" customFormat="false" ht="15" hidden="false" customHeight="true" outlineLevel="0" collapsed="false">
      <c r="A88" s="23"/>
      <c r="B88" s="14"/>
      <c r="C88" s="14"/>
      <c r="D88" s="14"/>
      <c r="E88" s="24"/>
      <c r="F88" s="24"/>
      <c r="G88" s="14"/>
      <c r="H88" s="14"/>
      <c r="I88" s="14"/>
      <c r="J88" s="22" t="str">
        <f aca="false">IF($D88="","",IFERROR(VLOOKUP($D88,商品マスタ!$A$5:$G$1000,2,FALSE()),"※商品マスタ未登録"))</f>
        <v/>
      </c>
      <c r="K88" s="22" t="str">
        <f aca="false">IF($D88="","",IFERROR(VLOOKUP($D88,商品マスタ!$A$5:$G$1000,3,FALSE()),""))</f>
        <v/>
      </c>
      <c r="L88" s="22" t="str">
        <f aca="false">IF($D88="","",IF($H88&lt;&gt;"",$H88,IFERROR(VLOOKUP($D88,商品マスタ!$A$5:$G$1000,4,FALSE()),"")))</f>
        <v/>
      </c>
      <c r="M88" s="22" t="str">
        <f aca="false">IF($D88="","",IFERROR(VLOOKUP($D88,商品マスタ!$A$5:$G$1000,5,FALSE()),0))</f>
        <v/>
      </c>
      <c r="N88" s="22" t="str">
        <f aca="false">IF($D88="","",IFERROR(VLOOKUP($D88,商品マスタ!$A$5:$G$1000,6,FALSE()),0))</f>
        <v/>
      </c>
      <c r="O88" s="22" t="str">
        <f aca="false">IF($D88="","",ROUND($E88*$F88,0))</f>
        <v/>
      </c>
      <c r="P88" s="22" t="str">
        <f aca="false">IF($D88="","",$O88)</f>
        <v/>
      </c>
      <c r="Q88" s="22" t="str">
        <f aca="false">IF($A88="","",IF($S88=1,$Q87+1,$Q87))</f>
        <v/>
      </c>
      <c r="R88" s="22" t="str">
        <f aca="false">IF($A88="","",IF($Q88=$Q87,$R87+1,1))</f>
        <v/>
      </c>
      <c r="S88" s="22" t="str">
        <f aca="false">IF($A88="","",IF(AND($A88=$A87,$B88=$B87),0,1))</f>
        <v/>
      </c>
      <c r="T88" s="22" t="str">
        <f aca="false">IF($A88="","",IF($S88=1,COUNTIF($S$5:$S88,1),""))</f>
        <v/>
      </c>
      <c r="U88" s="22" t="str">
        <f aca="false">IF($D88="","",IFERROR(VLOOKUP($D88,商品マスタ!$A$5:$G$1000,7,FALSE()),0))</f>
        <v/>
      </c>
    </row>
    <row r="89" customFormat="false" ht="15" hidden="false" customHeight="true" outlineLevel="0" collapsed="false">
      <c r="A89" s="23"/>
      <c r="B89" s="14"/>
      <c r="C89" s="14"/>
      <c r="D89" s="14"/>
      <c r="E89" s="24"/>
      <c r="F89" s="24"/>
      <c r="G89" s="14"/>
      <c r="H89" s="14"/>
      <c r="I89" s="14"/>
      <c r="J89" s="22" t="str">
        <f aca="false">IF($D89="","",IFERROR(VLOOKUP($D89,商品マスタ!$A$5:$G$1000,2,FALSE()),"※商品マスタ未登録"))</f>
        <v/>
      </c>
      <c r="K89" s="22" t="str">
        <f aca="false">IF($D89="","",IFERROR(VLOOKUP($D89,商品マスタ!$A$5:$G$1000,3,FALSE()),""))</f>
        <v/>
      </c>
      <c r="L89" s="22" t="str">
        <f aca="false">IF($D89="","",IF($H89&lt;&gt;"",$H89,IFERROR(VLOOKUP($D89,商品マスタ!$A$5:$G$1000,4,FALSE()),"")))</f>
        <v/>
      </c>
      <c r="M89" s="22" t="str">
        <f aca="false">IF($D89="","",IFERROR(VLOOKUP($D89,商品マスタ!$A$5:$G$1000,5,FALSE()),0))</f>
        <v/>
      </c>
      <c r="N89" s="22" t="str">
        <f aca="false">IF($D89="","",IFERROR(VLOOKUP($D89,商品マスタ!$A$5:$G$1000,6,FALSE()),0))</f>
        <v/>
      </c>
      <c r="O89" s="22" t="str">
        <f aca="false">IF($D89="","",ROUND($E89*$F89,0))</f>
        <v/>
      </c>
      <c r="P89" s="22" t="str">
        <f aca="false">IF($D89="","",$O89)</f>
        <v/>
      </c>
      <c r="Q89" s="22" t="str">
        <f aca="false">IF($A89="","",IF($S89=1,$Q88+1,$Q88))</f>
        <v/>
      </c>
      <c r="R89" s="22" t="str">
        <f aca="false">IF($A89="","",IF($Q89=$Q88,$R88+1,1))</f>
        <v/>
      </c>
      <c r="S89" s="22" t="str">
        <f aca="false">IF($A89="","",IF(AND($A89=$A88,$B89=$B88),0,1))</f>
        <v/>
      </c>
      <c r="T89" s="22" t="str">
        <f aca="false">IF($A89="","",IF($S89=1,COUNTIF($S$5:$S89,1),""))</f>
        <v/>
      </c>
      <c r="U89" s="22" t="str">
        <f aca="false">IF($D89="","",IFERROR(VLOOKUP($D89,商品マスタ!$A$5:$G$1000,7,FALSE()),0))</f>
        <v/>
      </c>
    </row>
    <row r="90" customFormat="false" ht="15" hidden="false" customHeight="true" outlineLevel="0" collapsed="false">
      <c r="A90" s="23"/>
      <c r="B90" s="14"/>
      <c r="C90" s="14"/>
      <c r="D90" s="14"/>
      <c r="E90" s="24"/>
      <c r="F90" s="24"/>
      <c r="G90" s="14"/>
      <c r="H90" s="14"/>
      <c r="I90" s="14"/>
      <c r="J90" s="22" t="str">
        <f aca="false">IF($D90="","",IFERROR(VLOOKUP($D90,商品マスタ!$A$5:$G$1000,2,FALSE()),"※商品マスタ未登録"))</f>
        <v/>
      </c>
      <c r="K90" s="22" t="str">
        <f aca="false">IF($D90="","",IFERROR(VLOOKUP($D90,商品マスタ!$A$5:$G$1000,3,FALSE()),""))</f>
        <v/>
      </c>
      <c r="L90" s="22" t="str">
        <f aca="false">IF($D90="","",IF($H90&lt;&gt;"",$H90,IFERROR(VLOOKUP($D90,商品マスタ!$A$5:$G$1000,4,FALSE()),"")))</f>
        <v/>
      </c>
      <c r="M90" s="22" t="str">
        <f aca="false">IF($D90="","",IFERROR(VLOOKUP($D90,商品マスタ!$A$5:$G$1000,5,FALSE()),0))</f>
        <v/>
      </c>
      <c r="N90" s="22" t="str">
        <f aca="false">IF($D90="","",IFERROR(VLOOKUP($D90,商品マスタ!$A$5:$G$1000,6,FALSE()),0))</f>
        <v/>
      </c>
      <c r="O90" s="22" t="str">
        <f aca="false">IF($D90="","",ROUND($E90*$F90,0))</f>
        <v/>
      </c>
      <c r="P90" s="22" t="str">
        <f aca="false">IF($D90="","",$O90)</f>
        <v/>
      </c>
      <c r="Q90" s="22" t="str">
        <f aca="false">IF($A90="","",IF($S90=1,$Q89+1,$Q89))</f>
        <v/>
      </c>
      <c r="R90" s="22" t="str">
        <f aca="false">IF($A90="","",IF($Q90=$Q89,$R89+1,1))</f>
        <v/>
      </c>
      <c r="S90" s="22" t="str">
        <f aca="false">IF($A90="","",IF(AND($A90=$A89,$B90=$B89),0,1))</f>
        <v/>
      </c>
      <c r="T90" s="22" t="str">
        <f aca="false">IF($A90="","",IF($S90=1,COUNTIF($S$5:$S90,1),""))</f>
        <v/>
      </c>
      <c r="U90" s="22" t="str">
        <f aca="false">IF($D90="","",IFERROR(VLOOKUP($D90,商品マスタ!$A$5:$G$1000,7,FALSE()),0))</f>
        <v/>
      </c>
    </row>
    <row r="91" customFormat="false" ht="15" hidden="false" customHeight="true" outlineLevel="0" collapsed="false">
      <c r="A91" s="23"/>
      <c r="B91" s="14"/>
      <c r="C91" s="14"/>
      <c r="D91" s="14"/>
      <c r="E91" s="24"/>
      <c r="F91" s="24"/>
      <c r="G91" s="14"/>
      <c r="H91" s="14"/>
      <c r="I91" s="14"/>
      <c r="J91" s="22" t="str">
        <f aca="false">IF($D91="","",IFERROR(VLOOKUP($D91,商品マスタ!$A$5:$G$1000,2,FALSE()),"※商品マスタ未登録"))</f>
        <v/>
      </c>
      <c r="K91" s="22" t="str">
        <f aca="false">IF($D91="","",IFERROR(VLOOKUP($D91,商品マスタ!$A$5:$G$1000,3,FALSE()),""))</f>
        <v/>
      </c>
      <c r="L91" s="22" t="str">
        <f aca="false">IF($D91="","",IF($H91&lt;&gt;"",$H91,IFERROR(VLOOKUP($D91,商品マスタ!$A$5:$G$1000,4,FALSE()),"")))</f>
        <v/>
      </c>
      <c r="M91" s="22" t="str">
        <f aca="false">IF($D91="","",IFERROR(VLOOKUP($D91,商品マスタ!$A$5:$G$1000,5,FALSE()),0))</f>
        <v/>
      </c>
      <c r="N91" s="22" t="str">
        <f aca="false">IF($D91="","",IFERROR(VLOOKUP($D91,商品マスタ!$A$5:$G$1000,6,FALSE()),0))</f>
        <v/>
      </c>
      <c r="O91" s="22" t="str">
        <f aca="false">IF($D91="","",ROUND($E91*$F91,0))</f>
        <v/>
      </c>
      <c r="P91" s="22" t="str">
        <f aca="false">IF($D91="","",$O91)</f>
        <v/>
      </c>
      <c r="Q91" s="22" t="str">
        <f aca="false">IF($A91="","",IF($S91=1,$Q90+1,$Q90))</f>
        <v/>
      </c>
      <c r="R91" s="22" t="str">
        <f aca="false">IF($A91="","",IF($Q91=$Q90,$R90+1,1))</f>
        <v/>
      </c>
      <c r="S91" s="22" t="str">
        <f aca="false">IF($A91="","",IF(AND($A91=$A90,$B91=$B90),0,1))</f>
        <v/>
      </c>
      <c r="T91" s="22" t="str">
        <f aca="false">IF($A91="","",IF($S91=1,COUNTIF($S$5:$S91,1),""))</f>
        <v/>
      </c>
      <c r="U91" s="22" t="str">
        <f aca="false">IF($D91="","",IFERROR(VLOOKUP($D91,商品マスタ!$A$5:$G$1000,7,FALSE()),0))</f>
        <v/>
      </c>
    </row>
    <row r="92" customFormat="false" ht="15" hidden="false" customHeight="true" outlineLevel="0" collapsed="false">
      <c r="A92" s="23"/>
      <c r="B92" s="14"/>
      <c r="C92" s="14"/>
      <c r="D92" s="14"/>
      <c r="E92" s="24"/>
      <c r="F92" s="24"/>
      <c r="G92" s="14"/>
      <c r="H92" s="14"/>
      <c r="I92" s="14"/>
      <c r="J92" s="22" t="str">
        <f aca="false">IF($D92="","",IFERROR(VLOOKUP($D92,商品マスタ!$A$5:$G$1000,2,FALSE()),"※商品マスタ未登録"))</f>
        <v/>
      </c>
      <c r="K92" s="22" t="str">
        <f aca="false">IF($D92="","",IFERROR(VLOOKUP($D92,商品マスタ!$A$5:$G$1000,3,FALSE()),""))</f>
        <v/>
      </c>
      <c r="L92" s="22" t="str">
        <f aca="false">IF($D92="","",IF($H92&lt;&gt;"",$H92,IFERROR(VLOOKUP($D92,商品マスタ!$A$5:$G$1000,4,FALSE()),"")))</f>
        <v/>
      </c>
      <c r="M92" s="22" t="str">
        <f aca="false">IF($D92="","",IFERROR(VLOOKUP($D92,商品マスタ!$A$5:$G$1000,5,FALSE()),0))</f>
        <v/>
      </c>
      <c r="N92" s="22" t="str">
        <f aca="false">IF($D92="","",IFERROR(VLOOKUP($D92,商品マスタ!$A$5:$G$1000,6,FALSE()),0))</f>
        <v/>
      </c>
      <c r="O92" s="22" t="str">
        <f aca="false">IF($D92="","",ROUND($E92*$F92,0))</f>
        <v/>
      </c>
      <c r="P92" s="22" t="str">
        <f aca="false">IF($D92="","",$O92)</f>
        <v/>
      </c>
      <c r="Q92" s="22" t="str">
        <f aca="false">IF($A92="","",IF($S92=1,$Q91+1,$Q91))</f>
        <v/>
      </c>
      <c r="R92" s="22" t="str">
        <f aca="false">IF($A92="","",IF($Q92=$Q91,$R91+1,1))</f>
        <v/>
      </c>
      <c r="S92" s="22" t="str">
        <f aca="false">IF($A92="","",IF(AND($A92=$A91,$B92=$B91),0,1))</f>
        <v/>
      </c>
      <c r="T92" s="22" t="str">
        <f aca="false">IF($A92="","",IF($S92=1,COUNTIF($S$5:$S92,1),""))</f>
        <v/>
      </c>
      <c r="U92" s="22" t="str">
        <f aca="false">IF($D92="","",IFERROR(VLOOKUP($D92,商品マスタ!$A$5:$G$1000,7,FALSE()),0))</f>
        <v/>
      </c>
    </row>
    <row r="93" customFormat="false" ht="15" hidden="false" customHeight="true" outlineLevel="0" collapsed="false">
      <c r="A93" s="23"/>
      <c r="B93" s="14"/>
      <c r="C93" s="14"/>
      <c r="D93" s="14"/>
      <c r="E93" s="24"/>
      <c r="F93" s="24"/>
      <c r="G93" s="14"/>
      <c r="H93" s="14"/>
      <c r="I93" s="14"/>
      <c r="J93" s="22" t="str">
        <f aca="false">IF($D93="","",IFERROR(VLOOKUP($D93,商品マスタ!$A$5:$G$1000,2,FALSE()),"※商品マスタ未登録"))</f>
        <v/>
      </c>
      <c r="K93" s="22" t="str">
        <f aca="false">IF($D93="","",IFERROR(VLOOKUP($D93,商品マスタ!$A$5:$G$1000,3,FALSE()),""))</f>
        <v/>
      </c>
      <c r="L93" s="22" t="str">
        <f aca="false">IF($D93="","",IF($H93&lt;&gt;"",$H93,IFERROR(VLOOKUP($D93,商品マスタ!$A$5:$G$1000,4,FALSE()),"")))</f>
        <v/>
      </c>
      <c r="M93" s="22" t="str">
        <f aca="false">IF($D93="","",IFERROR(VLOOKUP($D93,商品マスタ!$A$5:$G$1000,5,FALSE()),0))</f>
        <v/>
      </c>
      <c r="N93" s="22" t="str">
        <f aca="false">IF($D93="","",IFERROR(VLOOKUP($D93,商品マスタ!$A$5:$G$1000,6,FALSE()),0))</f>
        <v/>
      </c>
      <c r="O93" s="22" t="str">
        <f aca="false">IF($D93="","",ROUND($E93*$F93,0))</f>
        <v/>
      </c>
      <c r="P93" s="22" t="str">
        <f aca="false">IF($D93="","",$O93)</f>
        <v/>
      </c>
      <c r="Q93" s="22" t="str">
        <f aca="false">IF($A93="","",IF($S93=1,$Q92+1,$Q92))</f>
        <v/>
      </c>
      <c r="R93" s="22" t="str">
        <f aca="false">IF($A93="","",IF($Q93=$Q92,$R92+1,1))</f>
        <v/>
      </c>
      <c r="S93" s="22" t="str">
        <f aca="false">IF($A93="","",IF(AND($A93=$A92,$B93=$B92),0,1))</f>
        <v/>
      </c>
      <c r="T93" s="22" t="str">
        <f aca="false">IF($A93="","",IF($S93=1,COUNTIF($S$5:$S93,1),""))</f>
        <v/>
      </c>
      <c r="U93" s="22" t="str">
        <f aca="false">IF($D93="","",IFERROR(VLOOKUP($D93,商品マスタ!$A$5:$G$1000,7,FALSE()),0))</f>
        <v/>
      </c>
    </row>
    <row r="94" customFormat="false" ht="15" hidden="false" customHeight="true" outlineLevel="0" collapsed="false">
      <c r="A94" s="23"/>
      <c r="B94" s="14"/>
      <c r="C94" s="14"/>
      <c r="D94" s="14"/>
      <c r="E94" s="24"/>
      <c r="F94" s="24"/>
      <c r="G94" s="14"/>
      <c r="H94" s="14"/>
      <c r="I94" s="14"/>
      <c r="J94" s="22" t="str">
        <f aca="false">IF($D94="","",IFERROR(VLOOKUP($D94,商品マスタ!$A$5:$G$1000,2,FALSE()),"※商品マスタ未登録"))</f>
        <v/>
      </c>
      <c r="K94" s="22" t="str">
        <f aca="false">IF($D94="","",IFERROR(VLOOKUP($D94,商品マスタ!$A$5:$G$1000,3,FALSE()),""))</f>
        <v/>
      </c>
      <c r="L94" s="22" t="str">
        <f aca="false">IF($D94="","",IF($H94&lt;&gt;"",$H94,IFERROR(VLOOKUP($D94,商品マスタ!$A$5:$G$1000,4,FALSE()),"")))</f>
        <v/>
      </c>
      <c r="M94" s="22" t="str">
        <f aca="false">IF($D94="","",IFERROR(VLOOKUP($D94,商品マスタ!$A$5:$G$1000,5,FALSE()),0))</f>
        <v/>
      </c>
      <c r="N94" s="22" t="str">
        <f aca="false">IF($D94="","",IFERROR(VLOOKUP($D94,商品マスタ!$A$5:$G$1000,6,FALSE()),0))</f>
        <v/>
      </c>
      <c r="O94" s="22" t="str">
        <f aca="false">IF($D94="","",ROUND($E94*$F94,0))</f>
        <v/>
      </c>
      <c r="P94" s="22" t="str">
        <f aca="false">IF($D94="","",$O94)</f>
        <v/>
      </c>
      <c r="Q94" s="22" t="str">
        <f aca="false">IF($A94="","",IF($S94=1,$Q93+1,$Q93))</f>
        <v/>
      </c>
      <c r="R94" s="22" t="str">
        <f aca="false">IF($A94="","",IF($Q94=$Q93,$R93+1,1))</f>
        <v/>
      </c>
      <c r="S94" s="22" t="str">
        <f aca="false">IF($A94="","",IF(AND($A94=$A93,$B94=$B93),0,1))</f>
        <v/>
      </c>
      <c r="T94" s="22" t="str">
        <f aca="false">IF($A94="","",IF($S94=1,COUNTIF($S$5:$S94,1),""))</f>
        <v/>
      </c>
      <c r="U94" s="22" t="str">
        <f aca="false">IF($D94="","",IFERROR(VLOOKUP($D94,商品マスタ!$A$5:$G$1000,7,FALSE()),0))</f>
        <v/>
      </c>
    </row>
    <row r="95" customFormat="false" ht="15" hidden="false" customHeight="true" outlineLevel="0" collapsed="false">
      <c r="A95" s="23"/>
      <c r="B95" s="14"/>
      <c r="C95" s="14"/>
      <c r="D95" s="14"/>
      <c r="E95" s="24"/>
      <c r="F95" s="24"/>
      <c r="G95" s="14"/>
      <c r="H95" s="14"/>
      <c r="I95" s="14"/>
      <c r="J95" s="22" t="str">
        <f aca="false">IF($D95="","",IFERROR(VLOOKUP($D95,商品マスタ!$A$5:$G$1000,2,FALSE()),"※商品マスタ未登録"))</f>
        <v/>
      </c>
      <c r="K95" s="22" t="str">
        <f aca="false">IF($D95="","",IFERROR(VLOOKUP($D95,商品マスタ!$A$5:$G$1000,3,FALSE()),""))</f>
        <v/>
      </c>
      <c r="L95" s="22" t="str">
        <f aca="false">IF($D95="","",IF($H95&lt;&gt;"",$H95,IFERROR(VLOOKUP($D95,商品マスタ!$A$5:$G$1000,4,FALSE()),"")))</f>
        <v/>
      </c>
      <c r="M95" s="22" t="str">
        <f aca="false">IF($D95="","",IFERROR(VLOOKUP($D95,商品マスタ!$A$5:$G$1000,5,FALSE()),0))</f>
        <v/>
      </c>
      <c r="N95" s="22" t="str">
        <f aca="false">IF($D95="","",IFERROR(VLOOKUP($D95,商品マスタ!$A$5:$G$1000,6,FALSE()),0))</f>
        <v/>
      </c>
      <c r="O95" s="22" t="str">
        <f aca="false">IF($D95="","",ROUND($E95*$F95,0))</f>
        <v/>
      </c>
      <c r="P95" s="22" t="str">
        <f aca="false">IF($D95="","",$O95)</f>
        <v/>
      </c>
      <c r="Q95" s="22" t="str">
        <f aca="false">IF($A95="","",IF($S95=1,$Q94+1,$Q94))</f>
        <v/>
      </c>
      <c r="R95" s="22" t="str">
        <f aca="false">IF($A95="","",IF($Q95=$Q94,$R94+1,1))</f>
        <v/>
      </c>
      <c r="S95" s="22" t="str">
        <f aca="false">IF($A95="","",IF(AND($A95=$A94,$B95=$B94),0,1))</f>
        <v/>
      </c>
      <c r="T95" s="22" t="str">
        <f aca="false">IF($A95="","",IF($S95=1,COUNTIF($S$5:$S95,1),""))</f>
        <v/>
      </c>
      <c r="U95" s="22" t="str">
        <f aca="false">IF($D95="","",IFERROR(VLOOKUP($D95,商品マスタ!$A$5:$G$1000,7,FALSE()),0))</f>
        <v/>
      </c>
    </row>
    <row r="96" customFormat="false" ht="15" hidden="false" customHeight="true" outlineLevel="0" collapsed="false">
      <c r="A96" s="23"/>
      <c r="B96" s="14"/>
      <c r="C96" s="14"/>
      <c r="D96" s="14"/>
      <c r="E96" s="24"/>
      <c r="F96" s="24"/>
      <c r="G96" s="14"/>
      <c r="H96" s="14"/>
      <c r="I96" s="14"/>
      <c r="J96" s="22" t="str">
        <f aca="false">IF($D96="","",IFERROR(VLOOKUP($D96,商品マスタ!$A$5:$G$1000,2,FALSE()),"※商品マスタ未登録"))</f>
        <v/>
      </c>
      <c r="K96" s="22" t="str">
        <f aca="false">IF($D96="","",IFERROR(VLOOKUP($D96,商品マスタ!$A$5:$G$1000,3,FALSE()),""))</f>
        <v/>
      </c>
      <c r="L96" s="22" t="str">
        <f aca="false">IF($D96="","",IF($H96&lt;&gt;"",$H96,IFERROR(VLOOKUP($D96,商品マスタ!$A$5:$G$1000,4,FALSE()),"")))</f>
        <v/>
      </c>
      <c r="M96" s="22" t="str">
        <f aca="false">IF($D96="","",IFERROR(VLOOKUP($D96,商品マスタ!$A$5:$G$1000,5,FALSE()),0))</f>
        <v/>
      </c>
      <c r="N96" s="22" t="str">
        <f aca="false">IF($D96="","",IFERROR(VLOOKUP($D96,商品マスタ!$A$5:$G$1000,6,FALSE()),0))</f>
        <v/>
      </c>
      <c r="O96" s="22" t="str">
        <f aca="false">IF($D96="","",ROUND($E96*$F96,0))</f>
        <v/>
      </c>
      <c r="P96" s="22" t="str">
        <f aca="false">IF($D96="","",$O96)</f>
        <v/>
      </c>
      <c r="Q96" s="22" t="str">
        <f aca="false">IF($A96="","",IF($S96=1,$Q95+1,$Q95))</f>
        <v/>
      </c>
      <c r="R96" s="22" t="str">
        <f aca="false">IF($A96="","",IF($Q96=$Q95,$R95+1,1))</f>
        <v/>
      </c>
      <c r="S96" s="22" t="str">
        <f aca="false">IF($A96="","",IF(AND($A96=$A95,$B96=$B95),0,1))</f>
        <v/>
      </c>
      <c r="T96" s="22" t="str">
        <f aca="false">IF($A96="","",IF($S96=1,COUNTIF($S$5:$S96,1),""))</f>
        <v/>
      </c>
      <c r="U96" s="22" t="str">
        <f aca="false">IF($D96="","",IFERROR(VLOOKUP($D96,商品マスタ!$A$5:$G$1000,7,FALSE()),0))</f>
        <v/>
      </c>
    </row>
    <row r="97" customFormat="false" ht="15" hidden="false" customHeight="true" outlineLevel="0" collapsed="false">
      <c r="A97" s="23"/>
      <c r="B97" s="14"/>
      <c r="C97" s="14"/>
      <c r="D97" s="14"/>
      <c r="E97" s="24"/>
      <c r="F97" s="24"/>
      <c r="G97" s="14"/>
      <c r="H97" s="14"/>
      <c r="I97" s="14"/>
      <c r="J97" s="22" t="str">
        <f aca="false">IF($D97="","",IFERROR(VLOOKUP($D97,商品マスタ!$A$5:$G$1000,2,FALSE()),"※商品マスタ未登録"))</f>
        <v/>
      </c>
      <c r="K97" s="22" t="str">
        <f aca="false">IF($D97="","",IFERROR(VLOOKUP($D97,商品マスタ!$A$5:$G$1000,3,FALSE()),""))</f>
        <v/>
      </c>
      <c r="L97" s="22" t="str">
        <f aca="false">IF($D97="","",IF($H97&lt;&gt;"",$H97,IFERROR(VLOOKUP($D97,商品マスタ!$A$5:$G$1000,4,FALSE()),"")))</f>
        <v/>
      </c>
      <c r="M97" s="22" t="str">
        <f aca="false">IF($D97="","",IFERROR(VLOOKUP($D97,商品マスタ!$A$5:$G$1000,5,FALSE()),0))</f>
        <v/>
      </c>
      <c r="N97" s="22" t="str">
        <f aca="false">IF($D97="","",IFERROR(VLOOKUP($D97,商品マスタ!$A$5:$G$1000,6,FALSE()),0))</f>
        <v/>
      </c>
      <c r="O97" s="22" t="str">
        <f aca="false">IF($D97="","",ROUND($E97*$F97,0))</f>
        <v/>
      </c>
      <c r="P97" s="22" t="str">
        <f aca="false">IF($D97="","",$O97)</f>
        <v/>
      </c>
      <c r="Q97" s="22" t="str">
        <f aca="false">IF($A97="","",IF($S97=1,$Q96+1,$Q96))</f>
        <v/>
      </c>
      <c r="R97" s="22" t="str">
        <f aca="false">IF($A97="","",IF($Q97=$Q96,$R96+1,1))</f>
        <v/>
      </c>
      <c r="S97" s="22" t="str">
        <f aca="false">IF($A97="","",IF(AND($A97=$A96,$B97=$B96),0,1))</f>
        <v/>
      </c>
      <c r="T97" s="22" t="str">
        <f aca="false">IF($A97="","",IF($S97=1,COUNTIF($S$5:$S97,1),""))</f>
        <v/>
      </c>
      <c r="U97" s="22" t="str">
        <f aca="false">IF($D97="","",IFERROR(VLOOKUP($D97,商品マスタ!$A$5:$G$1000,7,FALSE()),0))</f>
        <v/>
      </c>
    </row>
    <row r="98" customFormat="false" ht="15" hidden="false" customHeight="true" outlineLevel="0" collapsed="false">
      <c r="A98" s="23"/>
      <c r="B98" s="14"/>
      <c r="C98" s="14"/>
      <c r="D98" s="14"/>
      <c r="E98" s="24"/>
      <c r="F98" s="24"/>
      <c r="G98" s="14"/>
      <c r="H98" s="14"/>
      <c r="I98" s="14"/>
      <c r="J98" s="22" t="str">
        <f aca="false">IF($D98="","",IFERROR(VLOOKUP($D98,商品マスタ!$A$5:$G$1000,2,FALSE()),"※商品マスタ未登録"))</f>
        <v/>
      </c>
      <c r="K98" s="22" t="str">
        <f aca="false">IF($D98="","",IFERROR(VLOOKUP($D98,商品マスタ!$A$5:$G$1000,3,FALSE()),""))</f>
        <v/>
      </c>
      <c r="L98" s="22" t="str">
        <f aca="false">IF($D98="","",IF($H98&lt;&gt;"",$H98,IFERROR(VLOOKUP($D98,商品マスタ!$A$5:$G$1000,4,FALSE()),"")))</f>
        <v/>
      </c>
      <c r="M98" s="22" t="str">
        <f aca="false">IF($D98="","",IFERROR(VLOOKUP($D98,商品マスタ!$A$5:$G$1000,5,FALSE()),0))</f>
        <v/>
      </c>
      <c r="N98" s="22" t="str">
        <f aca="false">IF($D98="","",IFERROR(VLOOKUP($D98,商品マスタ!$A$5:$G$1000,6,FALSE()),0))</f>
        <v/>
      </c>
      <c r="O98" s="22" t="str">
        <f aca="false">IF($D98="","",ROUND($E98*$F98,0))</f>
        <v/>
      </c>
      <c r="P98" s="22" t="str">
        <f aca="false">IF($D98="","",$O98)</f>
        <v/>
      </c>
      <c r="Q98" s="22" t="str">
        <f aca="false">IF($A98="","",IF($S98=1,$Q97+1,$Q97))</f>
        <v/>
      </c>
      <c r="R98" s="22" t="str">
        <f aca="false">IF($A98="","",IF($Q98=$Q97,$R97+1,1))</f>
        <v/>
      </c>
      <c r="S98" s="22" t="str">
        <f aca="false">IF($A98="","",IF(AND($A98=$A97,$B98=$B97),0,1))</f>
        <v/>
      </c>
      <c r="T98" s="22" t="str">
        <f aca="false">IF($A98="","",IF($S98=1,COUNTIF($S$5:$S98,1),""))</f>
        <v/>
      </c>
      <c r="U98" s="22" t="str">
        <f aca="false">IF($D98="","",IFERROR(VLOOKUP($D98,商品マスタ!$A$5:$G$1000,7,FALSE()),0))</f>
        <v/>
      </c>
    </row>
    <row r="99" customFormat="false" ht="15" hidden="false" customHeight="true" outlineLevel="0" collapsed="false">
      <c r="A99" s="23"/>
      <c r="B99" s="14"/>
      <c r="C99" s="14"/>
      <c r="D99" s="14"/>
      <c r="E99" s="24"/>
      <c r="F99" s="24"/>
      <c r="G99" s="14"/>
      <c r="H99" s="14"/>
      <c r="I99" s="14"/>
      <c r="J99" s="22" t="str">
        <f aca="false">IF($D99="","",IFERROR(VLOOKUP($D99,商品マスタ!$A$5:$G$1000,2,FALSE()),"※商品マスタ未登録"))</f>
        <v/>
      </c>
      <c r="K99" s="22" t="str">
        <f aca="false">IF($D99="","",IFERROR(VLOOKUP($D99,商品マスタ!$A$5:$G$1000,3,FALSE()),""))</f>
        <v/>
      </c>
      <c r="L99" s="22" t="str">
        <f aca="false">IF($D99="","",IF($H99&lt;&gt;"",$H99,IFERROR(VLOOKUP($D99,商品マスタ!$A$5:$G$1000,4,FALSE()),"")))</f>
        <v/>
      </c>
      <c r="M99" s="22" t="str">
        <f aca="false">IF($D99="","",IFERROR(VLOOKUP($D99,商品マスタ!$A$5:$G$1000,5,FALSE()),0))</f>
        <v/>
      </c>
      <c r="N99" s="22" t="str">
        <f aca="false">IF($D99="","",IFERROR(VLOOKUP($D99,商品マスタ!$A$5:$G$1000,6,FALSE()),0))</f>
        <v/>
      </c>
      <c r="O99" s="22" t="str">
        <f aca="false">IF($D99="","",ROUND($E99*$F99,0))</f>
        <v/>
      </c>
      <c r="P99" s="22" t="str">
        <f aca="false">IF($D99="","",$O99)</f>
        <v/>
      </c>
      <c r="Q99" s="22" t="str">
        <f aca="false">IF($A99="","",IF($S99=1,$Q98+1,$Q98))</f>
        <v/>
      </c>
      <c r="R99" s="22" t="str">
        <f aca="false">IF($A99="","",IF($Q99=$Q98,$R98+1,1))</f>
        <v/>
      </c>
      <c r="S99" s="22" t="str">
        <f aca="false">IF($A99="","",IF(AND($A99=$A98,$B99=$B98),0,1))</f>
        <v/>
      </c>
      <c r="T99" s="22" t="str">
        <f aca="false">IF($A99="","",IF($S99=1,COUNTIF($S$5:$S99,1),""))</f>
        <v/>
      </c>
      <c r="U99" s="22" t="str">
        <f aca="false">IF($D99="","",IFERROR(VLOOKUP($D99,商品マスタ!$A$5:$G$1000,7,FALSE()),0))</f>
        <v/>
      </c>
    </row>
    <row r="100" customFormat="false" ht="15" hidden="false" customHeight="true" outlineLevel="0" collapsed="false">
      <c r="A100" s="23"/>
      <c r="B100" s="14"/>
      <c r="C100" s="14"/>
      <c r="D100" s="14"/>
      <c r="E100" s="24"/>
      <c r="F100" s="24"/>
      <c r="G100" s="14"/>
      <c r="H100" s="14"/>
      <c r="I100" s="14"/>
      <c r="J100" s="22" t="str">
        <f aca="false">IF($D100="","",IFERROR(VLOOKUP($D100,商品マスタ!$A$5:$G$1000,2,FALSE()),"※商品マスタ未登録"))</f>
        <v/>
      </c>
      <c r="K100" s="22" t="str">
        <f aca="false">IF($D100="","",IFERROR(VLOOKUP($D100,商品マスタ!$A$5:$G$1000,3,FALSE()),""))</f>
        <v/>
      </c>
      <c r="L100" s="22" t="str">
        <f aca="false">IF($D100="","",IF($H100&lt;&gt;"",$H100,IFERROR(VLOOKUP($D100,商品マスタ!$A$5:$G$1000,4,FALSE()),"")))</f>
        <v/>
      </c>
      <c r="M100" s="22" t="str">
        <f aca="false">IF($D100="","",IFERROR(VLOOKUP($D100,商品マスタ!$A$5:$G$1000,5,FALSE()),0))</f>
        <v/>
      </c>
      <c r="N100" s="22" t="str">
        <f aca="false">IF($D100="","",IFERROR(VLOOKUP($D100,商品マスタ!$A$5:$G$1000,6,FALSE()),0))</f>
        <v/>
      </c>
      <c r="O100" s="22" t="str">
        <f aca="false">IF($D100="","",ROUND($E100*$F100,0))</f>
        <v/>
      </c>
      <c r="P100" s="22" t="str">
        <f aca="false">IF($D100="","",$O100)</f>
        <v/>
      </c>
      <c r="Q100" s="22" t="str">
        <f aca="false">IF($A100="","",IF($S100=1,$Q99+1,$Q99))</f>
        <v/>
      </c>
      <c r="R100" s="22" t="str">
        <f aca="false">IF($A100="","",IF($Q100=$Q99,$R99+1,1))</f>
        <v/>
      </c>
      <c r="S100" s="22" t="str">
        <f aca="false">IF($A100="","",IF(AND($A100=$A99,$B100=$B99),0,1))</f>
        <v/>
      </c>
      <c r="T100" s="22" t="str">
        <f aca="false">IF($A100="","",IF($S100=1,COUNTIF($S$5:$S100,1),""))</f>
        <v/>
      </c>
      <c r="U100" s="22" t="str">
        <f aca="false">IF($D100="","",IFERROR(VLOOKUP($D100,商品マスタ!$A$5:$G$1000,7,FALSE()),0))</f>
        <v/>
      </c>
    </row>
    <row r="101" customFormat="false" ht="15" hidden="false" customHeight="true" outlineLevel="0" collapsed="false">
      <c r="A101" s="23"/>
      <c r="B101" s="14"/>
      <c r="C101" s="14"/>
      <c r="D101" s="14"/>
      <c r="E101" s="24"/>
      <c r="F101" s="24"/>
      <c r="G101" s="14"/>
      <c r="H101" s="14"/>
      <c r="I101" s="14"/>
      <c r="J101" s="22" t="str">
        <f aca="false">IF($D101="","",IFERROR(VLOOKUP($D101,商品マスタ!$A$5:$G$1000,2,FALSE()),"※商品マスタ未登録"))</f>
        <v/>
      </c>
      <c r="K101" s="22" t="str">
        <f aca="false">IF($D101="","",IFERROR(VLOOKUP($D101,商品マスタ!$A$5:$G$1000,3,FALSE()),""))</f>
        <v/>
      </c>
      <c r="L101" s="22" t="str">
        <f aca="false">IF($D101="","",IF($H101&lt;&gt;"",$H101,IFERROR(VLOOKUP($D101,商品マスタ!$A$5:$G$1000,4,FALSE()),"")))</f>
        <v/>
      </c>
      <c r="M101" s="22" t="str">
        <f aca="false">IF($D101="","",IFERROR(VLOOKUP($D101,商品マスタ!$A$5:$G$1000,5,FALSE()),0))</f>
        <v/>
      </c>
      <c r="N101" s="22" t="str">
        <f aca="false">IF($D101="","",IFERROR(VLOOKUP($D101,商品マスタ!$A$5:$G$1000,6,FALSE()),0))</f>
        <v/>
      </c>
      <c r="O101" s="22" t="str">
        <f aca="false">IF($D101="","",ROUND($E101*$F101,0))</f>
        <v/>
      </c>
      <c r="P101" s="22" t="str">
        <f aca="false">IF($D101="","",$O101)</f>
        <v/>
      </c>
      <c r="Q101" s="22" t="str">
        <f aca="false">IF($A101="","",IF($S101=1,$Q100+1,$Q100))</f>
        <v/>
      </c>
      <c r="R101" s="22" t="str">
        <f aca="false">IF($A101="","",IF($Q101=$Q100,$R100+1,1))</f>
        <v/>
      </c>
      <c r="S101" s="22" t="str">
        <f aca="false">IF($A101="","",IF(AND($A101=$A100,$B101=$B100),0,1))</f>
        <v/>
      </c>
      <c r="T101" s="22" t="str">
        <f aca="false">IF($A101="","",IF($S101=1,COUNTIF($S$5:$S101,1),""))</f>
        <v/>
      </c>
      <c r="U101" s="22" t="str">
        <f aca="false">IF($D101="","",IFERROR(VLOOKUP($D101,商品マスタ!$A$5:$G$1000,7,FALSE()),0))</f>
        <v/>
      </c>
    </row>
    <row r="102" customFormat="false" ht="15" hidden="false" customHeight="true" outlineLevel="0" collapsed="false">
      <c r="A102" s="23"/>
      <c r="B102" s="14"/>
      <c r="C102" s="14"/>
      <c r="D102" s="14"/>
      <c r="E102" s="24"/>
      <c r="F102" s="24"/>
      <c r="G102" s="14"/>
      <c r="H102" s="14"/>
      <c r="I102" s="14"/>
      <c r="J102" s="22" t="str">
        <f aca="false">IF($D102="","",IFERROR(VLOOKUP($D102,商品マスタ!$A$5:$G$1000,2,FALSE()),"※商品マスタ未登録"))</f>
        <v/>
      </c>
      <c r="K102" s="22" t="str">
        <f aca="false">IF($D102="","",IFERROR(VLOOKUP($D102,商品マスタ!$A$5:$G$1000,3,FALSE()),""))</f>
        <v/>
      </c>
      <c r="L102" s="22" t="str">
        <f aca="false">IF($D102="","",IF($H102&lt;&gt;"",$H102,IFERROR(VLOOKUP($D102,商品マスタ!$A$5:$G$1000,4,FALSE()),"")))</f>
        <v/>
      </c>
      <c r="M102" s="22" t="str">
        <f aca="false">IF($D102="","",IFERROR(VLOOKUP($D102,商品マスタ!$A$5:$G$1000,5,FALSE()),0))</f>
        <v/>
      </c>
      <c r="N102" s="22" t="str">
        <f aca="false">IF($D102="","",IFERROR(VLOOKUP($D102,商品マスタ!$A$5:$G$1000,6,FALSE()),0))</f>
        <v/>
      </c>
      <c r="O102" s="22" t="str">
        <f aca="false">IF($D102="","",ROUND($E102*$F102,0))</f>
        <v/>
      </c>
      <c r="P102" s="22" t="str">
        <f aca="false">IF($D102="","",$O102)</f>
        <v/>
      </c>
      <c r="Q102" s="22" t="str">
        <f aca="false">IF($A102="","",IF($S102=1,$Q101+1,$Q101))</f>
        <v/>
      </c>
      <c r="R102" s="22" t="str">
        <f aca="false">IF($A102="","",IF($Q102=$Q101,$R101+1,1))</f>
        <v/>
      </c>
      <c r="S102" s="22" t="str">
        <f aca="false">IF($A102="","",IF(AND($A102=$A101,$B102=$B101),0,1))</f>
        <v/>
      </c>
      <c r="T102" s="22" t="str">
        <f aca="false">IF($A102="","",IF($S102=1,COUNTIF($S$5:$S102,1),""))</f>
        <v/>
      </c>
      <c r="U102" s="22" t="str">
        <f aca="false">IF($D102="","",IFERROR(VLOOKUP($D102,商品マスタ!$A$5:$G$1000,7,FALSE()),0))</f>
        <v/>
      </c>
    </row>
    <row r="103" customFormat="false" ht="15" hidden="false" customHeight="true" outlineLevel="0" collapsed="false">
      <c r="A103" s="23"/>
      <c r="B103" s="14"/>
      <c r="C103" s="14"/>
      <c r="D103" s="14"/>
      <c r="E103" s="24"/>
      <c r="F103" s="24"/>
      <c r="G103" s="14"/>
      <c r="H103" s="14"/>
      <c r="I103" s="14"/>
      <c r="J103" s="22" t="str">
        <f aca="false">IF($D103="","",IFERROR(VLOOKUP($D103,商品マスタ!$A$5:$G$1000,2,FALSE()),"※商品マスタ未登録"))</f>
        <v/>
      </c>
      <c r="K103" s="22" t="str">
        <f aca="false">IF($D103="","",IFERROR(VLOOKUP($D103,商品マスタ!$A$5:$G$1000,3,FALSE()),""))</f>
        <v/>
      </c>
      <c r="L103" s="22" t="str">
        <f aca="false">IF($D103="","",IF($H103&lt;&gt;"",$H103,IFERROR(VLOOKUP($D103,商品マスタ!$A$5:$G$1000,4,FALSE()),"")))</f>
        <v/>
      </c>
      <c r="M103" s="22" t="str">
        <f aca="false">IF($D103="","",IFERROR(VLOOKUP($D103,商品マスタ!$A$5:$G$1000,5,FALSE()),0))</f>
        <v/>
      </c>
      <c r="N103" s="22" t="str">
        <f aca="false">IF($D103="","",IFERROR(VLOOKUP($D103,商品マスタ!$A$5:$G$1000,6,FALSE()),0))</f>
        <v/>
      </c>
      <c r="O103" s="22" t="str">
        <f aca="false">IF($D103="","",ROUND($E103*$F103,0))</f>
        <v/>
      </c>
      <c r="P103" s="22" t="str">
        <f aca="false">IF($D103="","",$O103)</f>
        <v/>
      </c>
      <c r="Q103" s="22" t="str">
        <f aca="false">IF($A103="","",IF($S103=1,$Q102+1,$Q102))</f>
        <v/>
      </c>
      <c r="R103" s="22" t="str">
        <f aca="false">IF($A103="","",IF($Q103=$Q102,$R102+1,1))</f>
        <v/>
      </c>
      <c r="S103" s="22" t="str">
        <f aca="false">IF($A103="","",IF(AND($A103=$A102,$B103=$B102),0,1))</f>
        <v/>
      </c>
      <c r="T103" s="22" t="str">
        <f aca="false">IF($A103="","",IF($S103=1,COUNTIF($S$5:$S103,1),""))</f>
        <v/>
      </c>
      <c r="U103" s="22" t="str">
        <f aca="false">IF($D103="","",IFERROR(VLOOKUP($D103,商品マスタ!$A$5:$G$1000,7,FALSE()),0))</f>
        <v/>
      </c>
    </row>
    <row r="104" customFormat="false" ht="15" hidden="false" customHeight="true" outlineLevel="0" collapsed="false">
      <c r="A104" s="23"/>
      <c r="B104" s="14"/>
      <c r="C104" s="14"/>
      <c r="D104" s="14"/>
      <c r="E104" s="24"/>
      <c r="F104" s="24"/>
      <c r="G104" s="14"/>
      <c r="H104" s="14"/>
      <c r="I104" s="14"/>
      <c r="J104" s="22" t="str">
        <f aca="false">IF($D104="","",IFERROR(VLOOKUP($D104,商品マスタ!$A$5:$G$1000,2,FALSE()),"※商品マスタ未登録"))</f>
        <v/>
      </c>
      <c r="K104" s="22" t="str">
        <f aca="false">IF($D104="","",IFERROR(VLOOKUP($D104,商品マスタ!$A$5:$G$1000,3,FALSE()),""))</f>
        <v/>
      </c>
      <c r="L104" s="22" t="str">
        <f aca="false">IF($D104="","",IF($H104&lt;&gt;"",$H104,IFERROR(VLOOKUP($D104,商品マスタ!$A$5:$G$1000,4,FALSE()),"")))</f>
        <v/>
      </c>
      <c r="M104" s="22" t="str">
        <f aca="false">IF($D104="","",IFERROR(VLOOKUP($D104,商品マスタ!$A$5:$G$1000,5,FALSE()),0))</f>
        <v/>
      </c>
      <c r="N104" s="22" t="str">
        <f aca="false">IF($D104="","",IFERROR(VLOOKUP($D104,商品マスタ!$A$5:$G$1000,6,FALSE()),0))</f>
        <v/>
      </c>
      <c r="O104" s="22" t="str">
        <f aca="false">IF($D104="","",ROUND($E104*$F104,0))</f>
        <v/>
      </c>
      <c r="P104" s="22" t="str">
        <f aca="false">IF($D104="","",$O104)</f>
        <v/>
      </c>
      <c r="Q104" s="22" t="str">
        <f aca="false">IF($A104="","",IF($S104=1,$Q103+1,$Q103))</f>
        <v/>
      </c>
      <c r="R104" s="22" t="str">
        <f aca="false">IF($A104="","",IF($Q104=$Q103,$R103+1,1))</f>
        <v/>
      </c>
      <c r="S104" s="22" t="str">
        <f aca="false">IF($A104="","",IF(AND($A104=$A103,$B104=$B103),0,1))</f>
        <v/>
      </c>
      <c r="T104" s="22" t="str">
        <f aca="false">IF($A104="","",IF($S104=1,COUNTIF($S$5:$S104,1),""))</f>
        <v/>
      </c>
      <c r="U104" s="22" t="str">
        <f aca="false">IF($D104="","",IFERROR(VLOOKUP($D104,商品マスタ!$A$5:$G$1000,7,FALSE()),0))</f>
        <v/>
      </c>
    </row>
    <row r="105" customFormat="false" ht="15" hidden="false" customHeight="true" outlineLevel="0" collapsed="false">
      <c r="A105" s="23"/>
      <c r="B105" s="14"/>
      <c r="C105" s="14"/>
      <c r="D105" s="14"/>
      <c r="E105" s="24"/>
      <c r="F105" s="24"/>
      <c r="G105" s="14"/>
      <c r="H105" s="14"/>
      <c r="I105" s="14"/>
      <c r="J105" s="22" t="str">
        <f aca="false">IF($D105="","",IFERROR(VLOOKUP($D105,商品マスタ!$A$5:$G$1000,2,FALSE()),"※商品マスタ未登録"))</f>
        <v/>
      </c>
      <c r="K105" s="22" t="str">
        <f aca="false">IF($D105="","",IFERROR(VLOOKUP($D105,商品マスタ!$A$5:$G$1000,3,FALSE()),""))</f>
        <v/>
      </c>
      <c r="L105" s="22" t="str">
        <f aca="false">IF($D105="","",IF($H105&lt;&gt;"",$H105,IFERROR(VLOOKUP($D105,商品マスタ!$A$5:$G$1000,4,FALSE()),"")))</f>
        <v/>
      </c>
      <c r="M105" s="22" t="str">
        <f aca="false">IF($D105="","",IFERROR(VLOOKUP($D105,商品マスタ!$A$5:$G$1000,5,FALSE()),0))</f>
        <v/>
      </c>
      <c r="N105" s="22" t="str">
        <f aca="false">IF($D105="","",IFERROR(VLOOKUP($D105,商品マスタ!$A$5:$G$1000,6,FALSE()),0))</f>
        <v/>
      </c>
      <c r="O105" s="22" t="str">
        <f aca="false">IF($D105="","",ROUND($E105*$F105,0))</f>
        <v/>
      </c>
      <c r="P105" s="22" t="str">
        <f aca="false">IF($D105="","",$O105)</f>
        <v/>
      </c>
      <c r="Q105" s="22" t="str">
        <f aca="false">IF($A105="","",IF($S105=1,$Q104+1,$Q104))</f>
        <v/>
      </c>
      <c r="R105" s="22" t="str">
        <f aca="false">IF($A105="","",IF($Q105=$Q104,$R104+1,1))</f>
        <v/>
      </c>
      <c r="S105" s="22" t="str">
        <f aca="false">IF($A105="","",IF(AND($A105=$A104,$B105=$B104),0,1))</f>
        <v/>
      </c>
      <c r="T105" s="22" t="str">
        <f aca="false">IF($A105="","",IF($S105=1,COUNTIF($S$5:$S105,1),""))</f>
        <v/>
      </c>
      <c r="U105" s="22" t="str">
        <f aca="false">IF($D105="","",IFERROR(VLOOKUP($D105,商品マスタ!$A$5:$G$1000,7,FALSE()),0))</f>
        <v/>
      </c>
    </row>
    <row r="106" customFormat="false" ht="15" hidden="false" customHeight="true" outlineLevel="0" collapsed="false">
      <c r="A106" s="23"/>
      <c r="B106" s="14"/>
      <c r="C106" s="14"/>
      <c r="D106" s="14"/>
      <c r="E106" s="24"/>
      <c r="F106" s="24"/>
      <c r="G106" s="14"/>
      <c r="H106" s="14"/>
      <c r="I106" s="14"/>
      <c r="J106" s="22" t="str">
        <f aca="false">IF($D106="","",IFERROR(VLOOKUP($D106,商品マスタ!$A$5:$G$1000,2,FALSE()),"※商品マスタ未登録"))</f>
        <v/>
      </c>
      <c r="K106" s="22" t="str">
        <f aca="false">IF($D106="","",IFERROR(VLOOKUP($D106,商品マスタ!$A$5:$G$1000,3,FALSE()),""))</f>
        <v/>
      </c>
      <c r="L106" s="22" t="str">
        <f aca="false">IF($D106="","",IF($H106&lt;&gt;"",$H106,IFERROR(VLOOKUP($D106,商品マスタ!$A$5:$G$1000,4,FALSE()),"")))</f>
        <v/>
      </c>
      <c r="M106" s="22" t="str">
        <f aca="false">IF($D106="","",IFERROR(VLOOKUP($D106,商品マスタ!$A$5:$G$1000,5,FALSE()),0))</f>
        <v/>
      </c>
      <c r="N106" s="22" t="str">
        <f aca="false">IF($D106="","",IFERROR(VLOOKUP($D106,商品マスタ!$A$5:$G$1000,6,FALSE()),0))</f>
        <v/>
      </c>
      <c r="O106" s="22" t="str">
        <f aca="false">IF($D106="","",ROUND($E106*$F106,0))</f>
        <v/>
      </c>
      <c r="P106" s="22" t="str">
        <f aca="false">IF($D106="","",$O106)</f>
        <v/>
      </c>
      <c r="Q106" s="22" t="str">
        <f aca="false">IF($A106="","",IF($S106=1,$Q105+1,$Q105))</f>
        <v/>
      </c>
      <c r="R106" s="22" t="str">
        <f aca="false">IF($A106="","",IF($Q106=$Q105,$R105+1,1))</f>
        <v/>
      </c>
      <c r="S106" s="22" t="str">
        <f aca="false">IF($A106="","",IF(AND($A106=$A105,$B106=$B105),0,1))</f>
        <v/>
      </c>
      <c r="T106" s="22" t="str">
        <f aca="false">IF($A106="","",IF($S106=1,COUNTIF($S$5:$S106,1),""))</f>
        <v/>
      </c>
      <c r="U106" s="22" t="str">
        <f aca="false">IF($D106="","",IFERROR(VLOOKUP($D106,商品マスタ!$A$5:$G$1000,7,FALSE()),0))</f>
        <v/>
      </c>
    </row>
    <row r="107" customFormat="false" ht="15" hidden="false" customHeight="true" outlineLevel="0" collapsed="false">
      <c r="A107" s="23"/>
      <c r="B107" s="14"/>
      <c r="C107" s="14"/>
      <c r="D107" s="14"/>
      <c r="E107" s="24"/>
      <c r="F107" s="24"/>
      <c r="G107" s="14"/>
      <c r="H107" s="14"/>
      <c r="I107" s="14"/>
      <c r="J107" s="22" t="str">
        <f aca="false">IF($D107="","",IFERROR(VLOOKUP($D107,商品マスタ!$A$5:$G$1000,2,FALSE()),"※商品マスタ未登録"))</f>
        <v/>
      </c>
      <c r="K107" s="22" t="str">
        <f aca="false">IF($D107="","",IFERROR(VLOOKUP($D107,商品マスタ!$A$5:$G$1000,3,FALSE()),""))</f>
        <v/>
      </c>
      <c r="L107" s="22" t="str">
        <f aca="false">IF($D107="","",IF($H107&lt;&gt;"",$H107,IFERROR(VLOOKUP($D107,商品マスタ!$A$5:$G$1000,4,FALSE()),"")))</f>
        <v/>
      </c>
      <c r="M107" s="22" t="str">
        <f aca="false">IF($D107="","",IFERROR(VLOOKUP($D107,商品マスタ!$A$5:$G$1000,5,FALSE()),0))</f>
        <v/>
      </c>
      <c r="N107" s="22" t="str">
        <f aca="false">IF($D107="","",IFERROR(VLOOKUP($D107,商品マスタ!$A$5:$G$1000,6,FALSE()),0))</f>
        <v/>
      </c>
      <c r="O107" s="22" t="str">
        <f aca="false">IF($D107="","",ROUND($E107*$F107,0))</f>
        <v/>
      </c>
      <c r="P107" s="22" t="str">
        <f aca="false">IF($D107="","",$O107)</f>
        <v/>
      </c>
      <c r="Q107" s="22" t="str">
        <f aca="false">IF($A107="","",IF($S107=1,$Q106+1,$Q106))</f>
        <v/>
      </c>
      <c r="R107" s="22" t="str">
        <f aca="false">IF($A107="","",IF($Q107=$Q106,$R106+1,1))</f>
        <v/>
      </c>
      <c r="S107" s="22" t="str">
        <f aca="false">IF($A107="","",IF(AND($A107=$A106,$B107=$B106),0,1))</f>
        <v/>
      </c>
      <c r="T107" s="22" t="str">
        <f aca="false">IF($A107="","",IF($S107=1,COUNTIF($S$5:$S107,1),""))</f>
        <v/>
      </c>
      <c r="U107" s="22" t="str">
        <f aca="false">IF($D107="","",IFERROR(VLOOKUP($D107,商品マスタ!$A$5:$G$1000,7,FALSE()),0))</f>
        <v/>
      </c>
    </row>
    <row r="108" customFormat="false" ht="15" hidden="false" customHeight="true" outlineLevel="0" collapsed="false">
      <c r="A108" s="23"/>
      <c r="B108" s="14"/>
      <c r="C108" s="14"/>
      <c r="D108" s="14"/>
      <c r="E108" s="24"/>
      <c r="F108" s="24"/>
      <c r="G108" s="14"/>
      <c r="H108" s="14"/>
      <c r="I108" s="14"/>
      <c r="J108" s="22" t="str">
        <f aca="false">IF($D108="","",IFERROR(VLOOKUP($D108,商品マスタ!$A$5:$G$1000,2,FALSE()),"※商品マスタ未登録"))</f>
        <v/>
      </c>
      <c r="K108" s="22" t="str">
        <f aca="false">IF($D108="","",IFERROR(VLOOKUP($D108,商品マスタ!$A$5:$G$1000,3,FALSE()),""))</f>
        <v/>
      </c>
      <c r="L108" s="22" t="str">
        <f aca="false">IF($D108="","",IF($H108&lt;&gt;"",$H108,IFERROR(VLOOKUP($D108,商品マスタ!$A$5:$G$1000,4,FALSE()),"")))</f>
        <v/>
      </c>
      <c r="M108" s="22" t="str">
        <f aca="false">IF($D108="","",IFERROR(VLOOKUP($D108,商品マスタ!$A$5:$G$1000,5,FALSE()),0))</f>
        <v/>
      </c>
      <c r="N108" s="22" t="str">
        <f aca="false">IF($D108="","",IFERROR(VLOOKUP($D108,商品マスタ!$A$5:$G$1000,6,FALSE()),0))</f>
        <v/>
      </c>
      <c r="O108" s="22" t="str">
        <f aca="false">IF($D108="","",ROUND($E108*$F108,0))</f>
        <v/>
      </c>
      <c r="P108" s="22" t="str">
        <f aca="false">IF($D108="","",$O108)</f>
        <v/>
      </c>
      <c r="Q108" s="22" t="str">
        <f aca="false">IF($A108="","",IF($S108=1,$Q107+1,$Q107))</f>
        <v/>
      </c>
      <c r="R108" s="22" t="str">
        <f aca="false">IF($A108="","",IF($Q108=$Q107,$R107+1,1))</f>
        <v/>
      </c>
      <c r="S108" s="22" t="str">
        <f aca="false">IF($A108="","",IF(AND($A108=$A107,$B108=$B107),0,1))</f>
        <v/>
      </c>
      <c r="T108" s="22" t="str">
        <f aca="false">IF($A108="","",IF($S108=1,COUNTIF($S$5:$S108,1),""))</f>
        <v/>
      </c>
      <c r="U108" s="22" t="str">
        <f aca="false">IF($D108="","",IFERROR(VLOOKUP($D108,商品マスタ!$A$5:$G$1000,7,FALSE()),0))</f>
        <v/>
      </c>
    </row>
    <row r="109" customFormat="false" ht="15" hidden="false" customHeight="true" outlineLevel="0" collapsed="false">
      <c r="A109" s="23"/>
      <c r="B109" s="14"/>
      <c r="C109" s="14"/>
      <c r="D109" s="14"/>
      <c r="E109" s="24"/>
      <c r="F109" s="24"/>
      <c r="G109" s="14"/>
      <c r="H109" s="14"/>
      <c r="I109" s="14"/>
      <c r="J109" s="22" t="str">
        <f aca="false">IF($D109="","",IFERROR(VLOOKUP($D109,商品マスタ!$A$5:$G$1000,2,FALSE()),"※商品マスタ未登録"))</f>
        <v/>
      </c>
      <c r="K109" s="22" t="str">
        <f aca="false">IF($D109="","",IFERROR(VLOOKUP($D109,商品マスタ!$A$5:$G$1000,3,FALSE()),""))</f>
        <v/>
      </c>
      <c r="L109" s="22" t="str">
        <f aca="false">IF($D109="","",IF($H109&lt;&gt;"",$H109,IFERROR(VLOOKUP($D109,商品マスタ!$A$5:$G$1000,4,FALSE()),"")))</f>
        <v/>
      </c>
      <c r="M109" s="22" t="str">
        <f aca="false">IF($D109="","",IFERROR(VLOOKUP($D109,商品マスタ!$A$5:$G$1000,5,FALSE()),0))</f>
        <v/>
      </c>
      <c r="N109" s="22" t="str">
        <f aca="false">IF($D109="","",IFERROR(VLOOKUP($D109,商品マスタ!$A$5:$G$1000,6,FALSE()),0))</f>
        <v/>
      </c>
      <c r="O109" s="22" t="str">
        <f aca="false">IF($D109="","",ROUND($E109*$F109,0))</f>
        <v/>
      </c>
      <c r="P109" s="22" t="str">
        <f aca="false">IF($D109="","",$O109)</f>
        <v/>
      </c>
      <c r="Q109" s="22" t="str">
        <f aca="false">IF($A109="","",IF($S109=1,$Q108+1,$Q108))</f>
        <v/>
      </c>
      <c r="R109" s="22" t="str">
        <f aca="false">IF($A109="","",IF($Q109=$Q108,$R108+1,1))</f>
        <v/>
      </c>
      <c r="S109" s="22" t="str">
        <f aca="false">IF($A109="","",IF(AND($A109=$A108,$B109=$B108),0,1))</f>
        <v/>
      </c>
      <c r="T109" s="22" t="str">
        <f aca="false">IF($A109="","",IF($S109=1,COUNTIF($S$5:$S109,1),""))</f>
        <v/>
      </c>
      <c r="U109" s="22" t="str">
        <f aca="false">IF($D109="","",IFERROR(VLOOKUP($D109,商品マスタ!$A$5:$G$1000,7,FALSE()),0))</f>
        <v/>
      </c>
    </row>
    <row r="110" customFormat="false" ht="15" hidden="false" customHeight="true" outlineLevel="0" collapsed="false">
      <c r="A110" s="23"/>
      <c r="B110" s="14"/>
      <c r="C110" s="14"/>
      <c r="D110" s="14"/>
      <c r="E110" s="24"/>
      <c r="F110" s="24"/>
      <c r="G110" s="14"/>
      <c r="H110" s="14"/>
      <c r="I110" s="14"/>
      <c r="J110" s="22" t="str">
        <f aca="false">IF($D110="","",IFERROR(VLOOKUP($D110,商品マスタ!$A$5:$G$1000,2,FALSE()),"※商品マスタ未登録"))</f>
        <v/>
      </c>
      <c r="K110" s="22" t="str">
        <f aca="false">IF($D110="","",IFERROR(VLOOKUP($D110,商品マスタ!$A$5:$G$1000,3,FALSE()),""))</f>
        <v/>
      </c>
      <c r="L110" s="22" t="str">
        <f aca="false">IF($D110="","",IF($H110&lt;&gt;"",$H110,IFERROR(VLOOKUP($D110,商品マスタ!$A$5:$G$1000,4,FALSE()),"")))</f>
        <v/>
      </c>
      <c r="M110" s="22" t="str">
        <f aca="false">IF($D110="","",IFERROR(VLOOKUP($D110,商品マスタ!$A$5:$G$1000,5,FALSE()),0))</f>
        <v/>
      </c>
      <c r="N110" s="22" t="str">
        <f aca="false">IF($D110="","",IFERROR(VLOOKUP($D110,商品マスタ!$A$5:$G$1000,6,FALSE()),0))</f>
        <v/>
      </c>
      <c r="O110" s="22" t="str">
        <f aca="false">IF($D110="","",ROUND($E110*$F110,0))</f>
        <v/>
      </c>
      <c r="P110" s="22" t="str">
        <f aca="false">IF($D110="","",$O110)</f>
        <v/>
      </c>
      <c r="Q110" s="22" t="str">
        <f aca="false">IF($A110="","",IF($S110=1,$Q109+1,$Q109))</f>
        <v/>
      </c>
      <c r="R110" s="22" t="str">
        <f aca="false">IF($A110="","",IF($Q110=$Q109,$R109+1,1))</f>
        <v/>
      </c>
      <c r="S110" s="22" t="str">
        <f aca="false">IF($A110="","",IF(AND($A110=$A109,$B110=$B109),0,1))</f>
        <v/>
      </c>
      <c r="T110" s="22" t="str">
        <f aca="false">IF($A110="","",IF($S110=1,COUNTIF($S$5:$S110,1),""))</f>
        <v/>
      </c>
      <c r="U110" s="22" t="str">
        <f aca="false">IF($D110="","",IFERROR(VLOOKUP($D110,商品マスタ!$A$5:$G$1000,7,FALSE()),0))</f>
        <v/>
      </c>
    </row>
    <row r="111" customFormat="false" ht="15" hidden="false" customHeight="true" outlineLevel="0" collapsed="false">
      <c r="A111" s="23"/>
      <c r="B111" s="14"/>
      <c r="C111" s="14"/>
      <c r="D111" s="14"/>
      <c r="E111" s="24"/>
      <c r="F111" s="24"/>
      <c r="G111" s="14"/>
      <c r="H111" s="14"/>
      <c r="I111" s="14"/>
      <c r="J111" s="22" t="str">
        <f aca="false">IF($D111="","",IFERROR(VLOOKUP($D111,商品マスタ!$A$5:$G$1000,2,FALSE()),"※商品マスタ未登録"))</f>
        <v/>
      </c>
      <c r="K111" s="22" t="str">
        <f aca="false">IF($D111="","",IFERROR(VLOOKUP($D111,商品マスタ!$A$5:$G$1000,3,FALSE()),""))</f>
        <v/>
      </c>
      <c r="L111" s="22" t="str">
        <f aca="false">IF($D111="","",IF($H111&lt;&gt;"",$H111,IFERROR(VLOOKUP($D111,商品マスタ!$A$5:$G$1000,4,FALSE()),"")))</f>
        <v/>
      </c>
      <c r="M111" s="22" t="str">
        <f aca="false">IF($D111="","",IFERROR(VLOOKUP($D111,商品マスタ!$A$5:$G$1000,5,FALSE()),0))</f>
        <v/>
      </c>
      <c r="N111" s="22" t="str">
        <f aca="false">IF($D111="","",IFERROR(VLOOKUP($D111,商品マスタ!$A$5:$G$1000,6,FALSE()),0))</f>
        <v/>
      </c>
      <c r="O111" s="22" t="str">
        <f aca="false">IF($D111="","",ROUND($E111*$F111,0))</f>
        <v/>
      </c>
      <c r="P111" s="22" t="str">
        <f aca="false">IF($D111="","",$O111)</f>
        <v/>
      </c>
      <c r="Q111" s="22" t="str">
        <f aca="false">IF($A111="","",IF($S111=1,$Q110+1,$Q110))</f>
        <v/>
      </c>
      <c r="R111" s="22" t="str">
        <f aca="false">IF($A111="","",IF($Q111=$Q110,$R110+1,1))</f>
        <v/>
      </c>
      <c r="S111" s="22" t="str">
        <f aca="false">IF($A111="","",IF(AND($A111=$A110,$B111=$B110),0,1))</f>
        <v/>
      </c>
      <c r="T111" s="22" t="str">
        <f aca="false">IF($A111="","",IF($S111=1,COUNTIF($S$5:$S111,1),""))</f>
        <v/>
      </c>
      <c r="U111" s="22" t="str">
        <f aca="false">IF($D111="","",IFERROR(VLOOKUP($D111,商品マスタ!$A$5:$G$1000,7,FALSE()),0))</f>
        <v/>
      </c>
    </row>
    <row r="112" customFormat="false" ht="15" hidden="false" customHeight="true" outlineLevel="0" collapsed="false">
      <c r="A112" s="23"/>
      <c r="B112" s="14"/>
      <c r="C112" s="14"/>
      <c r="D112" s="14"/>
      <c r="E112" s="24"/>
      <c r="F112" s="24"/>
      <c r="G112" s="14"/>
      <c r="H112" s="14"/>
      <c r="I112" s="14"/>
      <c r="J112" s="22" t="str">
        <f aca="false">IF($D112="","",IFERROR(VLOOKUP($D112,商品マスタ!$A$5:$G$1000,2,FALSE()),"※商品マスタ未登録"))</f>
        <v/>
      </c>
      <c r="K112" s="22" t="str">
        <f aca="false">IF($D112="","",IFERROR(VLOOKUP($D112,商品マスタ!$A$5:$G$1000,3,FALSE()),""))</f>
        <v/>
      </c>
      <c r="L112" s="22" t="str">
        <f aca="false">IF($D112="","",IF($H112&lt;&gt;"",$H112,IFERROR(VLOOKUP($D112,商品マスタ!$A$5:$G$1000,4,FALSE()),"")))</f>
        <v/>
      </c>
      <c r="M112" s="22" t="str">
        <f aca="false">IF($D112="","",IFERROR(VLOOKUP($D112,商品マスタ!$A$5:$G$1000,5,FALSE()),0))</f>
        <v/>
      </c>
      <c r="N112" s="22" t="str">
        <f aca="false">IF($D112="","",IFERROR(VLOOKUP($D112,商品マスタ!$A$5:$G$1000,6,FALSE()),0))</f>
        <v/>
      </c>
      <c r="O112" s="22" t="str">
        <f aca="false">IF($D112="","",ROUND($E112*$F112,0))</f>
        <v/>
      </c>
      <c r="P112" s="22" t="str">
        <f aca="false">IF($D112="","",$O112)</f>
        <v/>
      </c>
      <c r="Q112" s="22" t="str">
        <f aca="false">IF($A112="","",IF($S112=1,$Q111+1,$Q111))</f>
        <v/>
      </c>
      <c r="R112" s="22" t="str">
        <f aca="false">IF($A112="","",IF($Q112=$Q111,$R111+1,1))</f>
        <v/>
      </c>
      <c r="S112" s="22" t="str">
        <f aca="false">IF($A112="","",IF(AND($A112=$A111,$B112=$B111),0,1))</f>
        <v/>
      </c>
      <c r="T112" s="22" t="str">
        <f aca="false">IF($A112="","",IF($S112=1,COUNTIF($S$5:$S112,1),""))</f>
        <v/>
      </c>
      <c r="U112" s="22" t="str">
        <f aca="false">IF($D112="","",IFERROR(VLOOKUP($D112,商品マスタ!$A$5:$G$1000,7,FALSE()),0))</f>
        <v/>
      </c>
    </row>
    <row r="113" customFormat="false" ht="15" hidden="false" customHeight="true" outlineLevel="0" collapsed="false">
      <c r="A113" s="23"/>
      <c r="B113" s="14"/>
      <c r="C113" s="14"/>
      <c r="D113" s="14"/>
      <c r="E113" s="24"/>
      <c r="F113" s="24"/>
      <c r="G113" s="14"/>
      <c r="H113" s="14"/>
      <c r="I113" s="14"/>
      <c r="J113" s="22" t="str">
        <f aca="false">IF($D113="","",IFERROR(VLOOKUP($D113,商品マスタ!$A$5:$G$1000,2,FALSE()),"※商品マスタ未登録"))</f>
        <v/>
      </c>
      <c r="K113" s="22" t="str">
        <f aca="false">IF($D113="","",IFERROR(VLOOKUP($D113,商品マスタ!$A$5:$G$1000,3,FALSE()),""))</f>
        <v/>
      </c>
      <c r="L113" s="22" t="str">
        <f aca="false">IF($D113="","",IF($H113&lt;&gt;"",$H113,IFERROR(VLOOKUP($D113,商品マスタ!$A$5:$G$1000,4,FALSE()),"")))</f>
        <v/>
      </c>
      <c r="M113" s="22" t="str">
        <f aca="false">IF($D113="","",IFERROR(VLOOKUP($D113,商品マスタ!$A$5:$G$1000,5,FALSE()),0))</f>
        <v/>
      </c>
      <c r="N113" s="22" t="str">
        <f aca="false">IF($D113="","",IFERROR(VLOOKUP($D113,商品マスタ!$A$5:$G$1000,6,FALSE()),0))</f>
        <v/>
      </c>
      <c r="O113" s="22" t="str">
        <f aca="false">IF($D113="","",ROUND($E113*$F113,0))</f>
        <v/>
      </c>
      <c r="P113" s="22" t="str">
        <f aca="false">IF($D113="","",$O113)</f>
        <v/>
      </c>
      <c r="Q113" s="22" t="str">
        <f aca="false">IF($A113="","",IF($S113=1,$Q112+1,$Q112))</f>
        <v/>
      </c>
      <c r="R113" s="22" t="str">
        <f aca="false">IF($A113="","",IF($Q113=$Q112,$R112+1,1))</f>
        <v/>
      </c>
      <c r="S113" s="22" t="str">
        <f aca="false">IF($A113="","",IF(AND($A113=$A112,$B113=$B112),0,1))</f>
        <v/>
      </c>
      <c r="T113" s="22" t="str">
        <f aca="false">IF($A113="","",IF($S113=1,COUNTIF($S$5:$S113,1),""))</f>
        <v/>
      </c>
      <c r="U113" s="22" t="str">
        <f aca="false">IF($D113="","",IFERROR(VLOOKUP($D113,商品マスタ!$A$5:$G$1000,7,FALSE()),0))</f>
        <v/>
      </c>
    </row>
    <row r="114" customFormat="false" ht="15" hidden="false" customHeight="true" outlineLevel="0" collapsed="false">
      <c r="A114" s="23"/>
      <c r="B114" s="14"/>
      <c r="C114" s="14"/>
      <c r="D114" s="14"/>
      <c r="E114" s="24"/>
      <c r="F114" s="24"/>
      <c r="G114" s="14"/>
      <c r="H114" s="14"/>
      <c r="I114" s="14"/>
      <c r="J114" s="22" t="str">
        <f aca="false">IF($D114="","",IFERROR(VLOOKUP($D114,商品マスタ!$A$5:$G$1000,2,FALSE()),"※商品マスタ未登録"))</f>
        <v/>
      </c>
      <c r="K114" s="22" t="str">
        <f aca="false">IF($D114="","",IFERROR(VLOOKUP($D114,商品マスタ!$A$5:$G$1000,3,FALSE()),""))</f>
        <v/>
      </c>
      <c r="L114" s="22" t="str">
        <f aca="false">IF($D114="","",IF($H114&lt;&gt;"",$H114,IFERROR(VLOOKUP($D114,商品マスタ!$A$5:$G$1000,4,FALSE()),"")))</f>
        <v/>
      </c>
      <c r="M114" s="22" t="str">
        <f aca="false">IF($D114="","",IFERROR(VLOOKUP($D114,商品マスタ!$A$5:$G$1000,5,FALSE()),0))</f>
        <v/>
      </c>
      <c r="N114" s="22" t="str">
        <f aca="false">IF($D114="","",IFERROR(VLOOKUP($D114,商品マスタ!$A$5:$G$1000,6,FALSE()),0))</f>
        <v/>
      </c>
      <c r="O114" s="22" t="str">
        <f aca="false">IF($D114="","",ROUND($E114*$F114,0))</f>
        <v/>
      </c>
      <c r="P114" s="22" t="str">
        <f aca="false">IF($D114="","",$O114)</f>
        <v/>
      </c>
      <c r="Q114" s="22" t="str">
        <f aca="false">IF($A114="","",IF($S114=1,$Q113+1,$Q113))</f>
        <v/>
      </c>
      <c r="R114" s="22" t="str">
        <f aca="false">IF($A114="","",IF($Q114=$Q113,$R113+1,1))</f>
        <v/>
      </c>
      <c r="S114" s="22" t="str">
        <f aca="false">IF($A114="","",IF(AND($A114=$A113,$B114=$B113),0,1))</f>
        <v/>
      </c>
      <c r="T114" s="22" t="str">
        <f aca="false">IF($A114="","",IF($S114=1,COUNTIF($S$5:$S114,1),""))</f>
        <v/>
      </c>
      <c r="U114" s="22" t="str">
        <f aca="false">IF($D114="","",IFERROR(VLOOKUP($D114,商品マスタ!$A$5:$G$1000,7,FALSE()),0))</f>
        <v/>
      </c>
    </row>
    <row r="115" customFormat="false" ht="15" hidden="false" customHeight="true" outlineLevel="0" collapsed="false">
      <c r="A115" s="23"/>
      <c r="B115" s="14"/>
      <c r="C115" s="14"/>
      <c r="D115" s="14"/>
      <c r="E115" s="24"/>
      <c r="F115" s="24"/>
      <c r="G115" s="14"/>
      <c r="H115" s="14"/>
      <c r="I115" s="14"/>
      <c r="J115" s="22" t="str">
        <f aca="false">IF($D115="","",IFERROR(VLOOKUP($D115,商品マスタ!$A$5:$G$1000,2,FALSE()),"※商品マスタ未登録"))</f>
        <v/>
      </c>
      <c r="K115" s="22" t="str">
        <f aca="false">IF($D115="","",IFERROR(VLOOKUP($D115,商品マスタ!$A$5:$G$1000,3,FALSE()),""))</f>
        <v/>
      </c>
      <c r="L115" s="22" t="str">
        <f aca="false">IF($D115="","",IF($H115&lt;&gt;"",$H115,IFERROR(VLOOKUP($D115,商品マスタ!$A$5:$G$1000,4,FALSE()),"")))</f>
        <v/>
      </c>
      <c r="M115" s="22" t="str">
        <f aca="false">IF($D115="","",IFERROR(VLOOKUP($D115,商品マスタ!$A$5:$G$1000,5,FALSE()),0))</f>
        <v/>
      </c>
      <c r="N115" s="22" t="str">
        <f aca="false">IF($D115="","",IFERROR(VLOOKUP($D115,商品マスタ!$A$5:$G$1000,6,FALSE()),0))</f>
        <v/>
      </c>
      <c r="O115" s="22" t="str">
        <f aca="false">IF($D115="","",ROUND($E115*$F115,0))</f>
        <v/>
      </c>
      <c r="P115" s="22" t="str">
        <f aca="false">IF($D115="","",$O115)</f>
        <v/>
      </c>
      <c r="Q115" s="22" t="str">
        <f aca="false">IF($A115="","",IF($S115=1,$Q114+1,$Q114))</f>
        <v/>
      </c>
      <c r="R115" s="22" t="str">
        <f aca="false">IF($A115="","",IF($Q115=$Q114,$R114+1,1))</f>
        <v/>
      </c>
      <c r="S115" s="22" t="str">
        <f aca="false">IF($A115="","",IF(AND($A115=$A114,$B115=$B114),0,1))</f>
        <v/>
      </c>
      <c r="T115" s="22" t="str">
        <f aca="false">IF($A115="","",IF($S115=1,COUNTIF($S$5:$S115,1),""))</f>
        <v/>
      </c>
      <c r="U115" s="22" t="str">
        <f aca="false">IF($D115="","",IFERROR(VLOOKUP($D115,商品マスタ!$A$5:$G$1000,7,FALSE()),0))</f>
        <v/>
      </c>
    </row>
    <row r="116" customFormat="false" ht="15" hidden="false" customHeight="true" outlineLevel="0" collapsed="false">
      <c r="A116" s="23"/>
      <c r="B116" s="14"/>
      <c r="C116" s="14"/>
      <c r="D116" s="14"/>
      <c r="E116" s="24"/>
      <c r="F116" s="24"/>
      <c r="G116" s="14"/>
      <c r="H116" s="14"/>
      <c r="I116" s="14"/>
      <c r="J116" s="22" t="str">
        <f aca="false">IF($D116="","",IFERROR(VLOOKUP($D116,商品マスタ!$A$5:$G$1000,2,FALSE()),"※商品マスタ未登録"))</f>
        <v/>
      </c>
      <c r="K116" s="22" t="str">
        <f aca="false">IF($D116="","",IFERROR(VLOOKUP($D116,商品マスタ!$A$5:$G$1000,3,FALSE()),""))</f>
        <v/>
      </c>
      <c r="L116" s="22" t="str">
        <f aca="false">IF($D116="","",IF($H116&lt;&gt;"",$H116,IFERROR(VLOOKUP($D116,商品マスタ!$A$5:$G$1000,4,FALSE()),"")))</f>
        <v/>
      </c>
      <c r="M116" s="22" t="str">
        <f aca="false">IF($D116="","",IFERROR(VLOOKUP($D116,商品マスタ!$A$5:$G$1000,5,FALSE()),0))</f>
        <v/>
      </c>
      <c r="N116" s="22" t="str">
        <f aca="false">IF($D116="","",IFERROR(VLOOKUP($D116,商品マスタ!$A$5:$G$1000,6,FALSE()),0))</f>
        <v/>
      </c>
      <c r="O116" s="22" t="str">
        <f aca="false">IF($D116="","",ROUND($E116*$F116,0))</f>
        <v/>
      </c>
      <c r="P116" s="22" t="str">
        <f aca="false">IF($D116="","",$O116)</f>
        <v/>
      </c>
      <c r="Q116" s="22" t="str">
        <f aca="false">IF($A116="","",IF($S116=1,$Q115+1,$Q115))</f>
        <v/>
      </c>
      <c r="R116" s="22" t="str">
        <f aca="false">IF($A116="","",IF($Q116=$Q115,$R115+1,1))</f>
        <v/>
      </c>
      <c r="S116" s="22" t="str">
        <f aca="false">IF($A116="","",IF(AND($A116=$A115,$B116=$B115),0,1))</f>
        <v/>
      </c>
      <c r="T116" s="22" t="str">
        <f aca="false">IF($A116="","",IF($S116=1,COUNTIF($S$5:$S116,1),""))</f>
        <v/>
      </c>
      <c r="U116" s="22" t="str">
        <f aca="false">IF($D116="","",IFERROR(VLOOKUP($D116,商品マスタ!$A$5:$G$1000,7,FALSE()),0))</f>
        <v/>
      </c>
    </row>
    <row r="117" customFormat="false" ht="15" hidden="false" customHeight="true" outlineLevel="0" collapsed="false">
      <c r="A117" s="23"/>
      <c r="B117" s="14"/>
      <c r="C117" s="14"/>
      <c r="D117" s="14"/>
      <c r="E117" s="24"/>
      <c r="F117" s="24"/>
      <c r="G117" s="14"/>
      <c r="H117" s="14"/>
      <c r="I117" s="14"/>
      <c r="J117" s="22" t="str">
        <f aca="false">IF($D117="","",IFERROR(VLOOKUP($D117,商品マスタ!$A$5:$G$1000,2,FALSE()),"※商品マスタ未登録"))</f>
        <v/>
      </c>
      <c r="K117" s="22" t="str">
        <f aca="false">IF($D117="","",IFERROR(VLOOKUP($D117,商品マスタ!$A$5:$G$1000,3,FALSE()),""))</f>
        <v/>
      </c>
      <c r="L117" s="22" t="str">
        <f aca="false">IF($D117="","",IF($H117&lt;&gt;"",$H117,IFERROR(VLOOKUP($D117,商品マスタ!$A$5:$G$1000,4,FALSE()),"")))</f>
        <v/>
      </c>
      <c r="M117" s="22" t="str">
        <f aca="false">IF($D117="","",IFERROR(VLOOKUP($D117,商品マスタ!$A$5:$G$1000,5,FALSE()),0))</f>
        <v/>
      </c>
      <c r="N117" s="22" t="str">
        <f aca="false">IF($D117="","",IFERROR(VLOOKUP($D117,商品マスタ!$A$5:$G$1000,6,FALSE()),0))</f>
        <v/>
      </c>
      <c r="O117" s="22" t="str">
        <f aca="false">IF($D117="","",ROUND($E117*$F117,0))</f>
        <v/>
      </c>
      <c r="P117" s="22" t="str">
        <f aca="false">IF($D117="","",$O117)</f>
        <v/>
      </c>
      <c r="Q117" s="22" t="str">
        <f aca="false">IF($A117="","",IF($S117=1,$Q116+1,$Q116))</f>
        <v/>
      </c>
      <c r="R117" s="22" t="str">
        <f aca="false">IF($A117="","",IF($Q117=$Q116,$R116+1,1))</f>
        <v/>
      </c>
      <c r="S117" s="22" t="str">
        <f aca="false">IF($A117="","",IF(AND($A117=$A116,$B117=$B116),0,1))</f>
        <v/>
      </c>
      <c r="T117" s="22" t="str">
        <f aca="false">IF($A117="","",IF($S117=1,COUNTIF($S$5:$S117,1),""))</f>
        <v/>
      </c>
      <c r="U117" s="22" t="str">
        <f aca="false">IF($D117="","",IFERROR(VLOOKUP($D117,商品マスタ!$A$5:$G$1000,7,FALSE()),0))</f>
        <v/>
      </c>
    </row>
    <row r="118" customFormat="false" ht="15" hidden="false" customHeight="true" outlineLevel="0" collapsed="false">
      <c r="A118" s="23"/>
      <c r="B118" s="14"/>
      <c r="C118" s="14"/>
      <c r="D118" s="14"/>
      <c r="E118" s="24"/>
      <c r="F118" s="24"/>
      <c r="G118" s="14"/>
      <c r="H118" s="14"/>
      <c r="I118" s="14"/>
      <c r="J118" s="22" t="str">
        <f aca="false">IF($D118="","",IFERROR(VLOOKUP($D118,商品マスタ!$A$5:$G$1000,2,FALSE()),"※商品マスタ未登録"))</f>
        <v/>
      </c>
      <c r="K118" s="22" t="str">
        <f aca="false">IF($D118="","",IFERROR(VLOOKUP($D118,商品マスタ!$A$5:$G$1000,3,FALSE()),""))</f>
        <v/>
      </c>
      <c r="L118" s="22" t="str">
        <f aca="false">IF($D118="","",IF($H118&lt;&gt;"",$H118,IFERROR(VLOOKUP($D118,商品マスタ!$A$5:$G$1000,4,FALSE()),"")))</f>
        <v/>
      </c>
      <c r="M118" s="22" t="str">
        <f aca="false">IF($D118="","",IFERROR(VLOOKUP($D118,商品マスタ!$A$5:$G$1000,5,FALSE()),0))</f>
        <v/>
      </c>
      <c r="N118" s="22" t="str">
        <f aca="false">IF($D118="","",IFERROR(VLOOKUP($D118,商品マスタ!$A$5:$G$1000,6,FALSE()),0))</f>
        <v/>
      </c>
      <c r="O118" s="22" t="str">
        <f aca="false">IF($D118="","",ROUND($E118*$F118,0))</f>
        <v/>
      </c>
      <c r="P118" s="22" t="str">
        <f aca="false">IF($D118="","",$O118)</f>
        <v/>
      </c>
      <c r="Q118" s="22" t="str">
        <f aca="false">IF($A118="","",IF($S118=1,$Q117+1,$Q117))</f>
        <v/>
      </c>
      <c r="R118" s="22" t="str">
        <f aca="false">IF($A118="","",IF($Q118=$Q117,$R117+1,1))</f>
        <v/>
      </c>
      <c r="S118" s="22" t="str">
        <f aca="false">IF($A118="","",IF(AND($A118=$A117,$B118=$B117),0,1))</f>
        <v/>
      </c>
      <c r="T118" s="22" t="str">
        <f aca="false">IF($A118="","",IF($S118=1,COUNTIF($S$5:$S118,1),""))</f>
        <v/>
      </c>
      <c r="U118" s="22" t="str">
        <f aca="false">IF($D118="","",IFERROR(VLOOKUP($D118,商品マスタ!$A$5:$G$1000,7,FALSE()),0))</f>
        <v/>
      </c>
    </row>
    <row r="119" customFormat="false" ht="15" hidden="false" customHeight="true" outlineLevel="0" collapsed="false">
      <c r="A119" s="23"/>
      <c r="B119" s="14"/>
      <c r="C119" s="14"/>
      <c r="D119" s="14"/>
      <c r="E119" s="24"/>
      <c r="F119" s="24"/>
      <c r="G119" s="14"/>
      <c r="H119" s="14"/>
      <c r="I119" s="14"/>
      <c r="J119" s="22" t="str">
        <f aca="false">IF($D119="","",IFERROR(VLOOKUP($D119,商品マスタ!$A$5:$G$1000,2,FALSE()),"※商品マスタ未登録"))</f>
        <v/>
      </c>
      <c r="K119" s="22" t="str">
        <f aca="false">IF($D119="","",IFERROR(VLOOKUP($D119,商品マスタ!$A$5:$G$1000,3,FALSE()),""))</f>
        <v/>
      </c>
      <c r="L119" s="22" t="str">
        <f aca="false">IF($D119="","",IF($H119&lt;&gt;"",$H119,IFERROR(VLOOKUP($D119,商品マスタ!$A$5:$G$1000,4,FALSE()),"")))</f>
        <v/>
      </c>
      <c r="M119" s="22" t="str">
        <f aca="false">IF($D119="","",IFERROR(VLOOKUP($D119,商品マスタ!$A$5:$G$1000,5,FALSE()),0))</f>
        <v/>
      </c>
      <c r="N119" s="22" t="str">
        <f aca="false">IF($D119="","",IFERROR(VLOOKUP($D119,商品マスタ!$A$5:$G$1000,6,FALSE()),0))</f>
        <v/>
      </c>
      <c r="O119" s="22" t="str">
        <f aca="false">IF($D119="","",ROUND($E119*$F119,0))</f>
        <v/>
      </c>
      <c r="P119" s="22" t="str">
        <f aca="false">IF($D119="","",$O119)</f>
        <v/>
      </c>
      <c r="Q119" s="22" t="str">
        <f aca="false">IF($A119="","",IF($S119=1,$Q118+1,$Q118))</f>
        <v/>
      </c>
      <c r="R119" s="22" t="str">
        <f aca="false">IF($A119="","",IF($Q119=$Q118,$R118+1,1))</f>
        <v/>
      </c>
      <c r="S119" s="22" t="str">
        <f aca="false">IF($A119="","",IF(AND($A119=$A118,$B119=$B118),0,1))</f>
        <v/>
      </c>
      <c r="T119" s="22" t="str">
        <f aca="false">IF($A119="","",IF($S119=1,COUNTIF($S$5:$S119,1),""))</f>
        <v/>
      </c>
      <c r="U119" s="22" t="str">
        <f aca="false">IF($D119="","",IFERROR(VLOOKUP($D119,商品マスタ!$A$5:$G$1000,7,FALSE()),0))</f>
        <v/>
      </c>
    </row>
    <row r="120" customFormat="false" ht="15" hidden="false" customHeight="true" outlineLevel="0" collapsed="false">
      <c r="A120" s="23"/>
      <c r="B120" s="14"/>
      <c r="C120" s="14"/>
      <c r="D120" s="14"/>
      <c r="E120" s="24"/>
      <c r="F120" s="24"/>
      <c r="G120" s="14"/>
      <c r="H120" s="14"/>
      <c r="I120" s="14"/>
      <c r="J120" s="22" t="str">
        <f aca="false">IF($D120="","",IFERROR(VLOOKUP($D120,商品マスタ!$A$5:$G$1000,2,FALSE()),"※商品マスタ未登録"))</f>
        <v/>
      </c>
      <c r="K120" s="22" t="str">
        <f aca="false">IF($D120="","",IFERROR(VLOOKUP($D120,商品マスタ!$A$5:$G$1000,3,FALSE()),""))</f>
        <v/>
      </c>
      <c r="L120" s="22" t="str">
        <f aca="false">IF($D120="","",IF($H120&lt;&gt;"",$H120,IFERROR(VLOOKUP($D120,商品マスタ!$A$5:$G$1000,4,FALSE()),"")))</f>
        <v/>
      </c>
      <c r="M120" s="22" t="str">
        <f aca="false">IF($D120="","",IFERROR(VLOOKUP($D120,商品マスタ!$A$5:$G$1000,5,FALSE()),0))</f>
        <v/>
      </c>
      <c r="N120" s="22" t="str">
        <f aca="false">IF($D120="","",IFERROR(VLOOKUP($D120,商品マスタ!$A$5:$G$1000,6,FALSE()),0))</f>
        <v/>
      </c>
      <c r="O120" s="22" t="str">
        <f aca="false">IF($D120="","",ROUND($E120*$F120,0))</f>
        <v/>
      </c>
      <c r="P120" s="22" t="str">
        <f aca="false">IF($D120="","",$O120)</f>
        <v/>
      </c>
      <c r="Q120" s="22" t="str">
        <f aca="false">IF($A120="","",IF($S120=1,$Q119+1,$Q119))</f>
        <v/>
      </c>
      <c r="R120" s="22" t="str">
        <f aca="false">IF($A120="","",IF($Q120=$Q119,$R119+1,1))</f>
        <v/>
      </c>
      <c r="S120" s="22" t="str">
        <f aca="false">IF($A120="","",IF(AND($A120=$A119,$B120=$B119),0,1))</f>
        <v/>
      </c>
      <c r="T120" s="22" t="str">
        <f aca="false">IF($A120="","",IF($S120=1,COUNTIF($S$5:$S120,1),""))</f>
        <v/>
      </c>
      <c r="U120" s="22" t="str">
        <f aca="false">IF($D120="","",IFERROR(VLOOKUP($D120,商品マスタ!$A$5:$G$1000,7,FALSE()),0))</f>
        <v/>
      </c>
    </row>
    <row r="121" customFormat="false" ht="15" hidden="false" customHeight="true" outlineLevel="0" collapsed="false">
      <c r="A121" s="23"/>
      <c r="B121" s="14"/>
      <c r="C121" s="14"/>
      <c r="D121" s="14"/>
      <c r="E121" s="24"/>
      <c r="F121" s="24"/>
      <c r="G121" s="14"/>
      <c r="H121" s="14"/>
      <c r="I121" s="14"/>
      <c r="J121" s="22" t="str">
        <f aca="false">IF($D121="","",IFERROR(VLOOKUP($D121,商品マスタ!$A$5:$G$1000,2,FALSE()),"※商品マスタ未登録"))</f>
        <v/>
      </c>
      <c r="K121" s="22" t="str">
        <f aca="false">IF($D121="","",IFERROR(VLOOKUP($D121,商品マスタ!$A$5:$G$1000,3,FALSE()),""))</f>
        <v/>
      </c>
      <c r="L121" s="22" t="str">
        <f aca="false">IF($D121="","",IF($H121&lt;&gt;"",$H121,IFERROR(VLOOKUP($D121,商品マスタ!$A$5:$G$1000,4,FALSE()),"")))</f>
        <v/>
      </c>
      <c r="M121" s="22" t="str">
        <f aca="false">IF($D121="","",IFERROR(VLOOKUP($D121,商品マスタ!$A$5:$G$1000,5,FALSE()),0))</f>
        <v/>
      </c>
      <c r="N121" s="22" t="str">
        <f aca="false">IF($D121="","",IFERROR(VLOOKUP($D121,商品マスタ!$A$5:$G$1000,6,FALSE()),0))</f>
        <v/>
      </c>
      <c r="O121" s="22" t="str">
        <f aca="false">IF($D121="","",ROUND($E121*$F121,0))</f>
        <v/>
      </c>
      <c r="P121" s="22" t="str">
        <f aca="false">IF($D121="","",$O121)</f>
        <v/>
      </c>
      <c r="Q121" s="22" t="str">
        <f aca="false">IF($A121="","",IF($S121=1,$Q120+1,$Q120))</f>
        <v/>
      </c>
      <c r="R121" s="22" t="str">
        <f aca="false">IF($A121="","",IF($Q121=$Q120,$R120+1,1))</f>
        <v/>
      </c>
      <c r="S121" s="22" t="str">
        <f aca="false">IF($A121="","",IF(AND($A121=$A120,$B121=$B120),0,1))</f>
        <v/>
      </c>
      <c r="T121" s="22" t="str">
        <f aca="false">IF($A121="","",IF($S121=1,COUNTIF($S$5:$S121,1),""))</f>
        <v/>
      </c>
      <c r="U121" s="22" t="str">
        <f aca="false">IF($D121="","",IFERROR(VLOOKUP($D121,商品マスタ!$A$5:$G$1000,7,FALSE()),0))</f>
        <v/>
      </c>
    </row>
    <row r="122" customFormat="false" ht="15" hidden="false" customHeight="true" outlineLevel="0" collapsed="false">
      <c r="A122" s="23"/>
      <c r="B122" s="14"/>
      <c r="C122" s="14"/>
      <c r="D122" s="14"/>
      <c r="E122" s="24"/>
      <c r="F122" s="24"/>
      <c r="G122" s="14"/>
      <c r="H122" s="14"/>
      <c r="I122" s="14"/>
      <c r="J122" s="22" t="str">
        <f aca="false">IF($D122="","",IFERROR(VLOOKUP($D122,商品マスタ!$A$5:$G$1000,2,FALSE()),"※商品マスタ未登録"))</f>
        <v/>
      </c>
      <c r="K122" s="22" t="str">
        <f aca="false">IF($D122="","",IFERROR(VLOOKUP($D122,商品マスタ!$A$5:$G$1000,3,FALSE()),""))</f>
        <v/>
      </c>
      <c r="L122" s="22" t="str">
        <f aca="false">IF($D122="","",IF($H122&lt;&gt;"",$H122,IFERROR(VLOOKUP($D122,商品マスタ!$A$5:$G$1000,4,FALSE()),"")))</f>
        <v/>
      </c>
      <c r="M122" s="22" t="str">
        <f aca="false">IF($D122="","",IFERROR(VLOOKUP($D122,商品マスタ!$A$5:$G$1000,5,FALSE()),0))</f>
        <v/>
      </c>
      <c r="N122" s="22" t="str">
        <f aca="false">IF($D122="","",IFERROR(VLOOKUP($D122,商品マスタ!$A$5:$G$1000,6,FALSE()),0))</f>
        <v/>
      </c>
      <c r="O122" s="22" t="str">
        <f aca="false">IF($D122="","",ROUND($E122*$F122,0))</f>
        <v/>
      </c>
      <c r="P122" s="22" t="str">
        <f aca="false">IF($D122="","",$O122)</f>
        <v/>
      </c>
      <c r="Q122" s="22" t="str">
        <f aca="false">IF($A122="","",IF($S122=1,$Q121+1,$Q121))</f>
        <v/>
      </c>
      <c r="R122" s="22" t="str">
        <f aca="false">IF($A122="","",IF($Q122=$Q121,$R121+1,1))</f>
        <v/>
      </c>
      <c r="S122" s="22" t="str">
        <f aca="false">IF($A122="","",IF(AND($A122=$A121,$B122=$B121),0,1))</f>
        <v/>
      </c>
      <c r="T122" s="22" t="str">
        <f aca="false">IF($A122="","",IF($S122=1,COUNTIF($S$5:$S122,1),""))</f>
        <v/>
      </c>
      <c r="U122" s="22" t="str">
        <f aca="false">IF($D122="","",IFERROR(VLOOKUP($D122,商品マスタ!$A$5:$G$1000,7,FALSE()),0))</f>
        <v/>
      </c>
    </row>
    <row r="123" customFormat="false" ht="15" hidden="false" customHeight="true" outlineLevel="0" collapsed="false">
      <c r="A123" s="23"/>
      <c r="B123" s="14"/>
      <c r="C123" s="14"/>
      <c r="D123" s="14"/>
      <c r="E123" s="24"/>
      <c r="F123" s="24"/>
      <c r="G123" s="14"/>
      <c r="H123" s="14"/>
      <c r="I123" s="14"/>
      <c r="J123" s="22" t="str">
        <f aca="false">IF($D123="","",IFERROR(VLOOKUP($D123,商品マスタ!$A$5:$G$1000,2,FALSE()),"※商品マスタ未登録"))</f>
        <v/>
      </c>
      <c r="K123" s="22" t="str">
        <f aca="false">IF($D123="","",IFERROR(VLOOKUP($D123,商品マスタ!$A$5:$G$1000,3,FALSE()),""))</f>
        <v/>
      </c>
      <c r="L123" s="22" t="str">
        <f aca="false">IF($D123="","",IF($H123&lt;&gt;"",$H123,IFERROR(VLOOKUP($D123,商品マスタ!$A$5:$G$1000,4,FALSE()),"")))</f>
        <v/>
      </c>
      <c r="M123" s="22" t="str">
        <f aca="false">IF($D123="","",IFERROR(VLOOKUP($D123,商品マスタ!$A$5:$G$1000,5,FALSE()),0))</f>
        <v/>
      </c>
      <c r="N123" s="22" t="str">
        <f aca="false">IF($D123="","",IFERROR(VLOOKUP($D123,商品マスタ!$A$5:$G$1000,6,FALSE()),0))</f>
        <v/>
      </c>
      <c r="O123" s="22" t="str">
        <f aca="false">IF($D123="","",ROUND($E123*$F123,0))</f>
        <v/>
      </c>
      <c r="P123" s="22" t="str">
        <f aca="false">IF($D123="","",$O123)</f>
        <v/>
      </c>
      <c r="Q123" s="22" t="str">
        <f aca="false">IF($A123="","",IF($S123=1,$Q122+1,$Q122))</f>
        <v/>
      </c>
      <c r="R123" s="22" t="str">
        <f aca="false">IF($A123="","",IF($Q123=$Q122,$R122+1,1))</f>
        <v/>
      </c>
      <c r="S123" s="22" t="str">
        <f aca="false">IF($A123="","",IF(AND($A123=$A122,$B123=$B122),0,1))</f>
        <v/>
      </c>
      <c r="T123" s="22" t="str">
        <f aca="false">IF($A123="","",IF($S123=1,COUNTIF($S$5:$S123,1),""))</f>
        <v/>
      </c>
      <c r="U123" s="22" t="str">
        <f aca="false">IF($D123="","",IFERROR(VLOOKUP($D123,商品マスタ!$A$5:$G$1000,7,FALSE()),0))</f>
        <v/>
      </c>
    </row>
    <row r="124" customFormat="false" ht="15" hidden="false" customHeight="true" outlineLevel="0" collapsed="false">
      <c r="A124" s="23"/>
      <c r="B124" s="14"/>
      <c r="C124" s="14"/>
      <c r="D124" s="14"/>
      <c r="E124" s="24"/>
      <c r="F124" s="24"/>
      <c r="G124" s="14"/>
      <c r="H124" s="14"/>
      <c r="I124" s="14"/>
      <c r="J124" s="22" t="str">
        <f aca="false">IF($D124="","",IFERROR(VLOOKUP($D124,商品マスタ!$A$5:$G$1000,2,FALSE()),"※商品マスタ未登録"))</f>
        <v/>
      </c>
      <c r="K124" s="22" t="str">
        <f aca="false">IF($D124="","",IFERROR(VLOOKUP($D124,商品マスタ!$A$5:$G$1000,3,FALSE()),""))</f>
        <v/>
      </c>
      <c r="L124" s="22" t="str">
        <f aca="false">IF($D124="","",IF($H124&lt;&gt;"",$H124,IFERROR(VLOOKUP($D124,商品マスタ!$A$5:$G$1000,4,FALSE()),"")))</f>
        <v/>
      </c>
      <c r="M124" s="22" t="str">
        <f aca="false">IF($D124="","",IFERROR(VLOOKUP($D124,商品マスタ!$A$5:$G$1000,5,FALSE()),0))</f>
        <v/>
      </c>
      <c r="N124" s="22" t="str">
        <f aca="false">IF($D124="","",IFERROR(VLOOKUP($D124,商品マスタ!$A$5:$G$1000,6,FALSE()),0))</f>
        <v/>
      </c>
      <c r="O124" s="22" t="str">
        <f aca="false">IF($D124="","",ROUND($E124*$F124,0))</f>
        <v/>
      </c>
      <c r="P124" s="22" t="str">
        <f aca="false">IF($D124="","",$O124)</f>
        <v/>
      </c>
      <c r="Q124" s="22" t="str">
        <f aca="false">IF($A124="","",IF($S124=1,$Q123+1,$Q123))</f>
        <v/>
      </c>
      <c r="R124" s="22" t="str">
        <f aca="false">IF($A124="","",IF($Q124=$Q123,$R123+1,1))</f>
        <v/>
      </c>
      <c r="S124" s="22" t="str">
        <f aca="false">IF($A124="","",IF(AND($A124=$A123,$B124=$B123),0,1))</f>
        <v/>
      </c>
      <c r="T124" s="22" t="str">
        <f aca="false">IF($A124="","",IF($S124=1,COUNTIF($S$5:$S124,1),""))</f>
        <v/>
      </c>
      <c r="U124" s="22" t="str">
        <f aca="false">IF($D124="","",IFERROR(VLOOKUP($D124,商品マスタ!$A$5:$G$1000,7,FALSE()),0))</f>
        <v/>
      </c>
    </row>
    <row r="125" customFormat="false" ht="15" hidden="false" customHeight="true" outlineLevel="0" collapsed="false">
      <c r="A125" s="23"/>
      <c r="B125" s="14"/>
      <c r="C125" s="14"/>
      <c r="D125" s="14"/>
      <c r="E125" s="24"/>
      <c r="F125" s="24"/>
      <c r="G125" s="14"/>
      <c r="H125" s="14"/>
      <c r="I125" s="14"/>
      <c r="J125" s="22" t="str">
        <f aca="false">IF($D125="","",IFERROR(VLOOKUP($D125,商品マスタ!$A$5:$G$1000,2,FALSE()),"※商品マスタ未登録"))</f>
        <v/>
      </c>
      <c r="K125" s="22" t="str">
        <f aca="false">IF($D125="","",IFERROR(VLOOKUP($D125,商品マスタ!$A$5:$G$1000,3,FALSE()),""))</f>
        <v/>
      </c>
      <c r="L125" s="22" t="str">
        <f aca="false">IF($D125="","",IF($H125&lt;&gt;"",$H125,IFERROR(VLOOKUP($D125,商品マスタ!$A$5:$G$1000,4,FALSE()),"")))</f>
        <v/>
      </c>
      <c r="M125" s="22" t="str">
        <f aca="false">IF($D125="","",IFERROR(VLOOKUP($D125,商品マスタ!$A$5:$G$1000,5,FALSE()),0))</f>
        <v/>
      </c>
      <c r="N125" s="22" t="str">
        <f aca="false">IF($D125="","",IFERROR(VLOOKUP($D125,商品マスタ!$A$5:$G$1000,6,FALSE()),0))</f>
        <v/>
      </c>
      <c r="O125" s="22" t="str">
        <f aca="false">IF($D125="","",ROUND($E125*$F125,0))</f>
        <v/>
      </c>
      <c r="P125" s="22" t="str">
        <f aca="false">IF($D125="","",$O125)</f>
        <v/>
      </c>
      <c r="Q125" s="22" t="str">
        <f aca="false">IF($A125="","",IF($S125=1,$Q124+1,$Q124))</f>
        <v/>
      </c>
      <c r="R125" s="22" t="str">
        <f aca="false">IF($A125="","",IF($Q125=$Q124,$R124+1,1))</f>
        <v/>
      </c>
      <c r="S125" s="22" t="str">
        <f aca="false">IF($A125="","",IF(AND($A125=$A124,$B125=$B124),0,1))</f>
        <v/>
      </c>
      <c r="T125" s="22" t="str">
        <f aca="false">IF($A125="","",IF($S125=1,COUNTIF($S$5:$S125,1),""))</f>
        <v/>
      </c>
      <c r="U125" s="22" t="str">
        <f aca="false">IF($D125="","",IFERROR(VLOOKUP($D125,商品マスタ!$A$5:$G$1000,7,FALSE()),0))</f>
        <v/>
      </c>
    </row>
    <row r="126" customFormat="false" ht="15" hidden="false" customHeight="true" outlineLevel="0" collapsed="false">
      <c r="A126" s="23"/>
      <c r="B126" s="14"/>
      <c r="C126" s="14"/>
      <c r="D126" s="14"/>
      <c r="E126" s="24"/>
      <c r="F126" s="24"/>
      <c r="G126" s="14"/>
      <c r="H126" s="14"/>
      <c r="I126" s="14"/>
      <c r="J126" s="22" t="str">
        <f aca="false">IF($D126="","",IFERROR(VLOOKUP($D126,商品マスタ!$A$5:$G$1000,2,FALSE()),"※商品マスタ未登録"))</f>
        <v/>
      </c>
      <c r="K126" s="22" t="str">
        <f aca="false">IF($D126="","",IFERROR(VLOOKUP($D126,商品マスタ!$A$5:$G$1000,3,FALSE()),""))</f>
        <v/>
      </c>
      <c r="L126" s="22" t="str">
        <f aca="false">IF($D126="","",IF($H126&lt;&gt;"",$H126,IFERROR(VLOOKUP($D126,商品マスタ!$A$5:$G$1000,4,FALSE()),"")))</f>
        <v/>
      </c>
      <c r="M126" s="22" t="str">
        <f aca="false">IF($D126="","",IFERROR(VLOOKUP($D126,商品マスタ!$A$5:$G$1000,5,FALSE()),0))</f>
        <v/>
      </c>
      <c r="N126" s="22" t="str">
        <f aca="false">IF($D126="","",IFERROR(VLOOKUP($D126,商品マスタ!$A$5:$G$1000,6,FALSE()),0))</f>
        <v/>
      </c>
      <c r="O126" s="22" t="str">
        <f aca="false">IF($D126="","",ROUND($E126*$F126,0))</f>
        <v/>
      </c>
      <c r="P126" s="22" t="str">
        <f aca="false">IF($D126="","",$O126)</f>
        <v/>
      </c>
      <c r="Q126" s="22" t="str">
        <f aca="false">IF($A126="","",IF($S126=1,$Q125+1,$Q125))</f>
        <v/>
      </c>
      <c r="R126" s="22" t="str">
        <f aca="false">IF($A126="","",IF($Q126=$Q125,$R125+1,1))</f>
        <v/>
      </c>
      <c r="S126" s="22" t="str">
        <f aca="false">IF($A126="","",IF(AND($A126=$A125,$B126=$B125),0,1))</f>
        <v/>
      </c>
      <c r="T126" s="22" t="str">
        <f aca="false">IF($A126="","",IF($S126=1,COUNTIF($S$5:$S126,1),""))</f>
        <v/>
      </c>
      <c r="U126" s="22" t="str">
        <f aca="false">IF($D126="","",IFERROR(VLOOKUP($D126,商品マスタ!$A$5:$G$1000,7,FALSE()),0))</f>
        <v/>
      </c>
    </row>
    <row r="127" customFormat="false" ht="15" hidden="false" customHeight="true" outlineLevel="0" collapsed="false">
      <c r="A127" s="23"/>
      <c r="B127" s="14"/>
      <c r="C127" s="14"/>
      <c r="D127" s="14"/>
      <c r="E127" s="24"/>
      <c r="F127" s="24"/>
      <c r="G127" s="14"/>
      <c r="H127" s="14"/>
      <c r="I127" s="14"/>
      <c r="J127" s="22" t="str">
        <f aca="false">IF($D127="","",IFERROR(VLOOKUP($D127,商品マスタ!$A$5:$G$1000,2,FALSE()),"※商品マスタ未登録"))</f>
        <v/>
      </c>
      <c r="K127" s="22" t="str">
        <f aca="false">IF($D127="","",IFERROR(VLOOKUP($D127,商品マスタ!$A$5:$G$1000,3,FALSE()),""))</f>
        <v/>
      </c>
      <c r="L127" s="22" t="str">
        <f aca="false">IF($D127="","",IF($H127&lt;&gt;"",$H127,IFERROR(VLOOKUP($D127,商品マスタ!$A$5:$G$1000,4,FALSE()),"")))</f>
        <v/>
      </c>
      <c r="M127" s="22" t="str">
        <f aca="false">IF($D127="","",IFERROR(VLOOKUP($D127,商品マスタ!$A$5:$G$1000,5,FALSE()),0))</f>
        <v/>
      </c>
      <c r="N127" s="22" t="str">
        <f aca="false">IF($D127="","",IFERROR(VLOOKUP($D127,商品マスタ!$A$5:$G$1000,6,FALSE()),0))</f>
        <v/>
      </c>
      <c r="O127" s="22" t="str">
        <f aca="false">IF($D127="","",ROUND($E127*$F127,0))</f>
        <v/>
      </c>
      <c r="P127" s="22" t="str">
        <f aca="false">IF($D127="","",$O127)</f>
        <v/>
      </c>
      <c r="Q127" s="22" t="str">
        <f aca="false">IF($A127="","",IF($S127=1,$Q126+1,$Q126))</f>
        <v/>
      </c>
      <c r="R127" s="22" t="str">
        <f aca="false">IF($A127="","",IF($Q127=$Q126,$R126+1,1))</f>
        <v/>
      </c>
      <c r="S127" s="22" t="str">
        <f aca="false">IF($A127="","",IF(AND($A127=$A126,$B127=$B126),0,1))</f>
        <v/>
      </c>
      <c r="T127" s="22" t="str">
        <f aca="false">IF($A127="","",IF($S127=1,COUNTIF($S$5:$S127,1),""))</f>
        <v/>
      </c>
      <c r="U127" s="22" t="str">
        <f aca="false">IF($D127="","",IFERROR(VLOOKUP($D127,商品マスタ!$A$5:$G$1000,7,FALSE()),0))</f>
        <v/>
      </c>
    </row>
    <row r="128" customFormat="false" ht="15" hidden="false" customHeight="true" outlineLevel="0" collapsed="false">
      <c r="A128" s="23"/>
      <c r="B128" s="14"/>
      <c r="C128" s="14"/>
      <c r="D128" s="14"/>
      <c r="E128" s="24"/>
      <c r="F128" s="24"/>
      <c r="G128" s="14"/>
      <c r="H128" s="14"/>
      <c r="I128" s="14"/>
      <c r="J128" s="22" t="str">
        <f aca="false">IF($D128="","",IFERROR(VLOOKUP($D128,商品マスタ!$A$5:$G$1000,2,FALSE()),"※商品マスタ未登録"))</f>
        <v/>
      </c>
      <c r="K128" s="22" t="str">
        <f aca="false">IF($D128="","",IFERROR(VLOOKUP($D128,商品マスタ!$A$5:$G$1000,3,FALSE()),""))</f>
        <v/>
      </c>
      <c r="L128" s="22" t="str">
        <f aca="false">IF($D128="","",IF($H128&lt;&gt;"",$H128,IFERROR(VLOOKUP($D128,商品マスタ!$A$5:$G$1000,4,FALSE()),"")))</f>
        <v/>
      </c>
      <c r="M128" s="22" t="str">
        <f aca="false">IF($D128="","",IFERROR(VLOOKUP($D128,商品マスタ!$A$5:$G$1000,5,FALSE()),0))</f>
        <v/>
      </c>
      <c r="N128" s="22" t="str">
        <f aca="false">IF($D128="","",IFERROR(VLOOKUP($D128,商品マスタ!$A$5:$G$1000,6,FALSE()),0))</f>
        <v/>
      </c>
      <c r="O128" s="22" t="str">
        <f aca="false">IF($D128="","",ROUND($E128*$F128,0))</f>
        <v/>
      </c>
      <c r="P128" s="22" t="str">
        <f aca="false">IF($D128="","",$O128)</f>
        <v/>
      </c>
      <c r="Q128" s="22" t="str">
        <f aca="false">IF($A128="","",IF($S128=1,$Q127+1,$Q127))</f>
        <v/>
      </c>
      <c r="R128" s="22" t="str">
        <f aca="false">IF($A128="","",IF($Q128=$Q127,$R127+1,1))</f>
        <v/>
      </c>
      <c r="S128" s="22" t="str">
        <f aca="false">IF($A128="","",IF(AND($A128=$A127,$B128=$B127),0,1))</f>
        <v/>
      </c>
      <c r="T128" s="22" t="str">
        <f aca="false">IF($A128="","",IF($S128=1,COUNTIF($S$5:$S128,1),""))</f>
        <v/>
      </c>
      <c r="U128" s="22" t="str">
        <f aca="false">IF($D128="","",IFERROR(VLOOKUP($D128,商品マスタ!$A$5:$G$1000,7,FALSE()),0))</f>
        <v/>
      </c>
    </row>
    <row r="129" customFormat="false" ht="15" hidden="false" customHeight="true" outlineLevel="0" collapsed="false">
      <c r="A129" s="23"/>
      <c r="B129" s="14"/>
      <c r="C129" s="14"/>
      <c r="D129" s="14"/>
      <c r="E129" s="24"/>
      <c r="F129" s="24"/>
      <c r="G129" s="14"/>
      <c r="H129" s="14"/>
      <c r="I129" s="14"/>
      <c r="J129" s="22" t="str">
        <f aca="false">IF($D129="","",IFERROR(VLOOKUP($D129,商品マスタ!$A$5:$G$1000,2,FALSE()),"※商品マスタ未登録"))</f>
        <v/>
      </c>
      <c r="K129" s="22" t="str">
        <f aca="false">IF($D129="","",IFERROR(VLOOKUP($D129,商品マスタ!$A$5:$G$1000,3,FALSE()),""))</f>
        <v/>
      </c>
      <c r="L129" s="22" t="str">
        <f aca="false">IF($D129="","",IF($H129&lt;&gt;"",$H129,IFERROR(VLOOKUP($D129,商品マスタ!$A$5:$G$1000,4,FALSE()),"")))</f>
        <v/>
      </c>
      <c r="M129" s="22" t="str">
        <f aca="false">IF($D129="","",IFERROR(VLOOKUP($D129,商品マスタ!$A$5:$G$1000,5,FALSE()),0))</f>
        <v/>
      </c>
      <c r="N129" s="22" t="str">
        <f aca="false">IF($D129="","",IFERROR(VLOOKUP($D129,商品マスタ!$A$5:$G$1000,6,FALSE()),0))</f>
        <v/>
      </c>
      <c r="O129" s="22" t="str">
        <f aca="false">IF($D129="","",ROUND($E129*$F129,0))</f>
        <v/>
      </c>
      <c r="P129" s="22" t="str">
        <f aca="false">IF($D129="","",$O129)</f>
        <v/>
      </c>
      <c r="Q129" s="22" t="str">
        <f aca="false">IF($A129="","",IF($S129=1,$Q128+1,$Q128))</f>
        <v/>
      </c>
      <c r="R129" s="22" t="str">
        <f aca="false">IF($A129="","",IF($Q129=$Q128,$R128+1,1))</f>
        <v/>
      </c>
      <c r="S129" s="22" t="str">
        <f aca="false">IF($A129="","",IF(AND($A129=$A128,$B129=$B128),0,1))</f>
        <v/>
      </c>
      <c r="T129" s="22" t="str">
        <f aca="false">IF($A129="","",IF($S129=1,COUNTIF($S$5:$S129,1),""))</f>
        <v/>
      </c>
      <c r="U129" s="22" t="str">
        <f aca="false">IF($D129="","",IFERROR(VLOOKUP($D129,商品マスタ!$A$5:$G$1000,7,FALSE()),0))</f>
        <v/>
      </c>
    </row>
    <row r="130" customFormat="false" ht="15" hidden="false" customHeight="true" outlineLevel="0" collapsed="false">
      <c r="A130" s="23"/>
      <c r="B130" s="14"/>
      <c r="C130" s="14"/>
      <c r="D130" s="14"/>
      <c r="E130" s="24"/>
      <c r="F130" s="24"/>
      <c r="G130" s="14"/>
      <c r="H130" s="14"/>
      <c r="I130" s="14"/>
      <c r="J130" s="22" t="str">
        <f aca="false">IF($D130="","",IFERROR(VLOOKUP($D130,商品マスタ!$A$5:$G$1000,2,FALSE()),"※商品マスタ未登録"))</f>
        <v/>
      </c>
      <c r="K130" s="22" t="str">
        <f aca="false">IF($D130="","",IFERROR(VLOOKUP($D130,商品マスタ!$A$5:$G$1000,3,FALSE()),""))</f>
        <v/>
      </c>
      <c r="L130" s="22" t="str">
        <f aca="false">IF($D130="","",IF($H130&lt;&gt;"",$H130,IFERROR(VLOOKUP($D130,商品マスタ!$A$5:$G$1000,4,FALSE()),"")))</f>
        <v/>
      </c>
      <c r="M130" s="22" t="str">
        <f aca="false">IF($D130="","",IFERROR(VLOOKUP($D130,商品マスタ!$A$5:$G$1000,5,FALSE()),0))</f>
        <v/>
      </c>
      <c r="N130" s="22" t="str">
        <f aca="false">IF($D130="","",IFERROR(VLOOKUP($D130,商品マスタ!$A$5:$G$1000,6,FALSE()),0))</f>
        <v/>
      </c>
      <c r="O130" s="22" t="str">
        <f aca="false">IF($D130="","",ROUND($E130*$F130,0))</f>
        <v/>
      </c>
      <c r="P130" s="22" t="str">
        <f aca="false">IF($D130="","",$O130)</f>
        <v/>
      </c>
      <c r="Q130" s="22" t="str">
        <f aca="false">IF($A130="","",IF($S130=1,$Q129+1,$Q129))</f>
        <v/>
      </c>
      <c r="R130" s="22" t="str">
        <f aca="false">IF($A130="","",IF($Q130=$Q129,$R129+1,1))</f>
        <v/>
      </c>
      <c r="S130" s="22" t="str">
        <f aca="false">IF($A130="","",IF(AND($A130=$A129,$B130=$B129),0,1))</f>
        <v/>
      </c>
      <c r="T130" s="22" t="str">
        <f aca="false">IF($A130="","",IF($S130=1,COUNTIF($S$5:$S130,1),""))</f>
        <v/>
      </c>
      <c r="U130" s="22" t="str">
        <f aca="false">IF($D130="","",IFERROR(VLOOKUP($D130,商品マスタ!$A$5:$G$1000,7,FALSE()),0))</f>
        <v/>
      </c>
    </row>
    <row r="131" customFormat="false" ht="15" hidden="false" customHeight="true" outlineLevel="0" collapsed="false">
      <c r="A131" s="23"/>
      <c r="B131" s="14"/>
      <c r="C131" s="14"/>
      <c r="D131" s="14"/>
      <c r="E131" s="24"/>
      <c r="F131" s="24"/>
      <c r="G131" s="14"/>
      <c r="H131" s="14"/>
      <c r="I131" s="14"/>
      <c r="J131" s="22" t="str">
        <f aca="false">IF($D131="","",IFERROR(VLOOKUP($D131,商品マスタ!$A$5:$G$1000,2,FALSE()),"※商品マスタ未登録"))</f>
        <v/>
      </c>
      <c r="K131" s="22" t="str">
        <f aca="false">IF($D131="","",IFERROR(VLOOKUP($D131,商品マスタ!$A$5:$G$1000,3,FALSE()),""))</f>
        <v/>
      </c>
      <c r="L131" s="22" t="str">
        <f aca="false">IF($D131="","",IF($H131&lt;&gt;"",$H131,IFERROR(VLOOKUP($D131,商品マスタ!$A$5:$G$1000,4,FALSE()),"")))</f>
        <v/>
      </c>
      <c r="M131" s="22" t="str">
        <f aca="false">IF($D131="","",IFERROR(VLOOKUP($D131,商品マスタ!$A$5:$G$1000,5,FALSE()),0))</f>
        <v/>
      </c>
      <c r="N131" s="22" t="str">
        <f aca="false">IF($D131="","",IFERROR(VLOOKUP($D131,商品マスタ!$A$5:$G$1000,6,FALSE()),0))</f>
        <v/>
      </c>
      <c r="O131" s="22" t="str">
        <f aca="false">IF($D131="","",ROUND($E131*$F131,0))</f>
        <v/>
      </c>
      <c r="P131" s="22" t="str">
        <f aca="false">IF($D131="","",$O131)</f>
        <v/>
      </c>
      <c r="Q131" s="22" t="str">
        <f aca="false">IF($A131="","",IF($S131=1,$Q130+1,$Q130))</f>
        <v/>
      </c>
      <c r="R131" s="22" t="str">
        <f aca="false">IF($A131="","",IF($Q131=$Q130,$R130+1,1))</f>
        <v/>
      </c>
      <c r="S131" s="22" t="str">
        <f aca="false">IF($A131="","",IF(AND($A131=$A130,$B131=$B130),0,1))</f>
        <v/>
      </c>
      <c r="T131" s="22" t="str">
        <f aca="false">IF($A131="","",IF($S131=1,COUNTIF($S$5:$S131,1),""))</f>
        <v/>
      </c>
      <c r="U131" s="22" t="str">
        <f aca="false">IF($D131="","",IFERROR(VLOOKUP($D131,商品マスタ!$A$5:$G$1000,7,FALSE()),0))</f>
        <v/>
      </c>
    </row>
    <row r="132" customFormat="false" ht="15" hidden="false" customHeight="true" outlineLevel="0" collapsed="false">
      <c r="A132" s="23"/>
      <c r="B132" s="14"/>
      <c r="C132" s="14"/>
      <c r="D132" s="14"/>
      <c r="E132" s="24"/>
      <c r="F132" s="24"/>
      <c r="G132" s="14"/>
      <c r="H132" s="14"/>
      <c r="I132" s="14"/>
      <c r="J132" s="22" t="str">
        <f aca="false">IF($D132="","",IFERROR(VLOOKUP($D132,商品マスタ!$A$5:$G$1000,2,FALSE()),"※商品マスタ未登録"))</f>
        <v/>
      </c>
      <c r="K132" s="22" t="str">
        <f aca="false">IF($D132="","",IFERROR(VLOOKUP($D132,商品マスタ!$A$5:$G$1000,3,FALSE()),""))</f>
        <v/>
      </c>
      <c r="L132" s="22" t="str">
        <f aca="false">IF($D132="","",IF($H132&lt;&gt;"",$H132,IFERROR(VLOOKUP($D132,商品マスタ!$A$5:$G$1000,4,FALSE()),"")))</f>
        <v/>
      </c>
      <c r="M132" s="22" t="str">
        <f aca="false">IF($D132="","",IFERROR(VLOOKUP($D132,商品マスタ!$A$5:$G$1000,5,FALSE()),0))</f>
        <v/>
      </c>
      <c r="N132" s="22" t="str">
        <f aca="false">IF($D132="","",IFERROR(VLOOKUP($D132,商品マスタ!$A$5:$G$1000,6,FALSE()),0))</f>
        <v/>
      </c>
      <c r="O132" s="22" t="str">
        <f aca="false">IF($D132="","",ROUND($E132*$F132,0))</f>
        <v/>
      </c>
      <c r="P132" s="22" t="str">
        <f aca="false">IF($D132="","",$O132)</f>
        <v/>
      </c>
      <c r="Q132" s="22" t="str">
        <f aca="false">IF($A132="","",IF($S132=1,$Q131+1,$Q131))</f>
        <v/>
      </c>
      <c r="R132" s="22" t="str">
        <f aca="false">IF($A132="","",IF($Q132=$Q131,$R131+1,1))</f>
        <v/>
      </c>
      <c r="S132" s="22" t="str">
        <f aca="false">IF($A132="","",IF(AND($A132=$A131,$B132=$B131),0,1))</f>
        <v/>
      </c>
      <c r="T132" s="22" t="str">
        <f aca="false">IF($A132="","",IF($S132=1,COUNTIF($S$5:$S132,1),""))</f>
        <v/>
      </c>
      <c r="U132" s="22" t="str">
        <f aca="false">IF($D132="","",IFERROR(VLOOKUP($D132,商品マスタ!$A$5:$G$1000,7,FALSE()),0))</f>
        <v/>
      </c>
    </row>
    <row r="133" customFormat="false" ht="15" hidden="false" customHeight="true" outlineLevel="0" collapsed="false">
      <c r="A133" s="23"/>
      <c r="B133" s="14"/>
      <c r="C133" s="14"/>
      <c r="D133" s="14"/>
      <c r="E133" s="24"/>
      <c r="F133" s="24"/>
      <c r="G133" s="14"/>
      <c r="H133" s="14"/>
      <c r="I133" s="14"/>
      <c r="J133" s="22" t="str">
        <f aca="false">IF($D133="","",IFERROR(VLOOKUP($D133,商品マスタ!$A$5:$G$1000,2,FALSE()),"※商品マスタ未登録"))</f>
        <v/>
      </c>
      <c r="K133" s="22" t="str">
        <f aca="false">IF($D133="","",IFERROR(VLOOKUP($D133,商品マスタ!$A$5:$G$1000,3,FALSE()),""))</f>
        <v/>
      </c>
      <c r="L133" s="22" t="str">
        <f aca="false">IF($D133="","",IF($H133&lt;&gt;"",$H133,IFERROR(VLOOKUP($D133,商品マスタ!$A$5:$G$1000,4,FALSE()),"")))</f>
        <v/>
      </c>
      <c r="M133" s="22" t="str">
        <f aca="false">IF($D133="","",IFERROR(VLOOKUP($D133,商品マスタ!$A$5:$G$1000,5,FALSE()),0))</f>
        <v/>
      </c>
      <c r="N133" s="22" t="str">
        <f aca="false">IF($D133="","",IFERROR(VLOOKUP($D133,商品マスタ!$A$5:$G$1000,6,FALSE()),0))</f>
        <v/>
      </c>
      <c r="O133" s="22" t="str">
        <f aca="false">IF($D133="","",ROUND($E133*$F133,0))</f>
        <v/>
      </c>
      <c r="P133" s="22" t="str">
        <f aca="false">IF($D133="","",$O133)</f>
        <v/>
      </c>
      <c r="Q133" s="22" t="str">
        <f aca="false">IF($A133="","",IF($S133=1,$Q132+1,$Q132))</f>
        <v/>
      </c>
      <c r="R133" s="22" t="str">
        <f aca="false">IF($A133="","",IF($Q133=$Q132,$R132+1,1))</f>
        <v/>
      </c>
      <c r="S133" s="22" t="str">
        <f aca="false">IF($A133="","",IF(AND($A133=$A132,$B133=$B132),0,1))</f>
        <v/>
      </c>
      <c r="T133" s="22" t="str">
        <f aca="false">IF($A133="","",IF($S133=1,COUNTIF($S$5:$S133,1),""))</f>
        <v/>
      </c>
      <c r="U133" s="22" t="str">
        <f aca="false">IF($D133="","",IFERROR(VLOOKUP($D133,商品マスタ!$A$5:$G$1000,7,FALSE()),0))</f>
        <v/>
      </c>
    </row>
    <row r="134" customFormat="false" ht="15" hidden="false" customHeight="true" outlineLevel="0" collapsed="false">
      <c r="A134" s="23"/>
      <c r="B134" s="14"/>
      <c r="C134" s="14"/>
      <c r="D134" s="14"/>
      <c r="E134" s="24"/>
      <c r="F134" s="24"/>
      <c r="G134" s="14"/>
      <c r="H134" s="14"/>
      <c r="I134" s="14"/>
      <c r="J134" s="22" t="str">
        <f aca="false">IF($D134="","",IFERROR(VLOOKUP($D134,商品マスタ!$A$5:$G$1000,2,FALSE()),"※商品マスタ未登録"))</f>
        <v/>
      </c>
      <c r="K134" s="22" t="str">
        <f aca="false">IF($D134="","",IFERROR(VLOOKUP($D134,商品マスタ!$A$5:$G$1000,3,FALSE()),""))</f>
        <v/>
      </c>
      <c r="L134" s="22" t="str">
        <f aca="false">IF($D134="","",IF($H134&lt;&gt;"",$H134,IFERROR(VLOOKUP($D134,商品マスタ!$A$5:$G$1000,4,FALSE()),"")))</f>
        <v/>
      </c>
      <c r="M134" s="22" t="str">
        <f aca="false">IF($D134="","",IFERROR(VLOOKUP($D134,商品マスタ!$A$5:$G$1000,5,FALSE()),0))</f>
        <v/>
      </c>
      <c r="N134" s="22" t="str">
        <f aca="false">IF($D134="","",IFERROR(VLOOKUP($D134,商品マスタ!$A$5:$G$1000,6,FALSE()),0))</f>
        <v/>
      </c>
      <c r="O134" s="22" t="str">
        <f aca="false">IF($D134="","",ROUND($E134*$F134,0))</f>
        <v/>
      </c>
      <c r="P134" s="22" t="str">
        <f aca="false">IF($D134="","",$O134)</f>
        <v/>
      </c>
      <c r="Q134" s="22" t="str">
        <f aca="false">IF($A134="","",IF($S134=1,$Q133+1,$Q133))</f>
        <v/>
      </c>
      <c r="R134" s="22" t="str">
        <f aca="false">IF($A134="","",IF($Q134=$Q133,$R133+1,1))</f>
        <v/>
      </c>
      <c r="S134" s="22" t="str">
        <f aca="false">IF($A134="","",IF(AND($A134=$A133,$B134=$B133),0,1))</f>
        <v/>
      </c>
      <c r="T134" s="22" t="str">
        <f aca="false">IF($A134="","",IF($S134=1,COUNTIF($S$5:$S134,1),""))</f>
        <v/>
      </c>
      <c r="U134" s="22" t="str">
        <f aca="false">IF($D134="","",IFERROR(VLOOKUP($D134,商品マスタ!$A$5:$G$1000,7,FALSE()),0))</f>
        <v/>
      </c>
    </row>
    <row r="135" customFormat="false" ht="15" hidden="false" customHeight="true" outlineLevel="0" collapsed="false">
      <c r="A135" s="23"/>
      <c r="B135" s="14"/>
      <c r="C135" s="14"/>
      <c r="D135" s="14"/>
      <c r="E135" s="24"/>
      <c r="F135" s="24"/>
      <c r="G135" s="14"/>
      <c r="H135" s="14"/>
      <c r="I135" s="14"/>
      <c r="J135" s="22" t="str">
        <f aca="false">IF($D135="","",IFERROR(VLOOKUP($D135,商品マスタ!$A$5:$G$1000,2,FALSE()),"※商品マスタ未登録"))</f>
        <v/>
      </c>
      <c r="K135" s="22" t="str">
        <f aca="false">IF($D135="","",IFERROR(VLOOKUP($D135,商品マスタ!$A$5:$G$1000,3,FALSE()),""))</f>
        <v/>
      </c>
      <c r="L135" s="22" t="str">
        <f aca="false">IF($D135="","",IF($H135&lt;&gt;"",$H135,IFERROR(VLOOKUP($D135,商品マスタ!$A$5:$G$1000,4,FALSE()),"")))</f>
        <v/>
      </c>
      <c r="M135" s="22" t="str">
        <f aca="false">IF($D135="","",IFERROR(VLOOKUP($D135,商品マスタ!$A$5:$G$1000,5,FALSE()),0))</f>
        <v/>
      </c>
      <c r="N135" s="22" t="str">
        <f aca="false">IF($D135="","",IFERROR(VLOOKUP($D135,商品マスタ!$A$5:$G$1000,6,FALSE()),0))</f>
        <v/>
      </c>
      <c r="O135" s="22" t="str">
        <f aca="false">IF($D135="","",ROUND($E135*$F135,0))</f>
        <v/>
      </c>
      <c r="P135" s="22" t="str">
        <f aca="false">IF($D135="","",$O135)</f>
        <v/>
      </c>
      <c r="Q135" s="22" t="str">
        <f aca="false">IF($A135="","",IF($S135=1,$Q134+1,$Q134))</f>
        <v/>
      </c>
      <c r="R135" s="22" t="str">
        <f aca="false">IF($A135="","",IF($Q135=$Q134,$R134+1,1))</f>
        <v/>
      </c>
      <c r="S135" s="22" t="str">
        <f aca="false">IF($A135="","",IF(AND($A135=$A134,$B135=$B134),0,1))</f>
        <v/>
      </c>
      <c r="T135" s="22" t="str">
        <f aca="false">IF($A135="","",IF($S135=1,COUNTIF($S$5:$S135,1),""))</f>
        <v/>
      </c>
      <c r="U135" s="22" t="str">
        <f aca="false">IF($D135="","",IFERROR(VLOOKUP($D135,商品マスタ!$A$5:$G$1000,7,FALSE()),0))</f>
        <v/>
      </c>
    </row>
    <row r="136" customFormat="false" ht="15" hidden="false" customHeight="true" outlineLevel="0" collapsed="false">
      <c r="A136" s="23"/>
      <c r="B136" s="14"/>
      <c r="C136" s="14"/>
      <c r="D136" s="14"/>
      <c r="E136" s="24"/>
      <c r="F136" s="24"/>
      <c r="G136" s="14"/>
      <c r="H136" s="14"/>
      <c r="I136" s="14"/>
      <c r="J136" s="22" t="str">
        <f aca="false">IF($D136="","",IFERROR(VLOOKUP($D136,商品マスタ!$A$5:$G$1000,2,FALSE()),"※商品マスタ未登録"))</f>
        <v/>
      </c>
      <c r="K136" s="22" t="str">
        <f aca="false">IF($D136="","",IFERROR(VLOOKUP($D136,商品マスタ!$A$5:$G$1000,3,FALSE()),""))</f>
        <v/>
      </c>
      <c r="L136" s="22" t="str">
        <f aca="false">IF($D136="","",IF($H136&lt;&gt;"",$H136,IFERROR(VLOOKUP($D136,商品マスタ!$A$5:$G$1000,4,FALSE()),"")))</f>
        <v/>
      </c>
      <c r="M136" s="22" t="str">
        <f aca="false">IF($D136="","",IFERROR(VLOOKUP($D136,商品マスタ!$A$5:$G$1000,5,FALSE()),0))</f>
        <v/>
      </c>
      <c r="N136" s="22" t="str">
        <f aca="false">IF($D136="","",IFERROR(VLOOKUP($D136,商品マスタ!$A$5:$G$1000,6,FALSE()),0))</f>
        <v/>
      </c>
      <c r="O136" s="22" t="str">
        <f aca="false">IF($D136="","",ROUND($E136*$F136,0))</f>
        <v/>
      </c>
      <c r="P136" s="22" t="str">
        <f aca="false">IF($D136="","",$O136)</f>
        <v/>
      </c>
      <c r="Q136" s="22" t="str">
        <f aca="false">IF($A136="","",IF($S136=1,$Q135+1,$Q135))</f>
        <v/>
      </c>
      <c r="R136" s="22" t="str">
        <f aca="false">IF($A136="","",IF($Q136=$Q135,$R135+1,1))</f>
        <v/>
      </c>
      <c r="S136" s="22" t="str">
        <f aca="false">IF($A136="","",IF(AND($A136=$A135,$B136=$B135),0,1))</f>
        <v/>
      </c>
      <c r="T136" s="22" t="str">
        <f aca="false">IF($A136="","",IF($S136=1,COUNTIF($S$5:$S136,1),""))</f>
        <v/>
      </c>
      <c r="U136" s="22" t="str">
        <f aca="false">IF($D136="","",IFERROR(VLOOKUP($D136,商品マスタ!$A$5:$G$1000,7,FALSE()),0))</f>
        <v/>
      </c>
    </row>
    <row r="137" customFormat="false" ht="15" hidden="false" customHeight="true" outlineLevel="0" collapsed="false">
      <c r="A137" s="23"/>
      <c r="B137" s="14"/>
      <c r="C137" s="14"/>
      <c r="D137" s="14"/>
      <c r="E137" s="24"/>
      <c r="F137" s="24"/>
      <c r="G137" s="14"/>
      <c r="H137" s="14"/>
      <c r="I137" s="14"/>
      <c r="J137" s="22" t="str">
        <f aca="false">IF($D137="","",IFERROR(VLOOKUP($D137,商品マスタ!$A$5:$G$1000,2,FALSE()),"※商品マスタ未登録"))</f>
        <v/>
      </c>
      <c r="K137" s="22" t="str">
        <f aca="false">IF($D137="","",IFERROR(VLOOKUP($D137,商品マスタ!$A$5:$G$1000,3,FALSE()),""))</f>
        <v/>
      </c>
      <c r="L137" s="22" t="str">
        <f aca="false">IF($D137="","",IF($H137&lt;&gt;"",$H137,IFERROR(VLOOKUP($D137,商品マスタ!$A$5:$G$1000,4,FALSE()),"")))</f>
        <v/>
      </c>
      <c r="M137" s="22" t="str">
        <f aca="false">IF($D137="","",IFERROR(VLOOKUP($D137,商品マスタ!$A$5:$G$1000,5,FALSE()),0))</f>
        <v/>
      </c>
      <c r="N137" s="22" t="str">
        <f aca="false">IF($D137="","",IFERROR(VLOOKUP($D137,商品マスタ!$A$5:$G$1000,6,FALSE()),0))</f>
        <v/>
      </c>
      <c r="O137" s="22" t="str">
        <f aca="false">IF($D137="","",ROUND($E137*$F137,0))</f>
        <v/>
      </c>
      <c r="P137" s="22" t="str">
        <f aca="false">IF($D137="","",$O137)</f>
        <v/>
      </c>
      <c r="Q137" s="22" t="str">
        <f aca="false">IF($A137="","",IF($S137=1,$Q136+1,$Q136))</f>
        <v/>
      </c>
      <c r="R137" s="22" t="str">
        <f aca="false">IF($A137="","",IF($Q137=$Q136,$R136+1,1))</f>
        <v/>
      </c>
      <c r="S137" s="22" t="str">
        <f aca="false">IF($A137="","",IF(AND($A137=$A136,$B137=$B136),0,1))</f>
        <v/>
      </c>
      <c r="T137" s="22" t="str">
        <f aca="false">IF($A137="","",IF($S137=1,COUNTIF($S$5:$S137,1),""))</f>
        <v/>
      </c>
      <c r="U137" s="22" t="str">
        <f aca="false">IF($D137="","",IFERROR(VLOOKUP($D137,商品マスタ!$A$5:$G$1000,7,FALSE()),0))</f>
        <v/>
      </c>
    </row>
    <row r="138" customFormat="false" ht="15" hidden="false" customHeight="true" outlineLevel="0" collapsed="false">
      <c r="A138" s="23"/>
      <c r="B138" s="14"/>
      <c r="C138" s="14"/>
      <c r="D138" s="14"/>
      <c r="E138" s="24"/>
      <c r="F138" s="24"/>
      <c r="G138" s="14"/>
      <c r="H138" s="14"/>
      <c r="I138" s="14"/>
      <c r="J138" s="22" t="str">
        <f aca="false">IF($D138="","",IFERROR(VLOOKUP($D138,商品マスタ!$A$5:$G$1000,2,FALSE()),"※商品マスタ未登録"))</f>
        <v/>
      </c>
      <c r="K138" s="22" t="str">
        <f aca="false">IF($D138="","",IFERROR(VLOOKUP($D138,商品マスタ!$A$5:$G$1000,3,FALSE()),""))</f>
        <v/>
      </c>
      <c r="L138" s="22" t="str">
        <f aca="false">IF($D138="","",IF($H138&lt;&gt;"",$H138,IFERROR(VLOOKUP($D138,商品マスタ!$A$5:$G$1000,4,FALSE()),"")))</f>
        <v/>
      </c>
      <c r="M138" s="22" t="str">
        <f aca="false">IF($D138="","",IFERROR(VLOOKUP($D138,商品マスタ!$A$5:$G$1000,5,FALSE()),0))</f>
        <v/>
      </c>
      <c r="N138" s="22" t="str">
        <f aca="false">IF($D138="","",IFERROR(VLOOKUP($D138,商品マスタ!$A$5:$G$1000,6,FALSE()),0))</f>
        <v/>
      </c>
      <c r="O138" s="22" t="str">
        <f aca="false">IF($D138="","",ROUND($E138*$F138,0))</f>
        <v/>
      </c>
      <c r="P138" s="22" t="str">
        <f aca="false">IF($D138="","",$O138)</f>
        <v/>
      </c>
      <c r="Q138" s="22" t="str">
        <f aca="false">IF($A138="","",IF($S138=1,$Q137+1,$Q137))</f>
        <v/>
      </c>
      <c r="R138" s="22" t="str">
        <f aca="false">IF($A138="","",IF($Q138=$Q137,$R137+1,1))</f>
        <v/>
      </c>
      <c r="S138" s="22" t="str">
        <f aca="false">IF($A138="","",IF(AND($A138=$A137,$B138=$B137),0,1))</f>
        <v/>
      </c>
      <c r="T138" s="22" t="str">
        <f aca="false">IF($A138="","",IF($S138=1,COUNTIF($S$5:$S138,1),""))</f>
        <v/>
      </c>
      <c r="U138" s="22" t="str">
        <f aca="false">IF($D138="","",IFERROR(VLOOKUP($D138,商品マスタ!$A$5:$G$1000,7,FALSE()),0))</f>
        <v/>
      </c>
    </row>
    <row r="139" customFormat="false" ht="15" hidden="false" customHeight="true" outlineLevel="0" collapsed="false">
      <c r="A139" s="23"/>
      <c r="B139" s="14"/>
      <c r="C139" s="14"/>
      <c r="D139" s="14"/>
      <c r="E139" s="24"/>
      <c r="F139" s="24"/>
      <c r="G139" s="14"/>
      <c r="H139" s="14"/>
      <c r="I139" s="14"/>
      <c r="J139" s="22" t="str">
        <f aca="false">IF($D139="","",IFERROR(VLOOKUP($D139,商品マスタ!$A$5:$G$1000,2,FALSE()),"※商品マスタ未登録"))</f>
        <v/>
      </c>
      <c r="K139" s="22" t="str">
        <f aca="false">IF($D139="","",IFERROR(VLOOKUP($D139,商品マスタ!$A$5:$G$1000,3,FALSE()),""))</f>
        <v/>
      </c>
      <c r="L139" s="22" t="str">
        <f aca="false">IF($D139="","",IF($H139&lt;&gt;"",$H139,IFERROR(VLOOKUP($D139,商品マスタ!$A$5:$G$1000,4,FALSE()),"")))</f>
        <v/>
      </c>
      <c r="M139" s="22" t="str">
        <f aca="false">IF($D139="","",IFERROR(VLOOKUP($D139,商品マスタ!$A$5:$G$1000,5,FALSE()),0))</f>
        <v/>
      </c>
      <c r="N139" s="22" t="str">
        <f aca="false">IF($D139="","",IFERROR(VLOOKUP($D139,商品マスタ!$A$5:$G$1000,6,FALSE()),0))</f>
        <v/>
      </c>
      <c r="O139" s="22" t="str">
        <f aca="false">IF($D139="","",ROUND($E139*$F139,0))</f>
        <v/>
      </c>
      <c r="P139" s="22" t="str">
        <f aca="false">IF($D139="","",$O139)</f>
        <v/>
      </c>
      <c r="Q139" s="22" t="str">
        <f aca="false">IF($A139="","",IF($S139=1,$Q138+1,$Q138))</f>
        <v/>
      </c>
      <c r="R139" s="22" t="str">
        <f aca="false">IF($A139="","",IF($Q139=$Q138,$R138+1,1))</f>
        <v/>
      </c>
      <c r="S139" s="22" t="str">
        <f aca="false">IF($A139="","",IF(AND($A139=$A138,$B139=$B138),0,1))</f>
        <v/>
      </c>
      <c r="T139" s="22" t="str">
        <f aca="false">IF($A139="","",IF($S139=1,COUNTIF($S$5:$S139,1),""))</f>
        <v/>
      </c>
      <c r="U139" s="22" t="str">
        <f aca="false">IF($D139="","",IFERROR(VLOOKUP($D139,商品マスタ!$A$5:$G$1000,7,FALSE()),0))</f>
        <v/>
      </c>
    </row>
    <row r="140" customFormat="false" ht="15" hidden="false" customHeight="true" outlineLevel="0" collapsed="false">
      <c r="A140" s="23"/>
      <c r="B140" s="14"/>
      <c r="C140" s="14"/>
      <c r="D140" s="14"/>
      <c r="E140" s="24"/>
      <c r="F140" s="24"/>
      <c r="G140" s="14"/>
      <c r="H140" s="14"/>
      <c r="I140" s="14"/>
      <c r="J140" s="22" t="str">
        <f aca="false">IF($D140="","",IFERROR(VLOOKUP($D140,商品マスタ!$A$5:$G$1000,2,FALSE()),"※商品マスタ未登録"))</f>
        <v/>
      </c>
      <c r="K140" s="22" t="str">
        <f aca="false">IF($D140="","",IFERROR(VLOOKUP($D140,商品マスタ!$A$5:$G$1000,3,FALSE()),""))</f>
        <v/>
      </c>
      <c r="L140" s="22" t="str">
        <f aca="false">IF($D140="","",IF($H140&lt;&gt;"",$H140,IFERROR(VLOOKUP($D140,商品マスタ!$A$5:$G$1000,4,FALSE()),"")))</f>
        <v/>
      </c>
      <c r="M140" s="22" t="str">
        <f aca="false">IF($D140="","",IFERROR(VLOOKUP($D140,商品マスタ!$A$5:$G$1000,5,FALSE()),0))</f>
        <v/>
      </c>
      <c r="N140" s="22" t="str">
        <f aca="false">IF($D140="","",IFERROR(VLOOKUP($D140,商品マスタ!$A$5:$G$1000,6,FALSE()),0))</f>
        <v/>
      </c>
      <c r="O140" s="22" t="str">
        <f aca="false">IF($D140="","",ROUND($E140*$F140,0))</f>
        <v/>
      </c>
      <c r="P140" s="22" t="str">
        <f aca="false">IF($D140="","",$O140)</f>
        <v/>
      </c>
      <c r="Q140" s="22" t="str">
        <f aca="false">IF($A140="","",IF($S140=1,$Q139+1,$Q139))</f>
        <v/>
      </c>
      <c r="R140" s="22" t="str">
        <f aca="false">IF($A140="","",IF($Q140=$Q139,$R139+1,1))</f>
        <v/>
      </c>
      <c r="S140" s="22" t="str">
        <f aca="false">IF($A140="","",IF(AND($A140=$A139,$B140=$B139),0,1))</f>
        <v/>
      </c>
      <c r="T140" s="22" t="str">
        <f aca="false">IF($A140="","",IF($S140=1,COUNTIF($S$5:$S140,1),""))</f>
        <v/>
      </c>
      <c r="U140" s="22" t="str">
        <f aca="false">IF($D140="","",IFERROR(VLOOKUP($D140,商品マスタ!$A$5:$G$1000,7,FALSE()),0))</f>
        <v/>
      </c>
    </row>
    <row r="141" customFormat="false" ht="15" hidden="false" customHeight="true" outlineLevel="0" collapsed="false">
      <c r="A141" s="23"/>
      <c r="B141" s="14"/>
      <c r="C141" s="14"/>
      <c r="D141" s="14"/>
      <c r="E141" s="24"/>
      <c r="F141" s="24"/>
      <c r="G141" s="14"/>
      <c r="H141" s="14"/>
      <c r="I141" s="14"/>
      <c r="J141" s="22" t="str">
        <f aca="false">IF($D141="","",IFERROR(VLOOKUP($D141,商品マスタ!$A$5:$G$1000,2,FALSE()),"※商品マスタ未登録"))</f>
        <v/>
      </c>
      <c r="K141" s="22" t="str">
        <f aca="false">IF($D141="","",IFERROR(VLOOKUP($D141,商品マスタ!$A$5:$G$1000,3,FALSE()),""))</f>
        <v/>
      </c>
      <c r="L141" s="22" t="str">
        <f aca="false">IF($D141="","",IF($H141&lt;&gt;"",$H141,IFERROR(VLOOKUP($D141,商品マスタ!$A$5:$G$1000,4,FALSE()),"")))</f>
        <v/>
      </c>
      <c r="M141" s="22" t="str">
        <f aca="false">IF($D141="","",IFERROR(VLOOKUP($D141,商品マスタ!$A$5:$G$1000,5,FALSE()),0))</f>
        <v/>
      </c>
      <c r="N141" s="22" t="str">
        <f aca="false">IF($D141="","",IFERROR(VLOOKUP($D141,商品マスタ!$A$5:$G$1000,6,FALSE()),0))</f>
        <v/>
      </c>
      <c r="O141" s="22" t="str">
        <f aca="false">IF($D141="","",ROUND($E141*$F141,0))</f>
        <v/>
      </c>
      <c r="P141" s="22" t="str">
        <f aca="false">IF($D141="","",$O141)</f>
        <v/>
      </c>
      <c r="Q141" s="22" t="str">
        <f aca="false">IF($A141="","",IF($S141=1,$Q140+1,$Q140))</f>
        <v/>
      </c>
      <c r="R141" s="22" t="str">
        <f aca="false">IF($A141="","",IF($Q141=$Q140,$R140+1,1))</f>
        <v/>
      </c>
      <c r="S141" s="22" t="str">
        <f aca="false">IF($A141="","",IF(AND($A141=$A140,$B141=$B140),0,1))</f>
        <v/>
      </c>
      <c r="T141" s="22" t="str">
        <f aca="false">IF($A141="","",IF($S141=1,COUNTIF($S$5:$S141,1),""))</f>
        <v/>
      </c>
      <c r="U141" s="22" t="str">
        <f aca="false">IF($D141="","",IFERROR(VLOOKUP($D141,商品マスタ!$A$5:$G$1000,7,FALSE()),0))</f>
        <v/>
      </c>
    </row>
    <row r="142" customFormat="false" ht="15" hidden="false" customHeight="true" outlineLevel="0" collapsed="false">
      <c r="A142" s="23"/>
      <c r="B142" s="14"/>
      <c r="C142" s="14"/>
      <c r="D142" s="14"/>
      <c r="E142" s="24"/>
      <c r="F142" s="24"/>
      <c r="G142" s="14"/>
      <c r="H142" s="14"/>
      <c r="I142" s="14"/>
      <c r="J142" s="22" t="str">
        <f aca="false">IF($D142="","",IFERROR(VLOOKUP($D142,商品マスタ!$A$5:$G$1000,2,FALSE()),"※商品マスタ未登録"))</f>
        <v/>
      </c>
      <c r="K142" s="22" t="str">
        <f aca="false">IF($D142="","",IFERROR(VLOOKUP($D142,商品マスタ!$A$5:$G$1000,3,FALSE()),""))</f>
        <v/>
      </c>
      <c r="L142" s="22" t="str">
        <f aca="false">IF($D142="","",IF($H142&lt;&gt;"",$H142,IFERROR(VLOOKUP($D142,商品マスタ!$A$5:$G$1000,4,FALSE()),"")))</f>
        <v/>
      </c>
      <c r="M142" s="22" t="str">
        <f aca="false">IF($D142="","",IFERROR(VLOOKUP($D142,商品マスタ!$A$5:$G$1000,5,FALSE()),0))</f>
        <v/>
      </c>
      <c r="N142" s="22" t="str">
        <f aca="false">IF($D142="","",IFERROR(VLOOKUP($D142,商品マスタ!$A$5:$G$1000,6,FALSE()),0))</f>
        <v/>
      </c>
      <c r="O142" s="22" t="str">
        <f aca="false">IF($D142="","",ROUND($E142*$F142,0))</f>
        <v/>
      </c>
      <c r="P142" s="22" t="str">
        <f aca="false">IF($D142="","",$O142)</f>
        <v/>
      </c>
      <c r="Q142" s="22" t="str">
        <f aca="false">IF($A142="","",IF($S142=1,$Q141+1,$Q141))</f>
        <v/>
      </c>
      <c r="R142" s="22" t="str">
        <f aca="false">IF($A142="","",IF($Q142=$Q141,$R141+1,1))</f>
        <v/>
      </c>
      <c r="S142" s="22" t="str">
        <f aca="false">IF($A142="","",IF(AND($A142=$A141,$B142=$B141),0,1))</f>
        <v/>
      </c>
      <c r="T142" s="22" t="str">
        <f aca="false">IF($A142="","",IF($S142=1,COUNTIF($S$5:$S142,1),""))</f>
        <v/>
      </c>
      <c r="U142" s="22" t="str">
        <f aca="false">IF($D142="","",IFERROR(VLOOKUP($D142,商品マスタ!$A$5:$G$1000,7,FALSE()),0))</f>
        <v/>
      </c>
    </row>
    <row r="143" customFormat="false" ht="15" hidden="false" customHeight="true" outlineLevel="0" collapsed="false">
      <c r="A143" s="23"/>
      <c r="B143" s="14"/>
      <c r="C143" s="14"/>
      <c r="D143" s="14"/>
      <c r="E143" s="24"/>
      <c r="F143" s="24"/>
      <c r="G143" s="14"/>
      <c r="H143" s="14"/>
      <c r="I143" s="14"/>
      <c r="J143" s="22" t="str">
        <f aca="false">IF($D143="","",IFERROR(VLOOKUP($D143,商品マスタ!$A$5:$G$1000,2,FALSE()),"※商品マスタ未登録"))</f>
        <v/>
      </c>
      <c r="K143" s="22" t="str">
        <f aca="false">IF($D143="","",IFERROR(VLOOKUP($D143,商品マスタ!$A$5:$G$1000,3,FALSE()),""))</f>
        <v/>
      </c>
      <c r="L143" s="22" t="str">
        <f aca="false">IF($D143="","",IF($H143&lt;&gt;"",$H143,IFERROR(VLOOKUP($D143,商品マスタ!$A$5:$G$1000,4,FALSE()),"")))</f>
        <v/>
      </c>
      <c r="M143" s="22" t="str">
        <f aca="false">IF($D143="","",IFERROR(VLOOKUP($D143,商品マスタ!$A$5:$G$1000,5,FALSE()),0))</f>
        <v/>
      </c>
      <c r="N143" s="22" t="str">
        <f aca="false">IF($D143="","",IFERROR(VLOOKUP($D143,商品マスタ!$A$5:$G$1000,6,FALSE()),0))</f>
        <v/>
      </c>
      <c r="O143" s="22" t="str">
        <f aca="false">IF($D143="","",ROUND($E143*$F143,0))</f>
        <v/>
      </c>
      <c r="P143" s="22" t="str">
        <f aca="false">IF($D143="","",$O143)</f>
        <v/>
      </c>
      <c r="Q143" s="22" t="str">
        <f aca="false">IF($A143="","",IF($S143=1,$Q142+1,$Q142))</f>
        <v/>
      </c>
      <c r="R143" s="22" t="str">
        <f aca="false">IF($A143="","",IF($Q143=$Q142,$R142+1,1))</f>
        <v/>
      </c>
      <c r="S143" s="22" t="str">
        <f aca="false">IF($A143="","",IF(AND($A143=$A142,$B143=$B142),0,1))</f>
        <v/>
      </c>
      <c r="T143" s="22" t="str">
        <f aca="false">IF($A143="","",IF($S143=1,COUNTIF($S$5:$S143,1),""))</f>
        <v/>
      </c>
      <c r="U143" s="22" t="str">
        <f aca="false">IF($D143="","",IFERROR(VLOOKUP($D143,商品マスタ!$A$5:$G$1000,7,FALSE()),0))</f>
        <v/>
      </c>
    </row>
    <row r="144" customFormat="false" ht="15" hidden="false" customHeight="true" outlineLevel="0" collapsed="false">
      <c r="A144" s="23"/>
      <c r="B144" s="14"/>
      <c r="C144" s="14"/>
      <c r="D144" s="14"/>
      <c r="E144" s="24"/>
      <c r="F144" s="24"/>
      <c r="G144" s="14"/>
      <c r="H144" s="14"/>
      <c r="I144" s="14"/>
      <c r="J144" s="22" t="str">
        <f aca="false">IF($D144="","",IFERROR(VLOOKUP($D144,商品マスタ!$A$5:$G$1000,2,FALSE()),"※商品マスタ未登録"))</f>
        <v/>
      </c>
      <c r="K144" s="22" t="str">
        <f aca="false">IF($D144="","",IFERROR(VLOOKUP($D144,商品マスタ!$A$5:$G$1000,3,FALSE()),""))</f>
        <v/>
      </c>
      <c r="L144" s="22" t="str">
        <f aca="false">IF($D144="","",IF($H144&lt;&gt;"",$H144,IFERROR(VLOOKUP($D144,商品マスタ!$A$5:$G$1000,4,FALSE()),"")))</f>
        <v/>
      </c>
      <c r="M144" s="22" t="str">
        <f aca="false">IF($D144="","",IFERROR(VLOOKUP($D144,商品マスタ!$A$5:$G$1000,5,FALSE()),0))</f>
        <v/>
      </c>
      <c r="N144" s="22" t="str">
        <f aca="false">IF($D144="","",IFERROR(VLOOKUP($D144,商品マスタ!$A$5:$G$1000,6,FALSE()),0))</f>
        <v/>
      </c>
      <c r="O144" s="22" t="str">
        <f aca="false">IF($D144="","",ROUND($E144*$F144,0))</f>
        <v/>
      </c>
      <c r="P144" s="22" t="str">
        <f aca="false">IF($D144="","",$O144)</f>
        <v/>
      </c>
      <c r="Q144" s="22" t="str">
        <f aca="false">IF($A144="","",IF($S144=1,$Q143+1,$Q143))</f>
        <v/>
      </c>
      <c r="R144" s="22" t="str">
        <f aca="false">IF($A144="","",IF($Q144=$Q143,$R143+1,1))</f>
        <v/>
      </c>
      <c r="S144" s="22" t="str">
        <f aca="false">IF($A144="","",IF(AND($A144=$A143,$B144=$B143),0,1))</f>
        <v/>
      </c>
      <c r="T144" s="22" t="str">
        <f aca="false">IF($A144="","",IF($S144=1,COUNTIF($S$5:$S144,1),""))</f>
        <v/>
      </c>
      <c r="U144" s="22" t="str">
        <f aca="false">IF($D144="","",IFERROR(VLOOKUP($D144,商品マスタ!$A$5:$G$1000,7,FALSE()),0))</f>
        <v/>
      </c>
    </row>
    <row r="145" customFormat="false" ht="15" hidden="false" customHeight="true" outlineLevel="0" collapsed="false">
      <c r="A145" s="23"/>
      <c r="B145" s="14"/>
      <c r="C145" s="14"/>
      <c r="D145" s="14"/>
      <c r="E145" s="24"/>
      <c r="F145" s="24"/>
      <c r="G145" s="14"/>
      <c r="H145" s="14"/>
      <c r="I145" s="14"/>
      <c r="J145" s="22" t="str">
        <f aca="false">IF($D145="","",IFERROR(VLOOKUP($D145,商品マスタ!$A$5:$G$1000,2,FALSE()),"※商品マスタ未登録"))</f>
        <v/>
      </c>
      <c r="K145" s="22" t="str">
        <f aca="false">IF($D145="","",IFERROR(VLOOKUP($D145,商品マスタ!$A$5:$G$1000,3,FALSE()),""))</f>
        <v/>
      </c>
      <c r="L145" s="22" t="str">
        <f aca="false">IF($D145="","",IF($H145&lt;&gt;"",$H145,IFERROR(VLOOKUP($D145,商品マスタ!$A$5:$G$1000,4,FALSE()),"")))</f>
        <v/>
      </c>
      <c r="M145" s="22" t="str">
        <f aca="false">IF($D145="","",IFERROR(VLOOKUP($D145,商品マスタ!$A$5:$G$1000,5,FALSE()),0))</f>
        <v/>
      </c>
      <c r="N145" s="22" t="str">
        <f aca="false">IF($D145="","",IFERROR(VLOOKUP($D145,商品マスタ!$A$5:$G$1000,6,FALSE()),0))</f>
        <v/>
      </c>
      <c r="O145" s="22" t="str">
        <f aca="false">IF($D145="","",ROUND($E145*$F145,0))</f>
        <v/>
      </c>
      <c r="P145" s="22" t="str">
        <f aca="false">IF($D145="","",$O145)</f>
        <v/>
      </c>
      <c r="Q145" s="22" t="str">
        <f aca="false">IF($A145="","",IF($S145=1,$Q144+1,$Q144))</f>
        <v/>
      </c>
      <c r="R145" s="22" t="str">
        <f aca="false">IF($A145="","",IF($Q145=$Q144,$R144+1,1))</f>
        <v/>
      </c>
      <c r="S145" s="22" t="str">
        <f aca="false">IF($A145="","",IF(AND($A145=$A144,$B145=$B144),0,1))</f>
        <v/>
      </c>
      <c r="T145" s="22" t="str">
        <f aca="false">IF($A145="","",IF($S145=1,COUNTIF($S$5:$S145,1),""))</f>
        <v/>
      </c>
      <c r="U145" s="22" t="str">
        <f aca="false">IF($D145="","",IFERROR(VLOOKUP($D145,商品マスタ!$A$5:$G$1000,7,FALSE()),0))</f>
        <v/>
      </c>
    </row>
    <row r="146" customFormat="false" ht="15" hidden="false" customHeight="true" outlineLevel="0" collapsed="false">
      <c r="A146" s="23"/>
      <c r="B146" s="14"/>
      <c r="C146" s="14"/>
      <c r="D146" s="14"/>
      <c r="E146" s="24"/>
      <c r="F146" s="24"/>
      <c r="G146" s="14"/>
      <c r="H146" s="14"/>
      <c r="I146" s="14"/>
      <c r="J146" s="22" t="str">
        <f aca="false">IF($D146="","",IFERROR(VLOOKUP($D146,商品マスタ!$A$5:$G$1000,2,FALSE()),"※商品マスタ未登録"))</f>
        <v/>
      </c>
      <c r="K146" s="22" t="str">
        <f aca="false">IF($D146="","",IFERROR(VLOOKUP($D146,商品マスタ!$A$5:$G$1000,3,FALSE()),""))</f>
        <v/>
      </c>
      <c r="L146" s="22" t="str">
        <f aca="false">IF($D146="","",IF($H146&lt;&gt;"",$H146,IFERROR(VLOOKUP($D146,商品マスタ!$A$5:$G$1000,4,FALSE()),"")))</f>
        <v/>
      </c>
      <c r="M146" s="22" t="str">
        <f aca="false">IF($D146="","",IFERROR(VLOOKUP($D146,商品マスタ!$A$5:$G$1000,5,FALSE()),0))</f>
        <v/>
      </c>
      <c r="N146" s="22" t="str">
        <f aca="false">IF($D146="","",IFERROR(VLOOKUP($D146,商品マスタ!$A$5:$G$1000,6,FALSE()),0))</f>
        <v/>
      </c>
      <c r="O146" s="22" t="str">
        <f aca="false">IF($D146="","",ROUND($E146*$F146,0))</f>
        <v/>
      </c>
      <c r="P146" s="22" t="str">
        <f aca="false">IF($D146="","",$O146)</f>
        <v/>
      </c>
      <c r="Q146" s="22" t="str">
        <f aca="false">IF($A146="","",IF($S146=1,$Q145+1,$Q145))</f>
        <v/>
      </c>
      <c r="R146" s="22" t="str">
        <f aca="false">IF($A146="","",IF($Q146=$Q145,$R145+1,1))</f>
        <v/>
      </c>
      <c r="S146" s="22" t="str">
        <f aca="false">IF($A146="","",IF(AND($A146=$A145,$B146=$B145),0,1))</f>
        <v/>
      </c>
      <c r="T146" s="22" t="str">
        <f aca="false">IF($A146="","",IF($S146=1,COUNTIF($S$5:$S146,1),""))</f>
        <v/>
      </c>
      <c r="U146" s="22" t="str">
        <f aca="false">IF($D146="","",IFERROR(VLOOKUP($D146,商品マスタ!$A$5:$G$1000,7,FALSE()),0))</f>
        <v/>
      </c>
    </row>
    <row r="147" customFormat="false" ht="15" hidden="false" customHeight="true" outlineLevel="0" collapsed="false">
      <c r="A147" s="23"/>
      <c r="B147" s="14"/>
      <c r="C147" s="14"/>
      <c r="D147" s="14"/>
      <c r="E147" s="24"/>
      <c r="F147" s="24"/>
      <c r="G147" s="14"/>
      <c r="H147" s="14"/>
      <c r="I147" s="14"/>
      <c r="J147" s="22" t="str">
        <f aca="false">IF($D147="","",IFERROR(VLOOKUP($D147,商品マスタ!$A$5:$G$1000,2,FALSE()),"※商品マスタ未登録"))</f>
        <v/>
      </c>
      <c r="K147" s="22" t="str">
        <f aca="false">IF($D147="","",IFERROR(VLOOKUP($D147,商品マスタ!$A$5:$G$1000,3,FALSE()),""))</f>
        <v/>
      </c>
      <c r="L147" s="22" t="str">
        <f aca="false">IF($D147="","",IF($H147&lt;&gt;"",$H147,IFERROR(VLOOKUP($D147,商品マスタ!$A$5:$G$1000,4,FALSE()),"")))</f>
        <v/>
      </c>
      <c r="M147" s="22" t="str">
        <f aca="false">IF($D147="","",IFERROR(VLOOKUP($D147,商品マスタ!$A$5:$G$1000,5,FALSE()),0))</f>
        <v/>
      </c>
      <c r="N147" s="22" t="str">
        <f aca="false">IF($D147="","",IFERROR(VLOOKUP($D147,商品マスタ!$A$5:$G$1000,6,FALSE()),0))</f>
        <v/>
      </c>
      <c r="O147" s="22" t="str">
        <f aca="false">IF($D147="","",ROUND($E147*$F147,0))</f>
        <v/>
      </c>
      <c r="P147" s="22" t="str">
        <f aca="false">IF($D147="","",$O147)</f>
        <v/>
      </c>
      <c r="Q147" s="22" t="str">
        <f aca="false">IF($A147="","",IF($S147=1,$Q146+1,$Q146))</f>
        <v/>
      </c>
      <c r="R147" s="22" t="str">
        <f aca="false">IF($A147="","",IF($Q147=$Q146,$R146+1,1))</f>
        <v/>
      </c>
      <c r="S147" s="22" t="str">
        <f aca="false">IF($A147="","",IF(AND($A147=$A146,$B147=$B146),0,1))</f>
        <v/>
      </c>
      <c r="T147" s="22" t="str">
        <f aca="false">IF($A147="","",IF($S147=1,COUNTIF($S$5:$S147,1),""))</f>
        <v/>
      </c>
      <c r="U147" s="22" t="str">
        <f aca="false">IF($D147="","",IFERROR(VLOOKUP($D147,商品マスタ!$A$5:$G$1000,7,FALSE()),0))</f>
        <v/>
      </c>
    </row>
    <row r="148" customFormat="false" ht="15" hidden="false" customHeight="true" outlineLevel="0" collapsed="false">
      <c r="A148" s="23"/>
      <c r="B148" s="14"/>
      <c r="C148" s="14"/>
      <c r="D148" s="14"/>
      <c r="E148" s="24"/>
      <c r="F148" s="24"/>
      <c r="G148" s="14"/>
      <c r="H148" s="14"/>
      <c r="I148" s="14"/>
      <c r="J148" s="22" t="str">
        <f aca="false">IF($D148="","",IFERROR(VLOOKUP($D148,商品マスタ!$A$5:$G$1000,2,FALSE()),"※商品マスタ未登録"))</f>
        <v/>
      </c>
      <c r="K148" s="22" t="str">
        <f aca="false">IF($D148="","",IFERROR(VLOOKUP($D148,商品マスタ!$A$5:$G$1000,3,FALSE()),""))</f>
        <v/>
      </c>
      <c r="L148" s="22" t="str">
        <f aca="false">IF($D148="","",IF($H148&lt;&gt;"",$H148,IFERROR(VLOOKUP($D148,商品マスタ!$A$5:$G$1000,4,FALSE()),"")))</f>
        <v/>
      </c>
      <c r="M148" s="22" t="str">
        <f aca="false">IF($D148="","",IFERROR(VLOOKUP($D148,商品マスタ!$A$5:$G$1000,5,FALSE()),0))</f>
        <v/>
      </c>
      <c r="N148" s="22" t="str">
        <f aca="false">IF($D148="","",IFERROR(VLOOKUP($D148,商品マスタ!$A$5:$G$1000,6,FALSE()),0))</f>
        <v/>
      </c>
      <c r="O148" s="22" t="str">
        <f aca="false">IF($D148="","",ROUND($E148*$F148,0))</f>
        <v/>
      </c>
      <c r="P148" s="22" t="str">
        <f aca="false">IF($D148="","",$O148)</f>
        <v/>
      </c>
      <c r="Q148" s="22" t="str">
        <f aca="false">IF($A148="","",IF($S148=1,$Q147+1,$Q147))</f>
        <v/>
      </c>
      <c r="R148" s="22" t="str">
        <f aca="false">IF($A148="","",IF($Q148=$Q147,$R147+1,1))</f>
        <v/>
      </c>
      <c r="S148" s="22" t="str">
        <f aca="false">IF($A148="","",IF(AND($A148=$A147,$B148=$B147),0,1))</f>
        <v/>
      </c>
      <c r="T148" s="22" t="str">
        <f aca="false">IF($A148="","",IF($S148=1,COUNTIF($S$5:$S148,1),""))</f>
        <v/>
      </c>
      <c r="U148" s="22" t="str">
        <f aca="false">IF($D148="","",IFERROR(VLOOKUP($D148,商品マスタ!$A$5:$G$1000,7,FALSE()),0))</f>
        <v/>
      </c>
    </row>
    <row r="149" customFormat="false" ht="15" hidden="false" customHeight="true" outlineLevel="0" collapsed="false">
      <c r="A149" s="23"/>
      <c r="B149" s="14"/>
      <c r="C149" s="14"/>
      <c r="D149" s="14"/>
      <c r="E149" s="24"/>
      <c r="F149" s="24"/>
      <c r="G149" s="14"/>
      <c r="H149" s="14"/>
      <c r="I149" s="14"/>
      <c r="J149" s="22" t="str">
        <f aca="false">IF($D149="","",IFERROR(VLOOKUP($D149,商品マスタ!$A$5:$G$1000,2,FALSE()),"※商品マスタ未登録"))</f>
        <v/>
      </c>
      <c r="K149" s="22" t="str">
        <f aca="false">IF($D149="","",IFERROR(VLOOKUP($D149,商品マスタ!$A$5:$G$1000,3,FALSE()),""))</f>
        <v/>
      </c>
      <c r="L149" s="22" t="str">
        <f aca="false">IF($D149="","",IF($H149&lt;&gt;"",$H149,IFERROR(VLOOKUP($D149,商品マスタ!$A$5:$G$1000,4,FALSE()),"")))</f>
        <v/>
      </c>
      <c r="M149" s="22" t="str">
        <f aca="false">IF($D149="","",IFERROR(VLOOKUP($D149,商品マスタ!$A$5:$G$1000,5,FALSE()),0))</f>
        <v/>
      </c>
      <c r="N149" s="22" t="str">
        <f aca="false">IF($D149="","",IFERROR(VLOOKUP($D149,商品マスタ!$A$5:$G$1000,6,FALSE()),0))</f>
        <v/>
      </c>
      <c r="O149" s="22" t="str">
        <f aca="false">IF($D149="","",ROUND($E149*$F149,0))</f>
        <v/>
      </c>
      <c r="P149" s="22" t="str">
        <f aca="false">IF($D149="","",$O149)</f>
        <v/>
      </c>
      <c r="Q149" s="22" t="str">
        <f aca="false">IF($A149="","",IF($S149=1,$Q148+1,$Q148))</f>
        <v/>
      </c>
      <c r="R149" s="22" t="str">
        <f aca="false">IF($A149="","",IF($Q149=$Q148,$R148+1,1))</f>
        <v/>
      </c>
      <c r="S149" s="22" t="str">
        <f aca="false">IF($A149="","",IF(AND($A149=$A148,$B149=$B148),0,1))</f>
        <v/>
      </c>
      <c r="T149" s="22" t="str">
        <f aca="false">IF($A149="","",IF($S149=1,COUNTIF($S$5:$S149,1),""))</f>
        <v/>
      </c>
      <c r="U149" s="22" t="str">
        <f aca="false">IF($D149="","",IFERROR(VLOOKUP($D149,商品マスタ!$A$5:$G$1000,7,FALSE()),0))</f>
        <v/>
      </c>
    </row>
    <row r="150" customFormat="false" ht="15" hidden="false" customHeight="true" outlineLevel="0" collapsed="false">
      <c r="A150" s="23"/>
      <c r="B150" s="14"/>
      <c r="C150" s="14"/>
      <c r="D150" s="14"/>
      <c r="E150" s="24"/>
      <c r="F150" s="24"/>
      <c r="G150" s="14"/>
      <c r="H150" s="14"/>
      <c r="I150" s="14"/>
      <c r="J150" s="22" t="str">
        <f aca="false">IF($D150="","",IFERROR(VLOOKUP($D150,商品マスタ!$A$5:$G$1000,2,FALSE()),"※商品マスタ未登録"))</f>
        <v/>
      </c>
      <c r="K150" s="22" t="str">
        <f aca="false">IF($D150="","",IFERROR(VLOOKUP($D150,商品マスタ!$A$5:$G$1000,3,FALSE()),""))</f>
        <v/>
      </c>
      <c r="L150" s="22" t="str">
        <f aca="false">IF($D150="","",IF($H150&lt;&gt;"",$H150,IFERROR(VLOOKUP($D150,商品マスタ!$A$5:$G$1000,4,FALSE()),"")))</f>
        <v/>
      </c>
      <c r="M150" s="22" t="str">
        <f aca="false">IF($D150="","",IFERROR(VLOOKUP($D150,商品マスタ!$A$5:$G$1000,5,FALSE()),0))</f>
        <v/>
      </c>
      <c r="N150" s="22" t="str">
        <f aca="false">IF($D150="","",IFERROR(VLOOKUP($D150,商品マスタ!$A$5:$G$1000,6,FALSE()),0))</f>
        <v/>
      </c>
      <c r="O150" s="22" t="str">
        <f aca="false">IF($D150="","",ROUND($E150*$F150,0))</f>
        <v/>
      </c>
      <c r="P150" s="22" t="str">
        <f aca="false">IF($D150="","",$O150)</f>
        <v/>
      </c>
      <c r="Q150" s="22" t="str">
        <f aca="false">IF($A150="","",IF($S150=1,$Q149+1,$Q149))</f>
        <v/>
      </c>
      <c r="R150" s="22" t="str">
        <f aca="false">IF($A150="","",IF($Q150=$Q149,$R149+1,1))</f>
        <v/>
      </c>
      <c r="S150" s="22" t="str">
        <f aca="false">IF($A150="","",IF(AND($A150=$A149,$B150=$B149),0,1))</f>
        <v/>
      </c>
      <c r="T150" s="22" t="str">
        <f aca="false">IF($A150="","",IF($S150=1,COUNTIF($S$5:$S150,1),""))</f>
        <v/>
      </c>
      <c r="U150" s="22" t="str">
        <f aca="false">IF($D150="","",IFERROR(VLOOKUP($D150,商品マスタ!$A$5:$G$1000,7,FALSE()),0))</f>
        <v/>
      </c>
    </row>
    <row r="151" customFormat="false" ht="15" hidden="false" customHeight="true" outlineLevel="0" collapsed="false">
      <c r="A151" s="23"/>
      <c r="B151" s="14"/>
      <c r="C151" s="14"/>
      <c r="D151" s="14"/>
      <c r="E151" s="24"/>
      <c r="F151" s="24"/>
      <c r="G151" s="14"/>
      <c r="H151" s="14"/>
      <c r="I151" s="14"/>
      <c r="J151" s="22" t="str">
        <f aca="false">IF($D151="","",IFERROR(VLOOKUP($D151,商品マスタ!$A$5:$G$1000,2,FALSE()),"※商品マスタ未登録"))</f>
        <v/>
      </c>
      <c r="K151" s="22" t="str">
        <f aca="false">IF($D151="","",IFERROR(VLOOKUP($D151,商品マスタ!$A$5:$G$1000,3,FALSE()),""))</f>
        <v/>
      </c>
      <c r="L151" s="22" t="str">
        <f aca="false">IF($D151="","",IF($H151&lt;&gt;"",$H151,IFERROR(VLOOKUP($D151,商品マスタ!$A$5:$G$1000,4,FALSE()),"")))</f>
        <v/>
      </c>
      <c r="M151" s="22" t="str">
        <f aca="false">IF($D151="","",IFERROR(VLOOKUP($D151,商品マスタ!$A$5:$G$1000,5,FALSE()),0))</f>
        <v/>
      </c>
      <c r="N151" s="22" t="str">
        <f aca="false">IF($D151="","",IFERROR(VLOOKUP($D151,商品マスタ!$A$5:$G$1000,6,FALSE()),0))</f>
        <v/>
      </c>
      <c r="O151" s="22" t="str">
        <f aca="false">IF($D151="","",ROUND($E151*$F151,0))</f>
        <v/>
      </c>
      <c r="P151" s="22" t="str">
        <f aca="false">IF($D151="","",$O151)</f>
        <v/>
      </c>
      <c r="Q151" s="22" t="str">
        <f aca="false">IF($A151="","",IF($S151=1,$Q150+1,$Q150))</f>
        <v/>
      </c>
      <c r="R151" s="22" t="str">
        <f aca="false">IF($A151="","",IF($Q151=$Q150,$R150+1,1))</f>
        <v/>
      </c>
      <c r="S151" s="22" t="str">
        <f aca="false">IF($A151="","",IF(AND($A151=$A150,$B151=$B150),0,1))</f>
        <v/>
      </c>
      <c r="T151" s="22" t="str">
        <f aca="false">IF($A151="","",IF($S151=1,COUNTIF($S$5:$S151,1),""))</f>
        <v/>
      </c>
      <c r="U151" s="22" t="str">
        <f aca="false">IF($D151="","",IFERROR(VLOOKUP($D151,商品マスタ!$A$5:$G$1000,7,FALSE()),0))</f>
        <v/>
      </c>
    </row>
    <row r="152" customFormat="false" ht="15" hidden="false" customHeight="true" outlineLevel="0" collapsed="false">
      <c r="A152" s="23"/>
      <c r="B152" s="14"/>
      <c r="C152" s="14"/>
      <c r="D152" s="14"/>
      <c r="E152" s="24"/>
      <c r="F152" s="24"/>
      <c r="G152" s="14"/>
      <c r="H152" s="14"/>
      <c r="I152" s="14"/>
      <c r="J152" s="22" t="str">
        <f aca="false">IF($D152="","",IFERROR(VLOOKUP($D152,商品マスタ!$A$5:$G$1000,2,FALSE()),"※商品マスタ未登録"))</f>
        <v/>
      </c>
      <c r="K152" s="22" t="str">
        <f aca="false">IF($D152="","",IFERROR(VLOOKUP($D152,商品マスタ!$A$5:$G$1000,3,FALSE()),""))</f>
        <v/>
      </c>
      <c r="L152" s="22" t="str">
        <f aca="false">IF($D152="","",IF($H152&lt;&gt;"",$H152,IFERROR(VLOOKUP($D152,商品マスタ!$A$5:$G$1000,4,FALSE()),"")))</f>
        <v/>
      </c>
      <c r="M152" s="22" t="str">
        <f aca="false">IF($D152="","",IFERROR(VLOOKUP($D152,商品マスタ!$A$5:$G$1000,5,FALSE()),0))</f>
        <v/>
      </c>
      <c r="N152" s="22" t="str">
        <f aca="false">IF($D152="","",IFERROR(VLOOKUP($D152,商品マスタ!$A$5:$G$1000,6,FALSE()),0))</f>
        <v/>
      </c>
      <c r="O152" s="22" t="str">
        <f aca="false">IF($D152="","",ROUND($E152*$F152,0))</f>
        <v/>
      </c>
      <c r="P152" s="22" t="str">
        <f aca="false">IF($D152="","",$O152)</f>
        <v/>
      </c>
      <c r="Q152" s="22" t="str">
        <f aca="false">IF($A152="","",IF($S152=1,$Q151+1,$Q151))</f>
        <v/>
      </c>
      <c r="R152" s="22" t="str">
        <f aca="false">IF($A152="","",IF($Q152=$Q151,$R151+1,1))</f>
        <v/>
      </c>
      <c r="S152" s="22" t="str">
        <f aca="false">IF($A152="","",IF(AND($A152=$A151,$B152=$B151),0,1))</f>
        <v/>
      </c>
      <c r="T152" s="22" t="str">
        <f aca="false">IF($A152="","",IF($S152=1,COUNTIF($S$5:$S152,1),""))</f>
        <v/>
      </c>
      <c r="U152" s="22" t="str">
        <f aca="false">IF($D152="","",IFERROR(VLOOKUP($D152,商品マスタ!$A$5:$G$1000,7,FALSE()),0))</f>
        <v/>
      </c>
    </row>
    <row r="153" customFormat="false" ht="15" hidden="false" customHeight="true" outlineLevel="0" collapsed="false">
      <c r="A153" s="23"/>
      <c r="B153" s="14"/>
      <c r="C153" s="14"/>
      <c r="D153" s="14"/>
      <c r="E153" s="24"/>
      <c r="F153" s="24"/>
      <c r="G153" s="14"/>
      <c r="H153" s="14"/>
      <c r="I153" s="14"/>
      <c r="J153" s="22" t="str">
        <f aca="false">IF($D153="","",IFERROR(VLOOKUP($D153,商品マスタ!$A$5:$G$1000,2,FALSE()),"※商品マスタ未登録"))</f>
        <v/>
      </c>
      <c r="K153" s="22" t="str">
        <f aca="false">IF($D153="","",IFERROR(VLOOKUP($D153,商品マスタ!$A$5:$G$1000,3,FALSE()),""))</f>
        <v/>
      </c>
      <c r="L153" s="22" t="str">
        <f aca="false">IF($D153="","",IF($H153&lt;&gt;"",$H153,IFERROR(VLOOKUP($D153,商品マスタ!$A$5:$G$1000,4,FALSE()),"")))</f>
        <v/>
      </c>
      <c r="M153" s="22" t="str">
        <f aca="false">IF($D153="","",IFERROR(VLOOKUP($D153,商品マスタ!$A$5:$G$1000,5,FALSE()),0))</f>
        <v/>
      </c>
      <c r="N153" s="22" t="str">
        <f aca="false">IF($D153="","",IFERROR(VLOOKUP($D153,商品マスタ!$A$5:$G$1000,6,FALSE()),0))</f>
        <v/>
      </c>
      <c r="O153" s="22" t="str">
        <f aca="false">IF($D153="","",ROUND($E153*$F153,0))</f>
        <v/>
      </c>
      <c r="P153" s="22" t="str">
        <f aca="false">IF($D153="","",$O153)</f>
        <v/>
      </c>
      <c r="Q153" s="22" t="str">
        <f aca="false">IF($A153="","",IF($S153=1,$Q152+1,$Q152))</f>
        <v/>
      </c>
      <c r="R153" s="22" t="str">
        <f aca="false">IF($A153="","",IF($Q153=$Q152,$R152+1,1))</f>
        <v/>
      </c>
      <c r="S153" s="22" t="str">
        <f aca="false">IF($A153="","",IF(AND($A153=$A152,$B153=$B152),0,1))</f>
        <v/>
      </c>
      <c r="T153" s="22" t="str">
        <f aca="false">IF($A153="","",IF($S153=1,COUNTIF($S$5:$S153,1),""))</f>
        <v/>
      </c>
      <c r="U153" s="22" t="str">
        <f aca="false">IF($D153="","",IFERROR(VLOOKUP($D153,商品マスタ!$A$5:$G$1000,7,FALSE()),0))</f>
        <v/>
      </c>
    </row>
    <row r="154" customFormat="false" ht="15" hidden="false" customHeight="true" outlineLevel="0" collapsed="false">
      <c r="A154" s="23"/>
      <c r="B154" s="14"/>
      <c r="C154" s="14"/>
      <c r="D154" s="14"/>
      <c r="E154" s="24"/>
      <c r="F154" s="24"/>
      <c r="G154" s="14"/>
      <c r="H154" s="14"/>
      <c r="I154" s="14"/>
      <c r="J154" s="22" t="str">
        <f aca="false">IF($D154="","",IFERROR(VLOOKUP($D154,商品マスタ!$A$5:$G$1000,2,FALSE()),"※商品マスタ未登録"))</f>
        <v/>
      </c>
      <c r="K154" s="22" t="str">
        <f aca="false">IF($D154="","",IFERROR(VLOOKUP($D154,商品マスタ!$A$5:$G$1000,3,FALSE()),""))</f>
        <v/>
      </c>
      <c r="L154" s="22" t="str">
        <f aca="false">IF($D154="","",IF($H154&lt;&gt;"",$H154,IFERROR(VLOOKUP($D154,商品マスタ!$A$5:$G$1000,4,FALSE()),"")))</f>
        <v/>
      </c>
      <c r="M154" s="22" t="str">
        <f aca="false">IF($D154="","",IFERROR(VLOOKUP($D154,商品マスタ!$A$5:$G$1000,5,FALSE()),0))</f>
        <v/>
      </c>
      <c r="N154" s="22" t="str">
        <f aca="false">IF($D154="","",IFERROR(VLOOKUP($D154,商品マスタ!$A$5:$G$1000,6,FALSE()),0))</f>
        <v/>
      </c>
      <c r="O154" s="22" t="str">
        <f aca="false">IF($D154="","",ROUND($E154*$F154,0))</f>
        <v/>
      </c>
      <c r="P154" s="22" t="str">
        <f aca="false">IF($D154="","",$O154)</f>
        <v/>
      </c>
      <c r="Q154" s="22" t="str">
        <f aca="false">IF($A154="","",IF($S154=1,$Q153+1,$Q153))</f>
        <v/>
      </c>
      <c r="R154" s="22" t="str">
        <f aca="false">IF($A154="","",IF($Q154=$Q153,$R153+1,1))</f>
        <v/>
      </c>
      <c r="S154" s="22" t="str">
        <f aca="false">IF($A154="","",IF(AND($A154=$A153,$B154=$B153),0,1))</f>
        <v/>
      </c>
      <c r="T154" s="22" t="str">
        <f aca="false">IF($A154="","",IF($S154=1,COUNTIF($S$5:$S154,1),""))</f>
        <v/>
      </c>
      <c r="U154" s="22" t="str">
        <f aca="false">IF($D154="","",IFERROR(VLOOKUP($D154,商品マスタ!$A$5:$G$1000,7,FALSE()),0))</f>
        <v/>
      </c>
    </row>
    <row r="155" customFormat="false" ht="15" hidden="false" customHeight="true" outlineLevel="0" collapsed="false">
      <c r="A155" s="23"/>
      <c r="B155" s="14"/>
      <c r="C155" s="14"/>
      <c r="D155" s="14"/>
      <c r="E155" s="24"/>
      <c r="F155" s="24"/>
      <c r="G155" s="14"/>
      <c r="H155" s="14"/>
      <c r="I155" s="14"/>
      <c r="J155" s="22" t="str">
        <f aca="false">IF($D155="","",IFERROR(VLOOKUP($D155,商品マスタ!$A$5:$G$1000,2,FALSE()),"※商品マスタ未登録"))</f>
        <v/>
      </c>
      <c r="K155" s="22" t="str">
        <f aca="false">IF($D155="","",IFERROR(VLOOKUP($D155,商品マスタ!$A$5:$G$1000,3,FALSE()),""))</f>
        <v/>
      </c>
      <c r="L155" s="22" t="str">
        <f aca="false">IF($D155="","",IF($H155&lt;&gt;"",$H155,IFERROR(VLOOKUP($D155,商品マスタ!$A$5:$G$1000,4,FALSE()),"")))</f>
        <v/>
      </c>
      <c r="M155" s="22" t="str">
        <f aca="false">IF($D155="","",IFERROR(VLOOKUP($D155,商品マスタ!$A$5:$G$1000,5,FALSE()),0))</f>
        <v/>
      </c>
      <c r="N155" s="22" t="str">
        <f aca="false">IF($D155="","",IFERROR(VLOOKUP($D155,商品マスタ!$A$5:$G$1000,6,FALSE()),0))</f>
        <v/>
      </c>
      <c r="O155" s="22" t="str">
        <f aca="false">IF($D155="","",ROUND($E155*$F155,0))</f>
        <v/>
      </c>
      <c r="P155" s="22" t="str">
        <f aca="false">IF($D155="","",$O155)</f>
        <v/>
      </c>
      <c r="Q155" s="22" t="str">
        <f aca="false">IF($A155="","",IF($S155=1,$Q154+1,$Q154))</f>
        <v/>
      </c>
      <c r="R155" s="22" t="str">
        <f aca="false">IF($A155="","",IF($Q155=$Q154,$R154+1,1))</f>
        <v/>
      </c>
      <c r="S155" s="22" t="str">
        <f aca="false">IF($A155="","",IF(AND($A155=$A154,$B155=$B154),0,1))</f>
        <v/>
      </c>
      <c r="T155" s="22" t="str">
        <f aca="false">IF($A155="","",IF($S155=1,COUNTIF($S$5:$S155,1),""))</f>
        <v/>
      </c>
      <c r="U155" s="22" t="str">
        <f aca="false">IF($D155="","",IFERROR(VLOOKUP($D155,商品マスタ!$A$5:$G$1000,7,FALSE()),0))</f>
        <v/>
      </c>
    </row>
    <row r="156" customFormat="false" ht="15" hidden="false" customHeight="true" outlineLevel="0" collapsed="false">
      <c r="A156" s="23"/>
      <c r="B156" s="14"/>
      <c r="C156" s="14"/>
      <c r="D156" s="14"/>
      <c r="E156" s="24"/>
      <c r="F156" s="24"/>
      <c r="G156" s="14"/>
      <c r="H156" s="14"/>
      <c r="I156" s="14"/>
      <c r="J156" s="22" t="str">
        <f aca="false">IF($D156="","",IFERROR(VLOOKUP($D156,商品マスタ!$A$5:$G$1000,2,FALSE()),"※商品マスタ未登録"))</f>
        <v/>
      </c>
      <c r="K156" s="22" t="str">
        <f aca="false">IF($D156="","",IFERROR(VLOOKUP($D156,商品マスタ!$A$5:$G$1000,3,FALSE()),""))</f>
        <v/>
      </c>
      <c r="L156" s="22" t="str">
        <f aca="false">IF($D156="","",IF($H156&lt;&gt;"",$H156,IFERROR(VLOOKUP($D156,商品マスタ!$A$5:$G$1000,4,FALSE()),"")))</f>
        <v/>
      </c>
      <c r="M156" s="22" t="str">
        <f aca="false">IF($D156="","",IFERROR(VLOOKUP($D156,商品マスタ!$A$5:$G$1000,5,FALSE()),0))</f>
        <v/>
      </c>
      <c r="N156" s="22" t="str">
        <f aca="false">IF($D156="","",IFERROR(VLOOKUP($D156,商品マスタ!$A$5:$G$1000,6,FALSE()),0))</f>
        <v/>
      </c>
      <c r="O156" s="22" t="str">
        <f aca="false">IF($D156="","",ROUND($E156*$F156,0))</f>
        <v/>
      </c>
      <c r="P156" s="22" t="str">
        <f aca="false">IF($D156="","",$O156)</f>
        <v/>
      </c>
      <c r="Q156" s="22" t="str">
        <f aca="false">IF($A156="","",IF($S156=1,$Q155+1,$Q155))</f>
        <v/>
      </c>
      <c r="R156" s="22" t="str">
        <f aca="false">IF($A156="","",IF($Q156=$Q155,$R155+1,1))</f>
        <v/>
      </c>
      <c r="S156" s="22" t="str">
        <f aca="false">IF($A156="","",IF(AND($A156=$A155,$B156=$B155),0,1))</f>
        <v/>
      </c>
      <c r="T156" s="22" t="str">
        <f aca="false">IF($A156="","",IF($S156=1,COUNTIF($S$5:$S156,1),""))</f>
        <v/>
      </c>
      <c r="U156" s="22" t="str">
        <f aca="false">IF($D156="","",IFERROR(VLOOKUP($D156,商品マスタ!$A$5:$G$1000,7,FALSE()),0))</f>
        <v/>
      </c>
    </row>
    <row r="157" customFormat="false" ht="15" hidden="false" customHeight="true" outlineLevel="0" collapsed="false">
      <c r="A157" s="23"/>
      <c r="B157" s="14"/>
      <c r="C157" s="14"/>
      <c r="D157" s="14"/>
      <c r="E157" s="24"/>
      <c r="F157" s="24"/>
      <c r="G157" s="14"/>
      <c r="H157" s="14"/>
      <c r="I157" s="14"/>
      <c r="J157" s="22" t="str">
        <f aca="false">IF($D157="","",IFERROR(VLOOKUP($D157,商品マスタ!$A$5:$G$1000,2,FALSE()),"※商品マスタ未登録"))</f>
        <v/>
      </c>
      <c r="K157" s="22" t="str">
        <f aca="false">IF($D157="","",IFERROR(VLOOKUP($D157,商品マスタ!$A$5:$G$1000,3,FALSE()),""))</f>
        <v/>
      </c>
      <c r="L157" s="22" t="str">
        <f aca="false">IF($D157="","",IF($H157&lt;&gt;"",$H157,IFERROR(VLOOKUP($D157,商品マスタ!$A$5:$G$1000,4,FALSE()),"")))</f>
        <v/>
      </c>
      <c r="M157" s="22" t="str">
        <f aca="false">IF($D157="","",IFERROR(VLOOKUP($D157,商品マスタ!$A$5:$G$1000,5,FALSE()),0))</f>
        <v/>
      </c>
      <c r="N157" s="22" t="str">
        <f aca="false">IF($D157="","",IFERROR(VLOOKUP($D157,商品マスタ!$A$5:$G$1000,6,FALSE()),0))</f>
        <v/>
      </c>
      <c r="O157" s="22" t="str">
        <f aca="false">IF($D157="","",ROUND($E157*$F157,0))</f>
        <v/>
      </c>
      <c r="P157" s="22" t="str">
        <f aca="false">IF($D157="","",$O157)</f>
        <v/>
      </c>
      <c r="Q157" s="22" t="str">
        <f aca="false">IF($A157="","",IF($S157=1,$Q156+1,$Q156))</f>
        <v/>
      </c>
      <c r="R157" s="22" t="str">
        <f aca="false">IF($A157="","",IF($Q157=$Q156,$R156+1,1))</f>
        <v/>
      </c>
      <c r="S157" s="22" t="str">
        <f aca="false">IF($A157="","",IF(AND($A157=$A156,$B157=$B156),0,1))</f>
        <v/>
      </c>
      <c r="T157" s="22" t="str">
        <f aca="false">IF($A157="","",IF($S157=1,COUNTIF($S$5:$S157,1),""))</f>
        <v/>
      </c>
      <c r="U157" s="22" t="str">
        <f aca="false">IF($D157="","",IFERROR(VLOOKUP($D157,商品マスタ!$A$5:$G$1000,7,FALSE()),0))</f>
        <v/>
      </c>
    </row>
    <row r="158" customFormat="false" ht="15" hidden="false" customHeight="true" outlineLevel="0" collapsed="false">
      <c r="A158" s="23"/>
      <c r="B158" s="14"/>
      <c r="C158" s="14"/>
      <c r="D158" s="14"/>
      <c r="E158" s="24"/>
      <c r="F158" s="24"/>
      <c r="G158" s="14"/>
      <c r="H158" s="14"/>
      <c r="I158" s="14"/>
      <c r="J158" s="22" t="str">
        <f aca="false">IF($D158="","",IFERROR(VLOOKUP($D158,商品マスタ!$A$5:$G$1000,2,FALSE()),"※商品マスタ未登録"))</f>
        <v/>
      </c>
      <c r="K158" s="22" t="str">
        <f aca="false">IF($D158="","",IFERROR(VLOOKUP($D158,商品マスタ!$A$5:$G$1000,3,FALSE()),""))</f>
        <v/>
      </c>
      <c r="L158" s="22" t="str">
        <f aca="false">IF($D158="","",IF($H158&lt;&gt;"",$H158,IFERROR(VLOOKUP($D158,商品マスタ!$A$5:$G$1000,4,FALSE()),"")))</f>
        <v/>
      </c>
      <c r="M158" s="22" t="str">
        <f aca="false">IF($D158="","",IFERROR(VLOOKUP($D158,商品マスタ!$A$5:$G$1000,5,FALSE()),0))</f>
        <v/>
      </c>
      <c r="N158" s="22" t="str">
        <f aca="false">IF($D158="","",IFERROR(VLOOKUP($D158,商品マスタ!$A$5:$G$1000,6,FALSE()),0))</f>
        <v/>
      </c>
      <c r="O158" s="22" t="str">
        <f aca="false">IF($D158="","",ROUND($E158*$F158,0))</f>
        <v/>
      </c>
      <c r="P158" s="22" t="str">
        <f aca="false">IF($D158="","",$O158)</f>
        <v/>
      </c>
      <c r="Q158" s="22" t="str">
        <f aca="false">IF($A158="","",IF($S158=1,$Q157+1,$Q157))</f>
        <v/>
      </c>
      <c r="R158" s="22" t="str">
        <f aca="false">IF($A158="","",IF($Q158=$Q157,$R157+1,1))</f>
        <v/>
      </c>
      <c r="S158" s="22" t="str">
        <f aca="false">IF($A158="","",IF(AND($A158=$A157,$B158=$B157),0,1))</f>
        <v/>
      </c>
      <c r="T158" s="22" t="str">
        <f aca="false">IF($A158="","",IF($S158=1,COUNTIF($S$5:$S158,1),""))</f>
        <v/>
      </c>
      <c r="U158" s="22" t="str">
        <f aca="false">IF($D158="","",IFERROR(VLOOKUP($D158,商品マスタ!$A$5:$G$1000,7,FALSE()),0))</f>
        <v/>
      </c>
    </row>
    <row r="159" customFormat="false" ht="15" hidden="false" customHeight="true" outlineLevel="0" collapsed="false">
      <c r="A159" s="23"/>
      <c r="B159" s="14"/>
      <c r="C159" s="14"/>
      <c r="D159" s="14"/>
      <c r="E159" s="24"/>
      <c r="F159" s="24"/>
      <c r="G159" s="14"/>
      <c r="H159" s="14"/>
      <c r="I159" s="14"/>
      <c r="J159" s="22" t="str">
        <f aca="false">IF($D159="","",IFERROR(VLOOKUP($D159,商品マスタ!$A$5:$G$1000,2,FALSE()),"※商品マスタ未登録"))</f>
        <v/>
      </c>
      <c r="K159" s="22" t="str">
        <f aca="false">IF($D159="","",IFERROR(VLOOKUP($D159,商品マスタ!$A$5:$G$1000,3,FALSE()),""))</f>
        <v/>
      </c>
      <c r="L159" s="22" t="str">
        <f aca="false">IF($D159="","",IF($H159&lt;&gt;"",$H159,IFERROR(VLOOKUP($D159,商品マスタ!$A$5:$G$1000,4,FALSE()),"")))</f>
        <v/>
      </c>
      <c r="M159" s="22" t="str">
        <f aca="false">IF($D159="","",IFERROR(VLOOKUP($D159,商品マスタ!$A$5:$G$1000,5,FALSE()),0))</f>
        <v/>
      </c>
      <c r="N159" s="22" t="str">
        <f aca="false">IF($D159="","",IFERROR(VLOOKUP($D159,商品マスタ!$A$5:$G$1000,6,FALSE()),0))</f>
        <v/>
      </c>
      <c r="O159" s="22" t="str">
        <f aca="false">IF($D159="","",ROUND($E159*$F159,0))</f>
        <v/>
      </c>
      <c r="P159" s="22" t="str">
        <f aca="false">IF($D159="","",$O159)</f>
        <v/>
      </c>
      <c r="Q159" s="22" t="str">
        <f aca="false">IF($A159="","",IF($S159=1,$Q158+1,$Q158))</f>
        <v/>
      </c>
      <c r="R159" s="22" t="str">
        <f aca="false">IF($A159="","",IF($Q159=$Q158,$R158+1,1))</f>
        <v/>
      </c>
      <c r="S159" s="22" t="str">
        <f aca="false">IF($A159="","",IF(AND($A159=$A158,$B159=$B158),0,1))</f>
        <v/>
      </c>
      <c r="T159" s="22" t="str">
        <f aca="false">IF($A159="","",IF($S159=1,COUNTIF($S$5:$S159,1),""))</f>
        <v/>
      </c>
      <c r="U159" s="22" t="str">
        <f aca="false">IF($D159="","",IFERROR(VLOOKUP($D159,商品マスタ!$A$5:$G$1000,7,FALSE()),0))</f>
        <v/>
      </c>
    </row>
    <row r="160" customFormat="false" ht="15" hidden="false" customHeight="true" outlineLevel="0" collapsed="false">
      <c r="A160" s="23"/>
      <c r="B160" s="14"/>
      <c r="C160" s="14"/>
      <c r="D160" s="14"/>
      <c r="E160" s="24"/>
      <c r="F160" s="24"/>
      <c r="G160" s="14"/>
      <c r="H160" s="14"/>
      <c r="I160" s="14"/>
      <c r="J160" s="22" t="str">
        <f aca="false">IF($D160="","",IFERROR(VLOOKUP($D160,商品マスタ!$A$5:$G$1000,2,FALSE()),"※商品マスタ未登録"))</f>
        <v/>
      </c>
      <c r="K160" s="22" t="str">
        <f aca="false">IF($D160="","",IFERROR(VLOOKUP($D160,商品マスタ!$A$5:$G$1000,3,FALSE()),""))</f>
        <v/>
      </c>
      <c r="L160" s="22" t="str">
        <f aca="false">IF($D160="","",IF($H160&lt;&gt;"",$H160,IFERROR(VLOOKUP($D160,商品マスタ!$A$5:$G$1000,4,FALSE()),"")))</f>
        <v/>
      </c>
      <c r="M160" s="22" t="str">
        <f aca="false">IF($D160="","",IFERROR(VLOOKUP($D160,商品マスタ!$A$5:$G$1000,5,FALSE()),0))</f>
        <v/>
      </c>
      <c r="N160" s="22" t="str">
        <f aca="false">IF($D160="","",IFERROR(VLOOKUP($D160,商品マスタ!$A$5:$G$1000,6,FALSE()),0))</f>
        <v/>
      </c>
      <c r="O160" s="22" t="str">
        <f aca="false">IF($D160="","",ROUND($E160*$F160,0))</f>
        <v/>
      </c>
      <c r="P160" s="22" t="str">
        <f aca="false">IF($D160="","",$O160)</f>
        <v/>
      </c>
      <c r="Q160" s="22" t="str">
        <f aca="false">IF($A160="","",IF($S160=1,$Q159+1,$Q159))</f>
        <v/>
      </c>
      <c r="R160" s="22" t="str">
        <f aca="false">IF($A160="","",IF($Q160=$Q159,$R159+1,1))</f>
        <v/>
      </c>
      <c r="S160" s="22" t="str">
        <f aca="false">IF($A160="","",IF(AND($A160=$A159,$B160=$B159),0,1))</f>
        <v/>
      </c>
      <c r="T160" s="22" t="str">
        <f aca="false">IF($A160="","",IF($S160=1,COUNTIF($S$5:$S160,1),""))</f>
        <v/>
      </c>
      <c r="U160" s="22" t="str">
        <f aca="false">IF($D160="","",IFERROR(VLOOKUP($D160,商品マスタ!$A$5:$G$1000,7,FALSE()),0))</f>
        <v/>
      </c>
    </row>
    <row r="161" customFormat="false" ht="15" hidden="false" customHeight="true" outlineLevel="0" collapsed="false">
      <c r="A161" s="23"/>
      <c r="B161" s="14"/>
      <c r="C161" s="14"/>
      <c r="D161" s="14"/>
      <c r="E161" s="24"/>
      <c r="F161" s="24"/>
      <c r="G161" s="14"/>
      <c r="H161" s="14"/>
      <c r="I161" s="14"/>
      <c r="J161" s="22" t="str">
        <f aca="false">IF($D161="","",IFERROR(VLOOKUP($D161,商品マスタ!$A$5:$G$1000,2,FALSE()),"※商品マスタ未登録"))</f>
        <v/>
      </c>
      <c r="K161" s="22" t="str">
        <f aca="false">IF($D161="","",IFERROR(VLOOKUP($D161,商品マスタ!$A$5:$G$1000,3,FALSE()),""))</f>
        <v/>
      </c>
      <c r="L161" s="22" t="str">
        <f aca="false">IF($D161="","",IF($H161&lt;&gt;"",$H161,IFERROR(VLOOKUP($D161,商品マスタ!$A$5:$G$1000,4,FALSE()),"")))</f>
        <v/>
      </c>
      <c r="M161" s="22" t="str">
        <f aca="false">IF($D161="","",IFERROR(VLOOKUP($D161,商品マスタ!$A$5:$G$1000,5,FALSE()),0))</f>
        <v/>
      </c>
      <c r="N161" s="22" t="str">
        <f aca="false">IF($D161="","",IFERROR(VLOOKUP($D161,商品マスタ!$A$5:$G$1000,6,FALSE()),0))</f>
        <v/>
      </c>
      <c r="O161" s="22" t="str">
        <f aca="false">IF($D161="","",ROUND($E161*$F161,0))</f>
        <v/>
      </c>
      <c r="P161" s="22" t="str">
        <f aca="false">IF($D161="","",$O161)</f>
        <v/>
      </c>
      <c r="Q161" s="22" t="str">
        <f aca="false">IF($A161="","",IF($S161=1,$Q160+1,$Q160))</f>
        <v/>
      </c>
      <c r="R161" s="22" t="str">
        <f aca="false">IF($A161="","",IF($Q161=$Q160,$R160+1,1))</f>
        <v/>
      </c>
      <c r="S161" s="22" t="str">
        <f aca="false">IF($A161="","",IF(AND($A161=$A160,$B161=$B160),0,1))</f>
        <v/>
      </c>
      <c r="T161" s="22" t="str">
        <f aca="false">IF($A161="","",IF($S161=1,COUNTIF($S$5:$S161,1),""))</f>
        <v/>
      </c>
      <c r="U161" s="22" t="str">
        <f aca="false">IF($D161="","",IFERROR(VLOOKUP($D161,商品マスタ!$A$5:$G$1000,7,FALSE()),0))</f>
        <v/>
      </c>
    </row>
    <row r="162" customFormat="false" ht="15" hidden="false" customHeight="true" outlineLevel="0" collapsed="false">
      <c r="A162" s="23"/>
      <c r="B162" s="14"/>
      <c r="C162" s="14"/>
      <c r="D162" s="14"/>
      <c r="E162" s="24"/>
      <c r="F162" s="24"/>
      <c r="G162" s="14"/>
      <c r="H162" s="14"/>
      <c r="I162" s="14"/>
      <c r="J162" s="22" t="str">
        <f aca="false">IF($D162="","",IFERROR(VLOOKUP($D162,商品マスタ!$A$5:$G$1000,2,FALSE()),"※商品マスタ未登録"))</f>
        <v/>
      </c>
      <c r="K162" s="22" t="str">
        <f aca="false">IF($D162="","",IFERROR(VLOOKUP($D162,商品マスタ!$A$5:$G$1000,3,FALSE()),""))</f>
        <v/>
      </c>
      <c r="L162" s="22" t="str">
        <f aca="false">IF($D162="","",IF($H162&lt;&gt;"",$H162,IFERROR(VLOOKUP($D162,商品マスタ!$A$5:$G$1000,4,FALSE()),"")))</f>
        <v/>
      </c>
      <c r="M162" s="22" t="str">
        <f aca="false">IF($D162="","",IFERROR(VLOOKUP($D162,商品マスタ!$A$5:$G$1000,5,FALSE()),0))</f>
        <v/>
      </c>
      <c r="N162" s="22" t="str">
        <f aca="false">IF($D162="","",IFERROR(VLOOKUP($D162,商品マスタ!$A$5:$G$1000,6,FALSE()),0))</f>
        <v/>
      </c>
      <c r="O162" s="22" t="str">
        <f aca="false">IF($D162="","",ROUND($E162*$F162,0))</f>
        <v/>
      </c>
      <c r="P162" s="22" t="str">
        <f aca="false">IF($D162="","",$O162)</f>
        <v/>
      </c>
      <c r="Q162" s="22" t="str">
        <f aca="false">IF($A162="","",IF($S162=1,$Q161+1,$Q161))</f>
        <v/>
      </c>
      <c r="R162" s="22" t="str">
        <f aca="false">IF($A162="","",IF($Q162=$Q161,$R161+1,1))</f>
        <v/>
      </c>
      <c r="S162" s="22" t="str">
        <f aca="false">IF($A162="","",IF(AND($A162=$A161,$B162=$B161),0,1))</f>
        <v/>
      </c>
      <c r="T162" s="22" t="str">
        <f aca="false">IF($A162="","",IF($S162=1,COUNTIF($S$5:$S162,1),""))</f>
        <v/>
      </c>
      <c r="U162" s="22" t="str">
        <f aca="false">IF($D162="","",IFERROR(VLOOKUP($D162,商品マスタ!$A$5:$G$1000,7,FALSE()),0))</f>
        <v/>
      </c>
    </row>
    <row r="163" customFormat="false" ht="15" hidden="false" customHeight="true" outlineLevel="0" collapsed="false">
      <c r="A163" s="23"/>
      <c r="B163" s="14"/>
      <c r="C163" s="14"/>
      <c r="D163" s="14"/>
      <c r="E163" s="24"/>
      <c r="F163" s="24"/>
      <c r="G163" s="14"/>
      <c r="H163" s="14"/>
      <c r="I163" s="14"/>
      <c r="J163" s="22" t="str">
        <f aca="false">IF($D163="","",IFERROR(VLOOKUP($D163,商品マスタ!$A$5:$G$1000,2,FALSE()),"※商品マスタ未登録"))</f>
        <v/>
      </c>
      <c r="K163" s="22" t="str">
        <f aca="false">IF($D163="","",IFERROR(VLOOKUP($D163,商品マスタ!$A$5:$G$1000,3,FALSE()),""))</f>
        <v/>
      </c>
      <c r="L163" s="22" t="str">
        <f aca="false">IF($D163="","",IF($H163&lt;&gt;"",$H163,IFERROR(VLOOKUP($D163,商品マスタ!$A$5:$G$1000,4,FALSE()),"")))</f>
        <v/>
      </c>
      <c r="M163" s="22" t="str">
        <f aca="false">IF($D163="","",IFERROR(VLOOKUP($D163,商品マスタ!$A$5:$G$1000,5,FALSE()),0))</f>
        <v/>
      </c>
      <c r="N163" s="22" t="str">
        <f aca="false">IF($D163="","",IFERROR(VLOOKUP($D163,商品マスタ!$A$5:$G$1000,6,FALSE()),0))</f>
        <v/>
      </c>
      <c r="O163" s="22" t="str">
        <f aca="false">IF($D163="","",ROUND($E163*$F163,0))</f>
        <v/>
      </c>
      <c r="P163" s="22" t="str">
        <f aca="false">IF($D163="","",$O163)</f>
        <v/>
      </c>
      <c r="Q163" s="22" t="str">
        <f aca="false">IF($A163="","",IF($S163=1,$Q162+1,$Q162))</f>
        <v/>
      </c>
      <c r="R163" s="22" t="str">
        <f aca="false">IF($A163="","",IF($Q163=$Q162,$R162+1,1))</f>
        <v/>
      </c>
      <c r="S163" s="22" t="str">
        <f aca="false">IF($A163="","",IF(AND($A163=$A162,$B163=$B162),0,1))</f>
        <v/>
      </c>
      <c r="T163" s="22" t="str">
        <f aca="false">IF($A163="","",IF($S163=1,COUNTIF($S$5:$S163,1),""))</f>
        <v/>
      </c>
      <c r="U163" s="22" t="str">
        <f aca="false">IF($D163="","",IFERROR(VLOOKUP($D163,商品マスタ!$A$5:$G$1000,7,FALSE()),0))</f>
        <v/>
      </c>
    </row>
    <row r="164" customFormat="false" ht="15" hidden="false" customHeight="true" outlineLevel="0" collapsed="false">
      <c r="A164" s="23"/>
      <c r="B164" s="14"/>
      <c r="C164" s="14"/>
      <c r="D164" s="14"/>
      <c r="E164" s="24"/>
      <c r="F164" s="24"/>
      <c r="G164" s="14"/>
      <c r="H164" s="14"/>
      <c r="I164" s="14"/>
      <c r="J164" s="22" t="str">
        <f aca="false">IF($D164="","",IFERROR(VLOOKUP($D164,商品マスタ!$A$5:$G$1000,2,FALSE()),"※商品マスタ未登録"))</f>
        <v/>
      </c>
      <c r="K164" s="22" t="str">
        <f aca="false">IF($D164="","",IFERROR(VLOOKUP($D164,商品マスタ!$A$5:$G$1000,3,FALSE()),""))</f>
        <v/>
      </c>
      <c r="L164" s="22" t="str">
        <f aca="false">IF($D164="","",IF($H164&lt;&gt;"",$H164,IFERROR(VLOOKUP($D164,商品マスタ!$A$5:$G$1000,4,FALSE()),"")))</f>
        <v/>
      </c>
      <c r="M164" s="22" t="str">
        <f aca="false">IF($D164="","",IFERROR(VLOOKUP($D164,商品マスタ!$A$5:$G$1000,5,FALSE()),0))</f>
        <v/>
      </c>
      <c r="N164" s="22" t="str">
        <f aca="false">IF($D164="","",IFERROR(VLOOKUP($D164,商品マスタ!$A$5:$G$1000,6,FALSE()),0))</f>
        <v/>
      </c>
      <c r="O164" s="22" t="str">
        <f aca="false">IF($D164="","",ROUND($E164*$F164,0))</f>
        <v/>
      </c>
      <c r="P164" s="22" t="str">
        <f aca="false">IF($D164="","",$O164)</f>
        <v/>
      </c>
      <c r="Q164" s="22" t="str">
        <f aca="false">IF($A164="","",IF($S164=1,$Q163+1,$Q163))</f>
        <v/>
      </c>
      <c r="R164" s="22" t="str">
        <f aca="false">IF($A164="","",IF($Q164=$Q163,$R163+1,1))</f>
        <v/>
      </c>
      <c r="S164" s="22" t="str">
        <f aca="false">IF($A164="","",IF(AND($A164=$A163,$B164=$B163),0,1))</f>
        <v/>
      </c>
      <c r="T164" s="22" t="str">
        <f aca="false">IF($A164="","",IF($S164=1,COUNTIF($S$5:$S164,1),""))</f>
        <v/>
      </c>
      <c r="U164" s="22" t="str">
        <f aca="false">IF($D164="","",IFERROR(VLOOKUP($D164,商品マスタ!$A$5:$G$1000,7,FALSE()),0))</f>
        <v/>
      </c>
    </row>
    <row r="165" customFormat="false" ht="15" hidden="false" customHeight="true" outlineLevel="0" collapsed="false">
      <c r="A165" s="23"/>
      <c r="B165" s="14"/>
      <c r="C165" s="14"/>
      <c r="D165" s="14"/>
      <c r="E165" s="24"/>
      <c r="F165" s="24"/>
      <c r="G165" s="14"/>
      <c r="H165" s="14"/>
      <c r="I165" s="14"/>
      <c r="J165" s="22" t="str">
        <f aca="false">IF($D165="","",IFERROR(VLOOKUP($D165,商品マスタ!$A$5:$G$1000,2,FALSE()),"※商品マスタ未登録"))</f>
        <v/>
      </c>
      <c r="K165" s="22" t="str">
        <f aca="false">IF($D165="","",IFERROR(VLOOKUP($D165,商品マスタ!$A$5:$G$1000,3,FALSE()),""))</f>
        <v/>
      </c>
      <c r="L165" s="22" t="str">
        <f aca="false">IF($D165="","",IF($H165&lt;&gt;"",$H165,IFERROR(VLOOKUP($D165,商品マスタ!$A$5:$G$1000,4,FALSE()),"")))</f>
        <v/>
      </c>
      <c r="M165" s="22" t="str">
        <f aca="false">IF($D165="","",IFERROR(VLOOKUP($D165,商品マスタ!$A$5:$G$1000,5,FALSE()),0))</f>
        <v/>
      </c>
      <c r="N165" s="22" t="str">
        <f aca="false">IF($D165="","",IFERROR(VLOOKUP($D165,商品マスタ!$A$5:$G$1000,6,FALSE()),0))</f>
        <v/>
      </c>
      <c r="O165" s="22" t="str">
        <f aca="false">IF($D165="","",ROUND($E165*$F165,0))</f>
        <v/>
      </c>
      <c r="P165" s="22" t="str">
        <f aca="false">IF($D165="","",$O165)</f>
        <v/>
      </c>
      <c r="Q165" s="22" t="str">
        <f aca="false">IF($A165="","",IF($S165=1,$Q164+1,$Q164))</f>
        <v/>
      </c>
      <c r="R165" s="22" t="str">
        <f aca="false">IF($A165="","",IF($Q165=$Q164,$R164+1,1))</f>
        <v/>
      </c>
      <c r="S165" s="22" t="str">
        <f aca="false">IF($A165="","",IF(AND($A165=$A164,$B165=$B164),0,1))</f>
        <v/>
      </c>
      <c r="T165" s="22" t="str">
        <f aca="false">IF($A165="","",IF($S165=1,COUNTIF($S$5:$S165,1),""))</f>
        <v/>
      </c>
      <c r="U165" s="22" t="str">
        <f aca="false">IF($D165="","",IFERROR(VLOOKUP($D165,商品マスタ!$A$5:$G$1000,7,FALSE()),0))</f>
        <v/>
      </c>
    </row>
    <row r="166" customFormat="false" ht="15" hidden="false" customHeight="true" outlineLevel="0" collapsed="false">
      <c r="A166" s="23"/>
      <c r="B166" s="14"/>
      <c r="C166" s="14"/>
      <c r="D166" s="14"/>
      <c r="E166" s="24"/>
      <c r="F166" s="24"/>
      <c r="G166" s="14"/>
      <c r="H166" s="14"/>
      <c r="I166" s="14"/>
      <c r="J166" s="22" t="str">
        <f aca="false">IF($D166="","",IFERROR(VLOOKUP($D166,商品マスタ!$A$5:$G$1000,2,FALSE()),"※商品マスタ未登録"))</f>
        <v/>
      </c>
      <c r="K166" s="22" t="str">
        <f aca="false">IF($D166="","",IFERROR(VLOOKUP($D166,商品マスタ!$A$5:$G$1000,3,FALSE()),""))</f>
        <v/>
      </c>
      <c r="L166" s="22" t="str">
        <f aca="false">IF($D166="","",IF($H166&lt;&gt;"",$H166,IFERROR(VLOOKUP($D166,商品マスタ!$A$5:$G$1000,4,FALSE()),"")))</f>
        <v/>
      </c>
      <c r="M166" s="22" t="str">
        <f aca="false">IF($D166="","",IFERROR(VLOOKUP($D166,商品マスタ!$A$5:$G$1000,5,FALSE()),0))</f>
        <v/>
      </c>
      <c r="N166" s="22" t="str">
        <f aca="false">IF($D166="","",IFERROR(VLOOKUP($D166,商品マスタ!$A$5:$G$1000,6,FALSE()),0))</f>
        <v/>
      </c>
      <c r="O166" s="22" t="str">
        <f aca="false">IF($D166="","",ROUND($E166*$F166,0))</f>
        <v/>
      </c>
      <c r="P166" s="22" t="str">
        <f aca="false">IF($D166="","",$O166)</f>
        <v/>
      </c>
      <c r="Q166" s="22" t="str">
        <f aca="false">IF($A166="","",IF($S166=1,$Q165+1,$Q165))</f>
        <v/>
      </c>
      <c r="R166" s="22" t="str">
        <f aca="false">IF($A166="","",IF($Q166=$Q165,$R165+1,1))</f>
        <v/>
      </c>
      <c r="S166" s="22" t="str">
        <f aca="false">IF($A166="","",IF(AND($A166=$A165,$B166=$B165),0,1))</f>
        <v/>
      </c>
      <c r="T166" s="22" t="str">
        <f aca="false">IF($A166="","",IF($S166=1,COUNTIF($S$5:$S166,1),""))</f>
        <v/>
      </c>
      <c r="U166" s="22" t="str">
        <f aca="false">IF($D166="","",IFERROR(VLOOKUP($D166,商品マスタ!$A$5:$G$1000,7,FALSE()),0))</f>
        <v/>
      </c>
    </row>
    <row r="167" customFormat="false" ht="15" hidden="false" customHeight="true" outlineLevel="0" collapsed="false">
      <c r="A167" s="23"/>
      <c r="B167" s="14"/>
      <c r="C167" s="14"/>
      <c r="D167" s="14"/>
      <c r="E167" s="24"/>
      <c r="F167" s="24"/>
      <c r="G167" s="14"/>
      <c r="H167" s="14"/>
      <c r="I167" s="14"/>
      <c r="J167" s="22" t="str">
        <f aca="false">IF($D167="","",IFERROR(VLOOKUP($D167,商品マスタ!$A$5:$G$1000,2,FALSE()),"※商品マスタ未登録"))</f>
        <v/>
      </c>
      <c r="K167" s="22" t="str">
        <f aca="false">IF($D167="","",IFERROR(VLOOKUP($D167,商品マスタ!$A$5:$G$1000,3,FALSE()),""))</f>
        <v/>
      </c>
      <c r="L167" s="22" t="str">
        <f aca="false">IF($D167="","",IF($H167&lt;&gt;"",$H167,IFERROR(VLOOKUP($D167,商品マスタ!$A$5:$G$1000,4,FALSE()),"")))</f>
        <v/>
      </c>
      <c r="M167" s="22" t="str">
        <f aca="false">IF($D167="","",IFERROR(VLOOKUP($D167,商品マスタ!$A$5:$G$1000,5,FALSE()),0))</f>
        <v/>
      </c>
      <c r="N167" s="22" t="str">
        <f aca="false">IF($D167="","",IFERROR(VLOOKUP($D167,商品マスタ!$A$5:$G$1000,6,FALSE()),0))</f>
        <v/>
      </c>
      <c r="O167" s="22" t="str">
        <f aca="false">IF($D167="","",ROUND($E167*$F167,0))</f>
        <v/>
      </c>
      <c r="P167" s="22" t="str">
        <f aca="false">IF($D167="","",$O167)</f>
        <v/>
      </c>
      <c r="Q167" s="22" t="str">
        <f aca="false">IF($A167="","",IF($S167=1,$Q166+1,$Q166))</f>
        <v/>
      </c>
      <c r="R167" s="22" t="str">
        <f aca="false">IF($A167="","",IF($Q167=$Q166,$R166+1,1))</f>
        <v/>
      </c>
      <c r="S167" s="22" t="str">
        <f aca="false">IF($A167="","",IF(AND($A167=$A166,$B167=$B166),0,1))</f>
        <v/>
      </c>
      <c r="T167" s="22" t="str">
        <f aca="false">IF($A167="","",IF($S167=1,COUNTIF($S$5:$S167,1),""))</f>
        <v/>
      </c>
      <c r="U167" s="22" t="str">
        <f aca="false">IF($D167="","",IFERROR(VLOOKUP($D167,商品マスタ!$A$5:$G$1000,7,FALSE()),0))</f>
        <v/>
      </c>
    </row>
    <row r="168" customFormat="false" ht="15" hidden="false" customHeight="true" outlineLevel="0" collapsed="false">
      <c r="A168" s="23"/>
      <c r="B168" s="14"/>
      <c r="C168" s="14"/>
      <c r="D168" s="14"/>
      <c r="E168" s="24"/>
      <c r="F168" s="24"/>
      <c r="G168" s="14"/>
      <c r="H168" s="14"/>
      <c r="I168" s="14"/>
      <c r="J168" s="22" t="str">
        <f aca="false">IF($D168="","",IFERROR(VLOOKUP($D168,商品マスタ!$A$5:$G$1000,2,FALSE()),"※商品マスタ未登録"))</f>
        <v/>
      </c>
      <c r="K168" s="22" t="str">
        <f aca="false">IF($D168="","",IFERROR(VLOOKUP($D168,商品マスタ!$A$5:$G$1000,3,FALSE()),""))</f>
        <v/>
      </c>
      <c r="L168" s="22" t="str">
        <f aca="false">IF($D168="","",IF($H168&lt;&gt;"",$H168,IFERROR(VLOOKUP($D168,商品マスタ!$A$5:$G$1000,4,FALSE()),"")))</f>
        <v/>
      </c>
      <c r="M168" s="22" t="str">
        <f aca="false">IF($D168="","",IFERROR(VLOOKUP($D168,商品マスタ!$A$5:$G$1000,5,FALSE()),0))</f>
        <v/>
      </c>
      <c r="N168" s="22" t="str">
        <f aca="false">IF($D168="","",IFERROR(VLOOKUP($D168,商品マスタ!$A$5:$G$1000,6,FALSE()),0))</f>
        <v/>
      </c>
      <c r="O168" s="22" t="str">
        <f aca="false">IF($D168="","",ROUND($E168*$F168,0))</f>
        <v/>
      </c>
      <c r="P168" s="22" t="str">
        <f aca="false">IF($D168="","",$O168)</f>
        <v/>
      </c>
      <c r="Q168" s="22" t="str">
        <f aca="false">IF($A168="","",IF($S168=1,$Q167+1,$Q167))</f>
        <v/>
      </c>
      <c r="R168" s="22" t="str">
        <f aca="false">IF($A168="","",IF($Q168=$Q167,$R167+1,1))</f>
        <v/>
      </c>
      <c r="S168" s="22" t="str">
        <f aca="false">IF($A168="","",IF(AND($A168=$A167,$B168=$B167),0,1))</f>
        <v/>
      </c>
      <c r="T168" s="22" t="str">
        <f aca="false">IF($A168="","",IF($S168=1,COUNTIF($S$5:$S168,1),""))</f>
        <v/>
      </c>
      <c r="U168" s="22" t="str">
        <f aca="false">IF($D168="","",IFERROR(VLOOKUP($D168,商品マスタ!$A$5:$G$1000,7,FALSE()),0))</f>
        <v/>
      </c>
    </row>
    <row r="169" customFormat="false" ht="15" hidden="false" customHeight="true" outlineLevel="0" collapsed="false">
      <c r="A169" s="23"/>
      <c r="B169" s="14"/>
      <c r="C169" s="14"/>
      <c r="D169" s="14"/>
      <c r="E169" s="24"/>
      <c r="F169" s="24"/>
      <c r="G169" s="14"/>
      <c r="H169" s="14"/>
      <c r="I169" s="14"/>
      <c r="J169" s="22" t="str">
        <f aca="false">IF($D169="","",IFERROR(VLOOKUP($D169,商品マスタ!$A$5:$G$1000,2,FALSE()),"※商品マスタ未登録"))</f>
        <v/>
      </c>
      <c r="K169" s="22" t="str">
        <f aca="false">IF($D169="","",IFERROR(VLOOKUP($D169,商品マスタ!$A$5:$G$1000,3,FALSE()),""))</f>
        <v/>
      </c>
      <c r="L169" s="22" t="str">
        <f aca="false">IF($D169="","",IF($H169&lt;&gt;"",$H169,IFERROR(VLOOKUP($D169,商品マスタ!$A$5:$G$1000,4,FALSE()),"")))</f>
        <v/>
      </c>
      <c r="M169" s="22" t="str">
        <f aca="false">IF($D169="","",IFERROR(VLOOKUP($D169,商品マスタ!$A$5:$G$1000,5,FALSE()),0))</f>
        <v/>
      </c>
      <c r="N169" s="22" t="str">
        <f aca="false">IF($D169="","",IFERROR(VLOOKUP($D169,商品マスタ!$A$5:$G$1000,6,FALSE()),0))</f>
        <v/>
      </c>
      <c r="O169" s="22" t="str">
        <f aca="false">IF($D169="","",ROUND($E169*$F169,0))</f>
        <v/>
      </c>
      <c r="P169" s="22" t="str">
        <f aca="false">IF($D169="","",$O169)</f>
        <v/>
      </c>
      <c r="Q169" s="22" t="str">
        <f aca="false">IF($A169="","",IF($S169=1,$Q168+1,$Q168))</f>
        <v/>
      </c>
      <c r="R169" s="22" t="str">
        <f aca="false">IF($A169="","",IF($Q169=$Q168,$R168+1,1))</f>
        <v/>
      </c>
      <c r="S169" s="22" t="str">
        <f aca="false">IF($A169="","",IF(AND($A169=$A168,$B169=$B168),0,1))</f>
        <v/>
      </c>
      <c r="T169" s="22" t="str">
        <f aca="false">IF($A169="","",IF($S169=1,COUNTIF($S$5:$S169,1),""))</f>
        <v/>
      </c>
      <c r="U169" s="22" t="str">
        <f aca="false">IF($D169="","",IFERROR(VLOOKUP($D169,商品マスタ!$A$5:$G$1000,7,FALSE()),0))</f>
        <v/>
      </c>
    </row>
    <row r="170" customFormat="false" ht="15" hidden="false" customHeight="true" outlineLevel="0" collapsed="false">
      <c r="A170" s="23"/>
      <c r="B170" s="14"/>
      <c r="C170" s="14"/>
      <c r="D170" s="14"/>
      <c r="E170" s="24"/>
      <c r="F170" s="24"/>
      <c r="G170" s="14"/>
      <c r="H170" s="14"/>
      <c r="I170" s="14"/>
      <c r="J170" s="22" t="str">
        <f aca="false">IF($D170="","",IFERROR(VLOOKUP($D170,商品マスタ!$A$5:$G$1000,2,FALSE()),"※商品マスタ未登録"))</f>
        <v/>
      </c>
      <c r="K170" s="22" t="str">
        <f aca="false">IF($D170="","",IFERROR(VLOOKUP($D170,商品マスタ!$A$5:$G$1000,3,FALSE()),""))</f>
        <v/>
      </c>
      <c r="L170" s="22" t="str">
        <f aca="false">IF($D170="","",IF($H170&lt;&gt;"",$H170,IFERROR(VLOOKUP($D170,商品マスタ!$A$5:$G$1000,4,FALSE()),"")))</f>
        <v/>
      </c>
      <c r="M170" s="22" t="str">
        <f aca="false">IF($D170="","",IFERROR(VLOOKUP($D170,商品マスタ!$A$5:$G$1000,5,FALSE()),0))</f>
        <v/>
      </c>
      <c r="N170" s="22" t="str">
        <f aca="false">IF($D170="","",IFERROR(VLOOKUP($D170,商品マスタ!$A$5:$G$1000,6,FALSE()),0))</f>
        <v/>
      </c>
      <c r="O170" s="22" t="str">
        <f aca="false">IF($D170="","",ROUND($E170*$F170,0))</f>
        <v/>
      </c>
      <c r="P170" s="22" t="str">
        <f aca="false">IF($D170="","",$O170)</f>
        <v/>
      </c>
      <c r="Q170" s="22" t="str">
        <f aca="false">IF($A170="","",IF($S170=1,$Q169+1,$Q169))</f>
        <v/>
      </c>
      <c r="R170" s="22" t="str">
        <f aca="false">IF($A170="","",IF($Q170=$Q169,$R169+1,1))</f>
        <v/>
      </c>
      <c r="S170" s="22" t="str">
        <f aca="false">IF($A170="","",IF(AND($A170=$A169,$B170=$B169),0,1))</f>
        <v/>
      </c>
      <c r="T170" s="22" t="str">
        <f aca="false">IF($A170="","",IF($S170=1,COUNTIF($S$5:$S170,1),""))</f>
        <v/>
      </c>
      <c r="U170" s="22" t="str">
        <f aca="false">IF($D170="","",IFERROR(VLOOKUP($D170,商品マスタ!$A$5:$G$1000,7,FALSE()),0))</f>
        <v/>
      </c>
    </row>
    <row r="171" customFormat="false" ht="15" hidden="false" customHeight="true" outlineLevel="0" collapsed="false">
      <c r="A171" s="23"/>
      <c r="B171" s="14"/>
      <c r="C171" s="14"/>
      <c r="D171" s="14"/>
      <c r="E171" s="24"/>
      <c r="F171" s="24"/>
      <c r="G171" s="14"/>
      <c r="H171" s="14"/>
      <c r="I171" s="14"/>
      <c r="J171" s="22" t="str">
        <f aca="false">IF($D171="","",IFERROR(VLOOKUP($D171,商品マスタ!$A$5:$G$1000,2,FALSE()),"※商品マスタ未登録"))</f>
        <v/>
      </c>
      <c r="K171" s="22" t="str">
        <f aca="false">IF($D171="","",IFERROR(VLOOKUP($D171,商品マスタ!$A$5:$G$1000,3,FALSE()),""))</f>
        <v/>
      </c>
      <c r="L171" s="22" t="str">
        <f aca="false">IF($D171="","",IF($H171&lt;&gt;"",$H171,IFERROR(VLOOKUP($D171,商品マスタ!$A$5:$G$1000,4,FALSE()),"")))</f>
        <v/>
      </c>
      <c r="M171" s="22" t="str">
        <f aca="false">IF($D171="","",IFERROR(VLOOKUP($D171,商品マスタ!$A$5:$G$1000,5,FALSE()),0))</f>
        <v/>
      </c>
      <c r="N171" s="22" t="str">
        <f aca="false">IF($D171="","",IFERROR(VLOOKUP($D171,商品マスタ!$A$5:$G$1000,6,FALSE()),0))</f>
        <v/>
      </c>
      <c r="O171" s="22" t="str">
        <f aca="false">IF($D171="","",ROUND($E171*$F171,0))</f>
        <v/>
      </c>
      <c r="P171" s="22" t="str">
        <f aca="false">IF($D171="","",$O171)</f>
        <v/>
      </c>
      <c r="Q171" s="22" t="str">
        <f aca="false">IF($A171="","",IF($S171=1,$Q170+1,$Q170))</f>
        <v/>
      </c>
      <c r="R171" s="22" t="str">
        <f aca="false">IF($A171="","",IF($Q171=$Q170,$R170+1,1))</f>
        <v/>
      </c>
      <c r="S171" s="22" t="str">
        <f aca="false">IF($A171="","",IF(AND($A171=$A170,$B171=$B170),0,1))</f>
        <v/>
      </c>
      <c r="T171" s="22" t="str">
        <f aca="false">IF($A171="","",IF($S171=1,COUNTIF($S$5:$S171,1),""))</f>
        <v/>
      </c>
      <c r="U171" s="22" t="str">
        <f aca="false">IF($D171="","",IFERROR(VLOOKUP($D171,商品マスタ!$A$5:$G$1000,7,FALSE()),0))</f>
        <v/>
      </c>
    </row>
    <row r="172" customFormat="false" ht="15" hidden="false" customHeight="true" outlineLevel="0" collapsed="false">
      <c r="A172" s="23"/>
      <c r="B172" s="14"/>
      <c r="C172" s="14"/>
      <c r="D172" s="14"/>
      <c r="E172" s="24"/>
      <c r="F172" s="24"/>
      <c r="G172" s="14"/>
      <c r="H172" s="14"/>
      <c r="I172" s="14"/>
      <c r="J172" s="22" t="str">
        <f aca="false">IF($D172="","",IFERROR(VLOOKUP($D172,商品マスタ!$A$5:$G$1000,2,FALSE()),"※商品マスタ未登録"))</f>
        <v/>
      </c>
      <c r="K172" s="22" t="str">
        <f aca="false">IF($D172="","",IFERROR(VLOOKUP($D172,商品マスタ!$A$5:$G$1000,3,FALSE()),""))</f>
        <v/>
      </c>
      <c r="L172" s="22" t="str">
        <f aca="false">IF($D172="","",IF($H172&lt;&gt;"",$H172,IFERROR(VLOOKUP($D172,商品マスタ!$A$5:$G$1000,4,FALSE()),"")))</f>
        <v/>
      </c>
      <c r="M172" s="22" t="str">
        <f aca="false">IF($D172="","",IFERROR(VLOOKUP($D172,商品マスタ!$A$5:$G$1000,5,FALSE()),0))</f>
        <v/>
      </c>
      <c r="N172" s="22" t="str">
        <f aca="false">IF($D172="","",IFERROR(VLOOKUP($D172,商品マスタ!$A$5:$G$1000,6,FALSE()),0))</f>
        <v/>
      </c>
      <c r="O172" s="22" t="str">
        <f aca="false">IF($D172="","",ROUND($E172*$F172,0))</f>
        <v/>
      </c>
      <c r="P172" s="22" t="str">
        <f aca="false">IF($D172="","",$O172)</f>
        <v/>
      </c>
      <c r="Q172" s="22" t="str">
        <f aca="false">IF($A172="","",IF($S172=1,$Q171+1,$Q171))</f>
        <v/>
      </c>
      <c r="R172" s="22" t="str">
        <f aca="false">IF($A172="","",IF($Q172=$Q171,$R171+1,1))</f>
        <v/>
      </c>
      <c r="S172" s="22" t="str">
        <f aca="false">IF($A172="","",IF(AND($A172=$A171,$B172=$B171),0,1))</f>
        <v/>
      </c>
      <c r="T172" s="22" t="str">
        <f aca="false">IF($A172="","",IF($S172=1,COUNTIF($S$5:$S172,1),""))</f>
        <v/>
      </c>
      <c r="U172" s="22" t="str">
        <f aca="false">IF($D172="","",IFERROR(VLOOKUP($D172,商品マスタ!$A$5:$G$1000,7,FALSE()),0))</f>
        <v/>
      </c>
    </row>
    <row r="173" customFormat="false" ht="15" hidden="false" customHeight="true" outlineLevel="0" collapsed="false">
      <c r="A173" s="23"/>
      <c r="B173" s="14"/>
      <c r="C173" s="14"/>
      <c r="D173" s="14"/>
      <c r="E173" s="24"/>
      <c r="F173" s="24"/>
      <c r="G173" s="14"/>
      <c r="H173" s="14"/>
      <c r="I173" s="14"/>
      <c r="J173" s="22" t="str">
        <f aca="false">IF($D173="","",IFERROR(VLOOKUP($D173,商品マスタ!$A$5:$G$1000,2,FALSE()),"※商品マスタ未登録"))</f>
        <v/>
      </c>
      <c r="K173" s="22" t="str">
        <f aca="false">IF($D173="","",IFERROR(VLOOKUP($D173,商品マスタ!$A$5:$G$1000,3,FALSE()),""))</f>
        <v/>
      </c>
      <c r="L173" s="22" t="str">
        <f aca="false">IF($D173="","",IF($H173&lt;&gt;"",$H173,IFERROR(VLOOKUP($D173,商品マスタ!$A$5:$G$1000,4,FALSE()),"")))</f>
        <v/>
      </c>
      <c r="M173" s="22" t="str">
        <f aca="false">IF($D173="","",IFERROR(VLOOKUP($D173,商品マスタ!$A$5:$G$1000,5,FALSE()),0))</f>
        <v/>
      </c>
      <c r="N173" s="22" t="str">
        <f aca="false">IF($D173="","",IFERROR(VLOOKUP($D173,商品マスタ!$A$5:$G$1000,6,FALSE()),0))</f>
        <v/>
      </c>
      <c r="O173" s="22" t="str">
        <f aca="false">IF($D173="","",ROUND($E173*$F173,0))</f>
        <v/>
      </c>
      <c r="P173" s="22" t="str">
        <f aca="false">IF($D173="","",$O173)</f>
        <v/>
      </c>
      <c r="Q173" s="22" t="str">
        <f aca="false">IF($A173="","",IF($S173=1,$Q172+1,$Q172))</f>
        <v/>
      </c>
      <c r="R173" s="22" t="str">
        <f aca="false">IF($A173="","",IF($Q173=$Q172,$R172+1,1))</f>
        <v/>
      </c>
      <c r="S173" s="22" t="str">
        <f aca="false">IF($A173="","",IF(AND($A173=$A172,$B173=$B172),0,1))</f>
        <v/>
      </c>
      <c r="T173" s="22" t="str">
        <f aca="false">IF($A173="","",IF($S173=1,COUNTIF($S$5:$S173,1),""))</f>
        <v/>
      </c>
      <c r="U173" s="22" t="str">
        <f aca="false">IF($D173="","",IFERROR(VLOOKUP($D173,商品マスタ!$A$5:$G$1000,7,FALSE()),0))</f>
        <v/>
      </c>
    </row>
    <row r="174" customFormat="false" ht="15" hidden="false" customHeight="true" outlineLevel="0" collapsed="false">
      <c r="A174" s="23"/>
      <c r="B174" s="14"/>
      <c r="C174" s="14"/>
      <c r="D174" s="14"/>
      <c r="E174" s="24"/>
      <c r="F174" s="24"/>
      <c r="G174" s="14"/>
      <c r="H174" s="14"/>
      <c r="I174" s="14"/>
      <c r="J174" s="22" t="str">
        <f aca="false">IF($D174="","",IFERROR(VLOOKUP($D174,商品マスタ!$A$5:$G$1000,2,FALSE()),"※商品マスタ未登録"))</f>
        <v/>
      </c>
      <c r="K174" s="22" t="str">
        <f aca="false">IF($D174="","",IFERROR(VLOOKUP($D174,商品マスタ!$A$5:$G$1000,3,FALSE()),""))</f>
        <v/>
      </c>
      <c r="L174" s="22" t="str">
        <f aca="false">IF($D174="","",IF($H174&lt;&gt;"",$H174,IFERROR(VLOOKUP($D174,商品マスタ!$A$5:$G$1000,4,FALSE()),"")))</f>
        <v/>
      </c>
      <c r="M174" s="22" t="str">
        <f aca="false">IF($D174="","",IFERROR(VLOOKUP($D174,商品マスタ!$A$5:$G$1000,5,FALSE()),0))</f>
        <v/>
      </c>
      <c r="N174" s="22" t="str">
        <f aca="false">IF($D174="","",IFERROR(VLOOKUP($D174,商品マスタ!$A$5:$G$1000,6,FALSE()),0))</f>
        <v/>
      </c>
      <c r="O174" s="22" t="str">
        <f aca="false">IF($D174="","",ROUND($E174*$F174,0))</f>
        <v/>
      </c>
      <c r="P174" s="22" t="str">
        <f aca="false">IF($D174="","",$O174)</f>
        <v/>
      </c>
      <c r="Q174" s="22" t="str">
        <f aca="false">IF($A174="","",IF($S174=1,$Q173+1,$Q173))</f>
        <v/>
      </c>
      <c r="R174" s="22" t="str">
        <f aca="false">IF($A174="","",IF($Q174=$Q173,$R173+1,1))</f>
        <v/>
      </c>
      <c r="S174" s="22" t="str">
        <f aca="false">IF($A174="","",IF(AND($A174=$A173,$B174=$B173),0,1))</f>
        <v/>
      </c>
      <c r="T174" s="22" t="str">
        <f aca="false">IF($A174="","",IF($S174=1,COUNTIF($S$5:$S174,1),""))</f>
        <v/>
      </c>
      <c r="U174" s="22" t="str">
        <f aca="false">IF($D174="","",IFERROR(VLOOKUP($D174,商品マスタ!$A$5:$G$1000,7,FALSE()),0))</f>
        <v/>
      </c>
    </row>
    <row r="175" customFormat="false" ht="15" hidden="false" customHeight="true" outlineLevel="0" collapsed="false">
      <c r="A175" s="23"/>
      <c r="B175" s="14"/>
      <c r="C175" s="14"/>
      <c r="D175" s="14"/>
      <c r="E175" s="24"/>
      <c r="F175" s="24"/>
      <c r="G175" s="14"/>
      <c r="H175" s="14"/>
      <c r="I175" s="14"/>
      <c r="J175" s="22" t="str">
        <f aca="false">IF($D175="","",IFERROR(VLOOKUP($D175,商品マスタ!$A$5:$G$1000,2,FALSE()),"※商品マスタ未登録"))</f>
        <v/>
      </c>
      <c r="K175" s="22" t="str">
        <f aca="false">IF($D175="","",IFERROR(VLOOKUP($D175,商品マスタ!$A$5:$G$1000,3,FALSE()),""))</f>
        <v/>
      </c>
      <c r="L175" s="22" t="str">
        <f aca="false">IF($D175="","",IF($H175&lt;&gt;"",$H175,IFERROR(VLOOKUP($D175,商品マスタ!$A$5:$G$1000,4,FALSE()),"")))</f>
        <v/>
      </c>
      <c r="M175" s="22" t="str">
        <f aca="false">IF($D175="","",IFERROR(VLOOKUP($D175,商品マスタ!$A$5:$G$1000,5,FALSE()),0))</f>
        <v/>
      </c>
      <c r="N175" s="22" t="str">
        <f aca="false">IF($D175="","",IFERROR(VLOOKUP($D175,商品マスタ!$A$5:$G$1000,6,FALSE()),0))</f>
        <v/>
      </c>
      <c r="O175" s="22" t="str">
        <f aca="false">IF($D175="","",ROUND($E175*$F175,0))</f>
        <v/>
      </c>
      <c r="P175" s="22" t="str">
        <f aca="false">IF($D175="","",$O175)</f>
        <v/>
      </c>
      <c r="Q175" s="22" t="str">
        <f aca="false">IF($A175="","",IF($S175=1,$Q174+1,$Q174))</f>
        <v/>
      </c>
      <c r="R175" s="22" t="str">
        <f aca="false">IF($A175="","",IF($Q175=$Q174,$R174+1,1))</f>
        <v/>
      </c>
      <c r="S175" s="22" t="str">
        <f aca="false">IF($A175="","",IF(AND($A175=$A174,$B175=$B174),0,1))</f>
        <v/>
      </c>
      <c r="T175" s="22" t="str">
        <f aca="false">IF($A175="","",IF($S175=1,COUNTIF($S$5:$S175,1),""))</f>
        <v/>
      </c>
      <c r="U175" s="22" t="str">
        <f aca="false">IF($D175="","",IFERROR(VLOOKUP($D175,商品マスタ!$A$5:$G$1000,7,FALSE()),0))</f>
        <v/>
      </c>
    </row>
    <row r="176" customFormat="false" ht="15" hidden="false" customHeight="true" outlineLevel="0" collapsed="false">
      <c r="A176" s="23"/>
      <c r="B176" s="14"/>
      <c r="C176" s="14"/>
      <c r="D176" s="14"/>
      <c r="E176" s="24"/>
      <c r="F176" s="24"/>
      <c r="G176" s="14"/>
      <c r="H176" s="14"/>
      <c r="I176" s="14"/>
      <c r="J176" s="22" t="str">
        <f aca="false">IF($D176="","",IFERROR(VLOOKUP($D176,商品マスタ!$A$5:$G$1000,2,FALSE()),"※商品マスタ未登録"))</f>
        <v/>
      </c>
      <c r="K176" s="22" t="str">
        <f aca="false">IF($D176="","",IFERROR(VLOOKUP($D176,商品マスタ!$A$5:$G$1000,3,FALSE()),""))</f>
        <v/>
      </c>
      <c r="L176" s="22" t="str">
        <f aca="false">IF($D176="","",IF($H176&lt;&gt;"",$H176,IFERROR(VLOOKUP($D176,商品マスタ!$A$5:$G$1000,4,FALSE()),"")))</f>
        <v/>
      </c>
      <c r="M176" s="22" t="str">
        <f aca="false">IF($D176="","",IFERROR(VLOOKUP($D176,商品マスタ!$A$5:$G$1000,5,FALSE()),0))</f>
        <v/>
      </c>
      <c r="N176" s="22" t="str">
        <f aca="false">IF($D176="","",IFERROR(VLOOKUP($D176,商品マスタ!$A$5:$G$1000,6,FALSE()),0))</f>
        <v/>
      </c>
      <c r="O176" s="22" t="str">
        <f aca="false">IF($D176="","",ROUND($E176*$F176,0))</f>
        <v/>
      </c>
      <c r="P176" s="22" t="str">
        <f aca="false">IF($D176="","",$O176)</f>
        <v/>
      </c>
      <c r="Q176" s="22" t="str">
        <f aca="false">IF($A176="","",IF($S176=1,$Q175+1,$Q175))</f>
        <v/>
      </c>
      <c r="R176" s="22" t="str">
        <f aca="false">IF($A176="","",IF($Q176=$Q175,$R175+1,1))</f>
        <v/>
      </c>
      <c r="S176" s="22" t="str">
        <f aca="false">IF($A176="","",IF(AND($A176=$A175,$B176=$B175),0,1))</f>
        <v/>
      </c>
      <c r="T176" s="22" t="str">
        <f aca="false">IF($A176="","",IF($S176=1,COUNTIF($S$5:$S176,1),""))</f>
        <v/>
      </c>
      <c r="U176" s="22" t="str">
        <f aca="false">IF($D176="","",IFERROR(VLOOKUP($D176,商品マスタ!$A$5:$G$1000,7,FALSE()),0))</f>
        <v/>
      </c>
    </row>
    <row r="177" customFormat="false" ht="15" hidden="false" customHeight="true" outlineLevel="0" collapsed="false">
      <c r="A177" s="23"/>
      <c r="B177" s="14"/>
      <c r="C177" s="14"/>
      <c r="D177" s="14"/>
      <c r="E177" s="24"/>
      <c r="F177" s="24"/>
      <c r="G177" s="14"/>
      <c r="H177" s="14"/>
      <c r="I177" s="14"/>
      <c r="J177" s="22" t="str">
        <f aca="false">IF($D177="","",IFERROR(VLOOKUP($D177,商品マスタ!$A$5:$G$1000,2,FALSE()),"※商品マスタ未登録"))</f>
        <v/>
      </c>
      <c r="K177" s="22" t="str">
        <f aca="false">IF($D177="","",IFERROR(VLOOKUP($D177,商品マスタ!$A$5:$G$1000,3,FALSE()),""))</f>
        <v/>
      </c>
      <c r="L177" s="22" t="str">
        <f aca="false">IF($D177="","",IF($H177&lt;&gt;"",$H177,IFERROR(VLOOKUP($D177,商品マスタ!$A$5:$G$1000,4,FALSE()),"")))</f>
        <v/>
      </c>
      <c r="M177" s="22" t="str">
        <f aca="false">IF($D177="","",IFERROR(VLOOKUP($D177,商品マスタ!$A$5:$G$1000,5,FALSE()),0))</f>
        <v/>
      </c>
      <c r="N177" s="22" t="str">
        <f aca="false">IF($D177="","",IFERROR(VLOOKUP($D177,商品マスタ!$A$5:$G$1000,6,FALSE()),0))</f>
        <v/>
      </c>
      <c r="O177" s="22" t="str">
        <f aca="false">IF($D177="","",ROUND($E177*$F177,0))</f>
        <v/>
      </c>
      <c r="P177" s="22" t="str">
        <f aca="false">IF($D177="","",$O177)</f>
        <v/>
      </c>
      <c r="Q177" s="22" t="str">
        <f aca="false">IF($A177="","",IF($S177=1,$Q176+1,$Q176))</f>
        <v/>
      </c>
      <c r="R177" s="22" t="str">
        <f aca="false">IF($A177="","",IF($Q177=$Q176,$R176+1,1))</f>
        <v/>
      </c>
      <c r="S177" s="22" t="str">
        <f aca="false">IF($A177="","",IF(AND($A177=$A176,$B177=$B176),0,1))</f>
        <v/>
      </c>
      <c r="T177" s="22" t="str">
        <f aca="false">IF($A177="","",IF($S177=1,COUNTIF($S$5:$S177,1),""))</f>
        <v/>
      </c>
      <c r="U177" s="22" t="str">
        <f aca="false">IF($D177="","",IFERROR(VLOOKUP($D177,商品マスタ!$A$5:$G$1000,7,FALSE()),0))</f>
        <v/>
      </c>
    </row>
    <row r="178" customFormat="false" ht="15" hidden="false" customHeight="true" outlineLevel="0" collapsed="false">
      <c r="A178" s="23"/>
      <c r="B178" s="14"/>
      <c r="C178" s="14"/>
      <c r="D178" s="14"/>
      <c r="E178" s="24"/>
      <c r="F178" s="24"/>
      <c r="G178" s="14"/>
      <c r="H178" s="14"/>
      <c r="I178" s="14"/>
      <c r="J178" s="22" t="str">
        <f aca="false">IF($D178="","",IFERROR(VLOOKUP($D178,商品マスタ!$A$5:$G$1000,2,FALSE()),"※商品マスタ未登録"))</f>
        <v/>
      </c>
      <c r="K178" s="22" t="str">
        <f aca="false">IF($D178="","",IFERROR(VLOOKUP($D178,商品マスタ!$A$5:$G$1000,3,FALSE()),""))</f>
        <v/>
      </c>
      <c r="L178" s="22" t="str">
        <f aca="false">IF($D178="","",IF($H178&lt;&gt;"",$H178,IFERROR(VLOOKUP($D178,商品マスタ!$A$5:$G$1000,4,FALSE()),"")))</f>
        <v/>
      </c>
      <c r="M178" s="22" t="str">
        <f aca="false">IF($D178="","",IFERROR(VLOOKUP($D178,商品マスタ!$A$5:$G$1000,5,FALSE()),0))</f>
        <v/>
      </c>
      <c r="N178" s="22" t="str">
        <f aca="false">IF($D178="","",IFERROR(VLOOKUP($D178,商品マスタ!$A$5:$G$1000,6,FALSE()),0))</f>
        <v/>
      </c>
      <c r="O178" s="22" t="str">
        <f aca="false">IF($D178="","",ROUND($E178*$F178,0))</f>
        <v/>
      </c>
      <c r="P178" s="22" t="str">
        <f aca="false">IF($D178="","",$O178)</f>
        <v/>
      </c>
      <c r="Q178" s="22" t="str">
        <f aca="false">IF($A178="","",IF($S178=1,$Q177+1,$Q177))</f>
        <v/>
      </c>
      <c r="R178" s="22" t="str">
        <f aca="false">IF($A178="","",IF($Q178=$Q177,$R177+1,1))</f>
        <v/>
      </c>
      <c r="S178" s="22" t="str">
        <f aca="false">IF($A178="","",IF(AND($A178=$A177,$B178=$B177),0,1))</f>
        <v/>
      </c>
      <c r="T178" s="22" t="str">
        <f aca="false">IF($A178="","",IF($S178=1,COUNTIF($S$5:$S178,1),""))</f>
        <v/>
      </c>
      <c r="U178" s="22" t="str">
        <f aca="false">IF($D178="","",IFERROR(VLOOKUP($D178,商品マスタ!$A$5:$G$1000,7,FALSE()),0))</f>
        <v/>
      </c>
    </row>
    <row r="179" customFormat="false" ht="15" hidden="false" customHeight="true" outlineLevel="0" collapsed="false">
      <c r="A179" s="23"/>
      <c r="B179" s="14"/>
      <c r="C179" s="14"/>
      <c r="D179" s="14"/>
      <c r="E179" s="24"/>
      <c r="F179" s="24"/>
      <c r="G179" s="14"/>
      <c r="H179" s="14"/>
      <c r="I179" s="14"/>
      <c r="J179" s="22" t="str">
        <f aca="false">IF($D179="","",IFERROR(VLOOKUP($D179,商品マスタ!$A$5:$G$1000,2,FALSE()),"※商品マスタ未登録"))</f>
        <v/>
      </c>
      <c r="K179" s="22" t="str">
        <f aca="false">IF($D179="","",IFERROR(VLOOKUP($D179,商品マスタ!$A$5:$G$1000,3,FALSE()),""))</f>
        <v/>
      </c>
      <c r="L179" s="22" t="str">
        <f aca="false">IF($D179="","",IF($H179&lt;&gt;"",$H179,IFERROR(VLOOKUP($D179,商品マスタ!$A$5:$G$1000,4,FALSE()),"")))</f>
        <v/>
      </c>
      <c r="M179" s="22" t="str">
        <f aca="false">IF($D179="","",IFERROR(VLOOKUP($D179,商品マスタ!$A$5:$G$1000,5,FALSE()),0))</f>
        <v/>
      </c>
      <c r="N179" s="22" t="str">
        <f aca="false">IF($D179="","",IFERROR(VLOOKUP($D179,商品マスタ!$A$5:$G$1000,6,FALSE()),0))</f>
        <v/>
      </c>
      <c r="O179" s="22" t="str">
        <f aca="false">IF($D179="","",ROUND($E179*$F179,0))</f>
        <v/>
      </c>
      <c r="P179" s="22" t="str">
        <f aca="false">IF($D179="","",$O179)</f>
        <v/>
      </c>
      <c r="Q179" s="22" t="str">
        <f aca="false">IF($A179="","",IF($S179=1,$Q178+1,$Q178))</f>
        <v/>
      </c>
      <c r="R179" s="22" t="str">
        <f aca="false">IF($A179="","",IF($Q179=$Q178,$R178+1,1))</f>
        <v/>
      </c>
      <c r="S179" s="22" t="str">
        <f aca="false">IF($A179="","",IF(AND($A179=$A178,$B179=$B178),0,1))</f>
        <v/>
      </c>
      <c r="T179" s="22" t="str">
        <f aca="false">IF($A179="","",IF($S179=1,COUNTIF($S$5:$S179,1),""))</f>
        <v/>
      </c>
      <c r="U179" s="22" t="str">
        <f aca="false">IF($D179="","",IFERROR(VLOOKUP($D179,商品マスタ!$A$5:$G$1000,7,FALSE()),0))</f>
        <v/>
      </c>
    </row>
    <row r="180" customFormat="false" ht="15" hidden="false" customHeight="true" outlineLevel="0" collapsed="false">
      <c r="A180" s="23"/>
      <c r="B180" s="14"/>
      <c r="C180" s="14"/>
      <c r="D180" s="14"/>
      <c r="E180" s="24"/>
      <c r="F180" s="24"/>
      <c r="G180" s="14"/>
      <c r="H180" s="14"/>
      <c r="I180" s="14"/>
      <c r="J180" s="22" t="str">
        <f aca="false">IF($D180="","",IFERROR(VLOOKUP($D180,商品マスタ!$A$5:$G$1000,2,FALSE()),"※商品マスタ未登録"))</f>
        <v/>
      </c>
      <c r="K180" s="22" t="str">
        <f aca="false">IF($D180="","",IFERROR(VLOOKUP($D180,商品マスタ!$A$5:$G$1000,3,FALSE()),""))</f>
        <v/>
      </c>
      <c r="L180" s="22" t="str">
        <f aca="false">IF($D180="","",IF($H180&lt;&gt;"",$H180,IFERROR(VLOOKUP($D180,商品マスタ!$A$5:$G$1000,4,FALSE()),"")))</f>
        <v/>
      </c>
      <c r="M180" s="22" t="str">
        <f aca="false">IF($D180="","",IFERROR(VLOOKUP($D180,商品マスタ!$A$5:$G$1000,5,FALSE()),0))</f>
        <v/>
      </c>
      <c r="N180" s="22" t="str">
        <f aca="false">IF($D180="","",IFERROR(VLOOKUP($D180,商品マスタ!$A$5:$G$1000,6,FALSE()),0))</f>
        <v/>
      </c>
      <c r="O180" s="22" t="str">
        <f aca="false">IF($D180="","",ROUND($E180*$F180,0))</f>
        <v/>
      </c>
      <c r="P180" s="22" t="str">
        <f aca="false">IF($D180="","",$O180)</f>
        <v/>
      </c>
      <c r="Q180" s="22" t="str">
        <f aca="false">IF($A180="","",IF($S180=1,$Q179+1,$Q179))</f>
        <v/>
      </c>
      <c r="R180" s="22" t="str">
        <f aca="false">IF($A180="","",IF($Q180=$Q179,$R179+1,1))</f>
        <v/>
      </c>
      <c r="S180" s="22" t="str">
        <f aca="false">IF($A180="","",IF(AND($A180=$A179,$B180=$B179),0,1))</f>
        <v/>
      </c>
      <c r="T180" s="22" t="str">
        <f aca="false">IF($A180="","",IF($S180=1,COUNTIF($S$5:$S180,1),""))</f>
        <v/>
      </c>
      <c r="U180" s="22" t="str">
        <f aca="false">IF($D180="","",IFERROR(VLOOKUP($D180,商品マスタ!$A$5:$G$1000,7,FALSE()),0))</f>
        <v/>
      </c>
    </row>
    <row r="181" customFormat="false" ht="15" hidden="false" customHeight="true" outlineLevel="0" collapsed="false">
      <c r="A181" s="23"/>
      <c r="B181" s="14"/>
      <c r="C181" s="14"/>
      <c r="D181" s="14"/>
      <c r="E181" s="24"/>
      <c r="F181" s="24"/>
      <c r="G181" s="14"/>
      <c r="H181" s="14"/>
      <c r="I181" s="14"/>
      <c r="J181" s="22" t="str">
        <f aca="false">IF($D181="","",IFERROR(VLOOKUP($D181,商品マスタ!$A$5:$G$1000,2,FALSE()),"※商品マスタ未登録"))</f>
        <v/>
      </c>
      <c r="K181" s="22" t="str">
        <f aca="false">IF($D181="","",IFERROR(VLOOKUP($D181,商品マスタ!$A$5:$G$1000,3,FALSE()),""))</f>
        <v/>
      </c>
      <c r="L181" s="22" t="str">
        <f aca="false">IF($D181="","",IF($H181&lt;&gt;"",$H181,IFERROR(VLOOKUP($D181,商品マスタ!$A$5:$G$1000,4,FALSE()),"")))</f>
        <v/>
      </c>
      <c r="M181" s="22" t="str">
        <f aca="false">IF($D181="","",IFERROR(VLOOKUP($D181,商品マスタ!$A$5:$G$1000,5,FALSE()),0))</f>
        <v/>
      </c>
      <c r="N181" s="22" t="str">
        <f aca="false">IF($D181="","",IFERROR(VLOOKUP($D181,商品マスタ!$A$5:$G$1000,6,FALSE()),0))</f>
        <v/>
      </c>
      <c r="O181" s="22" t="str">
        <f aca="false">IF($D181="","",ROUND($E181*$F181,0))</f>
        <v/>
      </c>
      <c r="P181" s="22" t="str">
        <f aca="false">IF($D181="","",$O181)</f>
        <v/>
      </c>
      <c r="Q181" s="22" t="str">
        <f aca="false">IF($A181="","",IF($S181=1,$Q180+1,$Q180))</f>
        <v/>
      </c>
      <c r="R181" s="22" t="str">
        <f aca="false">IF($A181="","",IF($Q181=$Q180,$R180+1,1))</f>
        <v/>
      </c>
      <c r="S181" s="22" t="str">
        <f aca="false">IF($A181="","",IF(AND($A181=$A180,$B181=$B180),0,1))</f>
        <v/>
      </c>
      <c r="T181" s="22" t="str">
        <f aca="false">IF($A181="","",IF($S181=1,COUNTIF($S$5:$S181,1),""))</f>
        <v/>
      </c>
      <c r="U181" s="22" t="str">
        <f aca="false">IF($D181="","",IFERROR(VLOOKUP($D181,商品マスタ!$A$5:$G$1000,7,FALSE()),0))</f>
        <v/>
      </c>
    </row>
    <row r="182" customFormat="false" ht="15" hidden="false" customHeight="true" outlineLevel="0" collapsed="false">
      <c r="A182" s="23"/>
      <c r="B182" s="14"/>
      <c r="C182" s="14"/>
      <c r="D182" s="14"/>
      <c r="E182" s="24"/>
      <c r="F182" s="24"/>
      <c r="G182" s="14"/>
      <c r="H182" s="14"/>
      <c r="I182" s="14"/>
      <c r="J182" s="22" t="str">
        <f aca="false">IF($D182="","",IFERROR(VLOOKUP($D182,商品マスタ!$A$5:$G$1000,2,FALSE()),"※商品マスタ未登録"))</f>
        <v/>
      </c>
      <c r="K182" s="22" t="str">
        <f aca="false">IF($D182="","",IFERROR(VLOOKUP($D182,商品マスタ!$A$5:$G$1000,3,FALSE()),""))</f>
        <v/>
      </c>
      <c r="L182" s="22" t="str">
        <f aca="false">IF($D182="","",IF($H182&lt;&gt;"",$H182,IFERROR(VLOOKUP($D182,商品マスタ!$A$5:$G$1000,4,FALSE()),"")))</f>
        <v/>
      </c>
      <c r="M182" s="22" t="str">
        <f aca="false">IF($D182="","",IFERROR(VLOOKUP($D182,商品マスタ!$A$5:$G$1000,5,FALSE()),0))</f>
        <v/>
      </c>
      <c r="N182" s="22" t="str">
        <f aca="false">IF($D182="","",IFERROR(VLOOKUP($D182,商品マスタ!$A$5:$G$1000,6,FALSE()),0))</f>
        <v/>
      </c>
      <c r="O182" s="22" t="str">
        <f aca="false">IF($D182="","",ROUND($E182*$F182,0))</f>
        <v/>
      </c>
      <c r="P182" s="22" t="str">
        <f aca="false">IF($D182="","",$O182)</f>
        <v/>
      </c>
      <c r="Q182" s="22" t="str">
        <f aca="false">IF($A182="","",IF($S182=1,$Q181+1,$Q181))</f>
        <v/>
      </c>
      <c r="R182" s="22" t="str">
        <f aca="false">IF($A182="","",IF($Q182=$Q181,$R181+1,1))</f>
        <v/>
      </c>
      <c r="S182" s="22" t="str">
        <f aca="false">IF($A182="","",IF(AND($A182=$A181,$B182=$B181),0,1))</f>
        <v/>
      </c>
      <c r="T182" s="22" t="str">
        <f aca="false">IF($A182="","",IF($S182=1,COUNTIF($S$5:$S182,1),""))</f>
        <v/>
      </c>
      <c r="U182" s="22" t="str">
        <f aca="false">IF($D182="","",IFERROR(VLOOKUP($D182,商品マスタ!$A$5:$G$1000,7,FALSE()),0))</f>
        <v/>
      </c>
    </row>
    <row r="183" customFormat="false" ht="15" hidden="false" customHeight="true" outlineLevel="0" collapsed="false">
      <c r="A183" s="23"/>
      <c r="B183" s="14"/>
      <c r="C183" s="14"/>
      <c r="D183" s="14"/>
      <c r="E183" s="24"/>
      <c r="F183" s="24"/>
      <c r="G183" s="14"/>
      <c r="H183" s="14"/>
      <c r="I183" s="14"/>
      <c r="J183" s="22" t="str">
        <f aca="false">IF($D183="","",IFERROR(VLOOKUP($D183,商品マスタ!$A$5:$G$1000,2,FALSE()),"※商品マスタ未登録"))</f>
        <v/>
      </c>
      <c r="K183" s="22" t="str">
        <f aca="false">IF($D183="","",IFERROR(VLOOKUP($D183,商品マスタ!$A$5:$G$1000,3,FALSE()),""))</f>
        <v/>
      </c>
      <c r="L183" s="22" t="str">
        <f aca="false">IF($D183="","",IF($H183&lt;&gt;"",$H183,IFERROR(VLOOKUP($D183,商品マスタ!$A$5:$G$1000,4,FALSE()),"")))</f>
        <v/>
      </c>
      <c r="M183" s="22" t="str">
        <f aca="false">IF($D183="","",IFERROR(VLOOKUP($D183,商品マスタ!$A$5:$G$1000,5,FALSE()),0))</f>
        <v/>
      </c>
      <c r="N183" s="22" t="str">
        <f aca="false">IF($D183="","",IFERROR(VLOOKUP($D183,商品マスタ!$A$5:$G$1000,6,FALSE()),0))</f>
        <v/>
      </c>
      <c r="O183" s="22" t="str">
        <f aca="false">IF($D183="","",ROUND($E183*$F183,0))</f>
        <v/>
      </c>
      <c r="P183" s="22" t="str">
        <f aca="false">IF($D183="","",$O183)</f>
        <v/>
      </c>
      <c r="Q183" s="22" t="str">
        <f aca="false">IF($A183="","",IF($S183=1,$Q182+1,$Q182))</f>
        <v/>
      </c>
      <c r="R183" s="22" t="str">
        <f aca="false">IF($A183="","",IF($Q183=$Q182,$R182+1,1))</f>
        <v/>
      </c>
      <c r="S183" s="22" t="str">
        <f aca="false">IF($A183="","",IF(AND($A183=$A182,$B183=$B182),0,1))</f>
        <v/>
      </c>
      <c r="T183" s="22" t="str">
        <f aca="false">IF($A183="","",IF($S183=1,COUNTIF($S$5:$S183,1),""))</f>
        <v/>
      </c>
      <c r="U183" s="22" t="str">
        <f aca="false">IF($D183="","",IFERROR(VLOOKUP($D183,商品マスタ!$A$5:$G$1000,7,FALSE()),0))</f>
        <v/>
      </c>
    </row>
    <row r="184" customFormat="false" ht="15" hidden="false" customHeight="true" outlineLevel="0" collapsed="false">
      <c r="A184" s="23"/>
      <c r="B184" s="14"/>
      <c r="C184" s="14"/>
      <c r="D184" s="14"/>
      <c r="E184" s="24"/>
      <c r="F184" s="24"/>
      <c r="G184" s="14"/>
      <c r="H184" s="14"/>
      <c r="I184" s="14"/>
      <c r="J184" s="22" t="str">
        <f aca="false">IF($D184="","",IFERROR(VLOOKUP($D184,商品マスタ!$A$5:$G$1000,2,FALSE()),"※商品マスタ未登録"))</f>
        <v/>
      </c>
      <c r="K184" s="22" t="str">
        <f aca="false">IF($D184="","",IFERROR(VLOOKUP($D184,商品マスタ!$A$5:$G$1000,3,FALSE()),""))</f>
        <v/>
      </c>
      <c r="L184" s="22" t="str">
        <f aca="false">IF($D184="","",IF($H184&lt;&gt;"",$H184,IFERROR(VLOOKUP($D184,商品マスタ!$A$5:$G$1000,4,FALSE()),"")))</f>
        <v/>
      </c>
      <c r="M184" s="22" t="str">
        <f aca="false">IF($D184="","",IFERROR(VLOOKUP($D184,商品マスタ!$A$5:$G$1000,5,FALSE()),0))</f>
        <v/>
      </c>
      <c r="N184" s="22" t="str">
        <f aca="false">IF($D184="","",IFERROR(VLOOKUP($D184,商品マスタ!$A$5:$G$1000,6,FALSE()),0))</f>
        <v/>
      </c>
      <c r="O184" s="22" t="str">
        <f aca="false">IF($D184="","",ROUND($E184*$F184,0))</f>
        <v/>
      </c>
      <c r="P184" s="22" t="str">
        <f aca="false">IF($D184="","",$O184)</f>
        <v/>
      </c>
      <c r="Q184" s="22" t="str">
        <f aca="false">IF($A184="","",IF($S184=1,$Q183+1,$Q183))</f>
        <v/>
      </c>
      <c r="R184" s="22" t="str">
        <f aca="false">IF($A184="","",IF($Q184=$Q183,$R183+1,1))</f>
        <v/>
      </c>
      <c r="S184" s="22" t="str">
        <f aca="false">IF($A184="","",IF(AND($A184=$A183,$B184=$B183),0,1))</f>
        <v/>
      </c>
      <c r="T184" s="22" t="str">
        <f aca="false">IF($A184="","",IF($S184=1,COUNTIF($S$5:$S184,1),""))</f>
        <v/>
      </c>
      <c r="U184" s="22" t="str">
        <f aca="false">IF($D184="","",IFERROR(VLOOKUP($D184,商品マスタ!$A$5:$G$1000,7,FALSE()),0))</f>
        <v/>
      </c>
    </row>
    <row r="185" customFormat="false" ht="15" hidden="false" customHeight="true" outlineLevel="0" collapsed="false">
      <c r="A185" s="23"/>
      <c r="B185" s="14"/>
      <c r="C185" s="14"/>
      <c r="D185" s="14"/>
      <c r="E185" s="24"/>
      <c r="F185" s="24"/>
      <c r="G185" s="14"/>
      <c r="H185" s="14"/>
      <c r="I185" s="14"/>
      <c r="J185" s="22" t="str">
        <f aca="false">IF($D185="","",IFERROR(VLOOKUP($D185,商品マスタ!$A$5:$G$1000,2,FALSE()),"※商品マスタ未登録"))</f>
        <v/>
      </c>
      <c r="K185" s="22" t="str">
        <f aca="false">IF($D185="","",IFERROR(VLOOKUP($D185,商品マスタ!$A$5:$G$1000,3,FALSE()),""))</f>
        <v/>
      </c>
      <c r="L185" s="22" t="str">
        <f aca="false">IF($D185="","",IF($H185&lt;&gt;"",$H185,IFERROR(VLOOKUP($D185,商品マスタ!$A$5:$G$1000,4,FALSE()),"")))</f>
        <v/>
      </c>
      <c r="M185" s="22" t="str">
        <f aca="false">IF($D185="","",IFERROR(VLOOKUP($D185,商品マスタ!$A$5:$G$1000,5,FALSE()),0))</f>
        <v/>
      </c>
      <c r="N185" s="22" t="str">
        <f aca="false">IF($D185="","",IFERROR(VLOOKUP($D185,商品マスタ!$A$5:$G$1000,6,FALSE()),0))</f>
        <v/>
      </c>
      <c r="O185" s="22" t="str">
        <f aca="false">IF($D185="","",ROUND($E185*$F185,0))</f>
        <v/>
      </c>
      <c r="P185" s="22" t="str">
        <f aca="false">IF($D185="","",$O185)</f>
        <v/>
      </c>
      <c r="Q185" s="22" t="str">
        <f aca="false">IF($A185="","",IF($S185=1,$Q184+1,$Q184))</f>
        <v/>
      </c>
      <c r="R185" s="22" t="str">
        <f aca="false">IF($A185="","",IF($Q185=$Q184,$R184+1,1))</f>
        <v/>
      </c>
      <c r="S185" s="22" t="str">
        <f aca="false">IF($A185="","",IF(AND($A185=$A184,$B185=$B184),0,1))</f>
        <v/>
      </c>
      <c r="T185" s="22" t="str">
        <f aca="false">IF($A185="","",IF($S185=1,COUNTIF($S$5:$S185,1),""))</f>
        <v/>
      </c>
      <c r="U185" s="22" t="str">
        <f aca="false">IF($D185="","",IFERROR(VLOOKUP($D185,商品マスタ!$A$5:$G$1000,7,FALSE()),0))</f>
        <v/>
      </c>
    </row>
    <row r="186" customFormat="false" ht="15" hidden="false" customHeight="true" outlineLevel="0" collapsed="false">
      <c r="A186" s="23"/>
      <c r="B186" s="14"/>
      <c r="C186" s="14"/>
      <c r="D186" s="14"/>
      <c r="E186" s="24"/>
      <c r="F186" s="24"/>
      <c r="G186" s="14"/>
      <c r="H186" s="14"/>
      <c r="I186" s="14"/>
      <c r="J186" s="22" t="str">
        <f aca="false">IF($D186="","",IFERROR(VLOOKUP($D186,商品マスタ!$A$5:$G$1000,2,FALSE()),"※商品マスタ未登録"))</f>
        <v/>
      </c>
      <c r="K186" s="22" t="str">
        <f aca="false">IF($D186="","",IFERROR(VLOOKUP($D186,商品マスタ!$A$5:$G$1000,3,FALSE()),""))</f>
        <v/>
      </c>
      <c r="L186" s="22" t="str">
        <f aca="false">IF($D186="","",IF($H186&lt;&gt;"",$H186,IFERROR(VLOOKUP($D186,商品マスタ!$A$5:$G$1000,4,FALSE()),"")))</f>
        <v/>
      </c>
      <c r="M186" s="22" t="str">
        <f aca="false">IF($D186="","",IFERROR(VLOOKUP($D186,商品マスタ!$A$5:$G$1000,5,FALSE()),0))</f>
        <v/>
      </c>
      <c r="N186" s="22" t="str">
        <f aca="false">IF($D186="","",IFERROR(VLOOKUP($D186,商品マスタ!$A$5:$G$1000,6,FALSE()),0))</f>
        <v/>
      </c>
      <c r="O186" s="22" t="str">
        <f aca="false">IF($D186="","",ROUND($E186*$F186,0))</f>
        <v/>
      </c>
      <c r="P186" s="22" t="str">
        <f aca="false">IF($D186="","",$O186)</f>
        <v/>
      </c>
      <c r="Q186" s="22" t="str">
        <f aca="false">IF($A186="","",IF($S186=1,$Q185+1,$Q185))</f>
        <v/>
      </c>
      <c r="R186" s="22" t="str">
        <f aca="false">IF($A186="","",IF($Q186=$Q185,$R185+1,1))</f>
        <v/>
      </c>
      <c r="S186" s="22" t="str">
        <f aca="false">IF($A186="","",IF(AND($A186=$A185,$B186=$B185),0,1))</f>
        <v/>
      </c>
      <c r="T186" s="22" t="str">
        <f aca="false">IF($A186="","",IF($S186=1,COUNTIF($S$5:$S186,1),""))</f>
        <v/>
      </c>
      <c r="U186" s="22" t="str">
        <f aca="false">IF($D186="","",IFERROR(VLOOKUP($D186,商品マスタ!$A$5:$G$1000,7,FALSE()),0))</f>
        <v/>
      </c>
    </row>
    <row r="187" customFormat="false" ht="15" hidden="false" customHeight="true" outlineLevel="0" collapsed="false">
      <c r="A187" s="23"/>
      <c r="B187" s="14"/>
      <c r="C187" s="14"/>
      <c r="D187" s="14"/>
      <c r="E187" s="24"/>
      <c r="F187" s="24"/>
      <c r="G187" s="14"/>
      <c r="H187" s="14"/>
      <c r="I187" s="14"/>
      <c r="J187" s="22" t="str">
        <f aca="false">IF($D187="","",IFERROR(VLOOKUP($D187,商品マスタ!$A$5:$G$1000,2,FALSE()),"※商品マスタ未登録"))</f>
        <v/>
      </c>
      <c r="K187" s="22" t="str">
        <f aca="false">IF($D187="","",IFERROR(VLOOKUP($D187,商品マスタ!$A$5:$G$1000,3,FALSE()),""))</f>
        <v/>
      </c>
      <c r="L187" s="22" t="str">
        <f aca="false">IF($D187="","",IF($H187&lt;&gt;"",$H187,IFERROR(VLOOKUP($D187,商品マスタ!$A$5:$G$1000,4,FALSE()),"")))</f>
        <v/>
      </c>
      <c r="M187" s="22" t="str">
        <f aca="false">IF($D187="","",IFERROR(VLOOKUP($D187,商品マスタ!$A$5:$G$1000,5,FALSE()),0))</f>
        <v/>
      </c>
      <c r="N187" s="22" t="str">
        <f aca="false">IF($D187="","",IFERROR(VLOOKUP($D187,商品マスタ!$A$5:$G$1000,6,FALSE()),0))</f>
        <v/>
      </c>
      <c r="O187" s="22" t="str">
        <f aca="false">IF($D187="","",ROUND($E187*$F187,0))</f>
        <v/>
      </c>
      <c r="P187" s="22" t="str">
        <f aca="false">IF($D187="","",$O187)</f>
        <v/>
      </c>
      <c r="Q187" s="22" t="str">
        <f aca="false">IF($A187="","",IF($S187=1,$Q186+1,$Q186))</f>
        <v/>
      </c>
      <c r="R187" s="22" t="str">
        <f aca="false">IF($A187="","",IF($Q187=$Q186,$R186+1,1))</f>
        <v/>
      </c>
      <c r="S187" s="22" t="str">
        <f aca="false">IF($A187="","",IF(AND($A187=$A186,$B187=$B186),0,1))</f>
        <v/>
      </c>
      <c r="T187" s="22" t="str">
        <f aca="false">IF($A187="","",IF($S187=1,COUNTIF($S$5:$S187,1),""))</f>
        <v/>
      </c>
      <c r="U187" s="22" t="str">
        <f aca="false">IF($D187="","",IFERROR(VLOOKUP($D187,商品マスタ!$A$5:$G$1000,7,FALSE()),0))</f>
        <v/>
      </c>
    </row>
    <row r="188" customFormat="false" ht="15" hidden="false" customHeight="true" outlineLevel="0" collapsed="false">
      <c r="A188" s="23"/>
      <c r="B188" s="14"/>
      <c r="C188" s="14"/>
      <c r="D188" s="14"/>
      <c r="E188" s="24"/>
      <c r="F188" s="24"/>
      <c r="G188" s="14"/>
      <c r="H188" s="14"/>
      <c r="I188" s="14"/>
      <c r="J188" s="22" t="str">
        <f aca="false">IF($D188="","",IFERROR(VLOOKUP($D188,商品マスタ!$A$5:$G$1000,2,FALSE()),"※商品マスタ未登録"))</f>
        <v/>
      </c>
      <c r="K188" s="22" t="str">
        <f aca="false">IF($D188="","",IFERROR(VLOOKUP($D188,商品マスタ!$A$5:$G$1000,3,FALSE()),""))</f>
        <v/>
      </c>
      <c r="L188" s="22" t="str">
        <f aca="false">IF($D188="","",IF($H188&lt;&gt;"",$H188,IFERROR(VLOOKUP($D188,商品マスタ!$A$5:$G$1000,4,FALSE()),"")))</f>
        <v/>
      </c>
      <c r="M188" s="22" t="str">
        <f aca="false">IF($D188="","",IFERROR(VLOOKUP($D188,商品マスタ!$A$5:$G$1000,5,FALSE()),0))</f>
        <v/>
      </c>
      <c r="N188" s="22" t="str">
        <f aca="false">IF($D188="","",IFERROR(VLOOKUP($D188,商品マスタ!$A$5:$G$1000,6,FALSE()),0))</f>
        <v/>
      </c>
      <c r="O188" s="22" t="str">
        <f aca="false">IF($D188="","",ROUND($E188*$F188,0))</f>
        <v/>
      </c>
      <c r="P188" s="22" t="str">
        <f aca="false">IF($D188="","",$O188)</f>
        <v/>
      </c>
      <c r="Q188" s="22" t="str">
        <f aca="false">IF($A188="","",IF($S188=1,$Q187+1,$Q187))</f>
        <v/>
      </c>
      <c r="R188" s="22" t="str">
        <f aca="false">IF($A188="","",IF($Q188=$Q187,$R187+1,1))</f>
        <v/>
      </c>
      <c r="S188" s="22" t="str">
        <f aca="false">IF($A188="","",IF(AND($A188=$A187,$B188=$B187),0,1))</f>
        <v/>
      </c>
      <c r="T188" s="22" t="str">
        <f aca="false">IF($A188="","",IF($S188=1,COUNTIF($S$5:$S188,1),""))</f>
        <v/>
      </c>
      <c r="U188" s="22" t="str">
        <f aca="false">IF($D188="","",IFERROR(VLOOKUP($D188,商品マスタ!$A$5:$G$1000,7,FALSE()),0))</f>
        <v/>
      </c>
    </row>
    <row r="189" customFormat="false" ht="15" hidden="false" customHeight="true" outlineLevel="0" collapsed="false">
      <c r="A189" s="23"/>
      <c r="B189" s="14"/>
      <c r="C189" s="14"/>
      <c r="D189" s="14"/>
      <c r="E189" s="24"/>
      <c r="F189" s="24"/>
      <c r="G189" s="14"/>
      <c r="H189" s="14"/>
      <c r="I189" s="14"/>
      <c r="J189" s="22" t="str">
        <f aca="false">IF($D189="","",IFERROR(VLOOKUP($D189,商品マスタ!$A$5:$G$1000,2,FALSE()),"※商品マスタ未登録"))</f>
        <v/>
      </c>
      <c r="K189" s="22" t="str">
        <f aca="false">IF($D189="","",IFERROR(VLOOKUP($D189,商品マスタ!$A$5:$G$1000,3,FALSE()),""))</f>
        <v/>
      </c>
      <c r="L189" s="22" t="str">
        <f aca="false">IF($D189="","",IF($H189&lt;&gt;"",$H189,IFERROR(VLOOKUP($D189,商品マスタ!$A$5:$G$1000,4,FALSE()),"")))</f>
        <v/>
      </c>
      <c r="M189" s="22" t="str">
        <f aca="false">IF($D189="","",IFERROR(VLOOKUP($D189,商品マスタ!$A$5:$G$1000,5,FALSE()),0))</f>
        <v/>
      </c>
      <c r="N189" s="22" t="str">
        <f aca="false">IF($D189="","",IFERROR(VLOOKUP($D189,商品マスタ!$A$5:$G$1000,6,FALSE()),0))</f>
        <v/>
      </c>
      <c r="O189" s="22" t="str">
        <f aca="false">IF($D189="","",ROUND($E189*$F189,0))</f>
        <v/>
      </c>
      <c r="P189" s="22" t="str">
        <f aca="false">IF($D189="","",$O189)</f>
        <v/>
      </c>
      <c r="Q189" s="22" t="str">
        <f aca="false">IF($A189="","",IF($S189=1,$Q188+1,$Q188))</f>
        <v/>
      </c>
      <c r="R189" s="22" t="str">
        <f aca="false">IF($A189="","",IF($Q189=$Q188,$R188+1,1))</f>
        <v/>
      </c>
      <c r="S189" s="22" t="str">
        <f aca="false">IF($A189="","",IF(AND($A189=$A188,$B189=$B188),0,1))</f>
        <v/>
      </c>
      <c r="T189" s="22" t="str">
        <f aca="false">IF($A189="","",IF($S189=1,COUNTIF($S$5:$S189,1),""))</f>
        <v/>
      </c>
      <c r="U189" s="22" t="str">
        <f aca="false">IF($D189="","",IFERROR(VLOOKUP($D189,商品マスタ!$A$5:$G$1000,7,FALSE()),0))</f>
        <v/>
      </c>
    </row>
    <row r="190" customFormat="false" ht="15" hidden="false" customHeight="true" outlineLevel="0" collapsed="false">
      <c r="A190" s="23"/>
      <c r="B190" s="14"/>
      <c r="C190" s="14"/>
      <c r="D190" s="14"/>
      <c r="E190" s="24"/>
      <c r="F190" s="24"/>
      <c r="G190" s="14"/>
      <c r="H190" s="14"/>
      <c r="I190" s="14"/>
      <c r="J190" s="22" t="str">
        <f aca="false">IF($D190="","",IFERROR(VLOOKUP($D190,商品マスタ!$A$5:$G$1000,2,FALSE()),"※商品マスタ未登録"))</f>
        <v/>
      </c>
      <c r="K190" s="22" t="str">
        <f aca="false">IF($D190="","",IFERROR(VLOOKUP($D190,商品マスタ!$A$5:$G$1000,3,FALSE()),""))</f>
        <v/>
      </c>
      <c r="L190" s="22" t="str">
        <f aca="false">IF($D190="","",IF($H190&lt;&gt;"",$H190,IFERROR(VLOOKUP($D190,商品マスタ!$A$5:$G$1000,4,FALSE()),"")))</f>
        <v/>
      </c>
      <c r="M190" s="22" t="str">
        <f aca="false">IF($D190="","",IFERROR(VLOOKUP($D190,商品マスタ!$A$5:$G$1000,5,FALSE()),0))</f>
        <v/>
      </c>
      <c r="N190" s="22" t="str">
        <f aca="false">IF($D190="","",IFERROR(VLOOKUP($D190,商品マスタ!$A$5:$G$1000,6,FALSE()),0))</f>
        <v/>
      </c>
      <c r="O190" s="22" t="str">
        <f aca="false">IF($D190="","",ROUND($E190*$F190,0))</f>
        <v/>
      </c>
      <c r="P190" s="22" t="str">
        <f aca="false">IF($D190="","",$O190)</f>
        <v/>
      </c>
      <c r="Q190" s="22" t="str">
        <f aca="false">IF($A190="","",IF($S190=1,$Q189+1,$Q189))</f>
        <v/>
      </c>
      <c r="R190" s="22" t="str">
        <f aca="false">IF($A190="","",IF($Q190=$Q189,$R189+1,1))</f>
        <v/>
      </c>
      <c r="S190" s="22" t="str">
        <f aca="false">IF($A190="","",IF(AND($A190=$A189,$B190=$B189),0,1))</f>
        <v/>
      </c>
      <c r="T190" s="22" t="str">
        <f aca="false">IF($A190="","",IF($S190=1,COUNTIF($S$5:$S190,1),""))</f>
        <v/>
      </c>
      <c r="U190" s="22" t="str">
        <f aca="false">IF($D190="","",IFERROR(VLOOKUP($D190,商品マスタ!$A$5:$G$1000,7,FALSE()),0))</f>
        <v/>
      </c>
    </row>
    <row r="191" customFormat="false" ht="15" hidden="false" customHeight="true" outlineLevel="0" collapsed="false">
      <c r="A191" s="23"/>
      <c r="B191" s="14"/>
      <c r="C191" s="14"/>
      <c r="D191" s="14"/>
      <c r="E191" s="24"/>
      <c r="F191" s="24"/>
      <c r="G191" s="14"/>
      <c r="H191" s="14"/>
      <c r="I191" s="14"/>
      <c r="J191" s="22" t="str">
        <f aca="false">IF($D191="","",IFERROR(VLOOKUP($D191,商品マスタ!$A$5:$G$1000,2,FALSE()),"※商品マスタ未登録"))</f>
        <v/>
      </c>
      <c r="K191" s="22" t="str">
        <f aca="false">IF($D191="","",IFERROR(VLOOKUP($D191,商品マスタ!$A$5:$G$1000,3,FALSE()),""))</f>
        <v/>
      </c>
      <c r="L191" s="22" t="str">
        <f aca="false">IF($D191="","",IF($H191&lt;&gt;"",$H191,IFERROR(VLOOKUP($D191,商品マスタ!$A$5:$G$1000,4,FALSE()),"")))</f>
        <v/>
      </c>
      <c r="M191" s="22" t="str">
        <f aca="false">IF($D191="","",IFERROR(VLOOKUP($D191,商品マスタ!$A$5:$G$1000,5,FALSE()),0))</f>
        <v/>
      </c>
      <c r="N191" s="22" t="str">
        <f aca="false">IF($D191="","",IFERROR(VLOOKUP($D191,商品マスタ!$A$5:$G$1000,6,FALSE()),0))</f>
        <v/>
      </c>
      <c r="O191" s="22" t="str">
        <f aca="false">IF($D191="","",ROUND($E191*$F191,0))</f>
        <v/>
      </c>
      <c r="P191" s="22" t="str">
        <f aca="false">IF($D191="","",$O191)</f>
        <v/>
      </c>
      <c r="Q191" s="22" t="str">
        <f aca="false">IF($A191="","",IF($S191=1,$Q190+1,$Q190))</f>
        <v/>
      </c>
      <c r="R191" s="22" t="str">
        <f aca="false">IF($A191="","",IF($Q191=$Q190,$R190+1,1))</f>
        <v/>
      </c>
      <c r="S191" s="22" t="str">
        <f aca="false">IF($A191="","",IF(AND($A191=$A190,$B191=$B190),0,1))</f>
        <v/>
      </c>
      <c r="T191" s="22" t="str">
        <f aca="false">IF($A191="","",IF($S191=1,COUNTIF($S$5:$S191,1),""))</f>
        <v/>
      </c>
      <c r="U191" s="22" t="str">
        <f aca="false">IF($D191="","",IFERROR(VLOOKUP($D191,商品マスタ!$A$5:$G$1000,7,FALSE()),0))</f>
        <v/>
      </c>
    </row>
    <row r="192" customFormat="false" ht="15" hidden="false" customHeight="true" outlineLevel="0" collapsed="false">
      <c r="A192" s="23"/>
      <c r="B192" s="14"/>
      <c r="C192" s="14"/>
      <c r="D192" s="14"/>
      <c r="E192" s="24"/>
      <c r="F192" s="24"/>
      <c r="G192" s="14"/>
      <c r="H192" s="14"/>
      <c r="I192" s="14"/>
      <c r="J192" s="22" t="str">
        <f aca="false">IF($D192="","",IFERROR(VLOOKUP($D192,商品マスタ!$A$5:$G$1000,2,FALSE()),"※商品マスタ未登録"))</f>
        <v/>
      </c>
      <c r="K192" s="22" t="str">
        <f aca="false">IF($D192="","",IFERROR(VLOOKUP($D192,商品マスタ!$A$5:$G$1000,3,FALSE()),""))</f>
        <v/>
      </c>
      <c r="L192" s="22" t="str">
        <f aca="false">IF($D192="","",IF($H192&lt;&gt;"",$H192,IFERROR(VLOOKUP($D192,商品マスタ!$A$5:$G$1000,4,FALSE()),"")))</f>
        <v/>
      </c>
      <c r="M192" s="22" t="str">
        <f aca="false">IF($D192="","",IFERROR(VLOOKUP($D192,商品マスタ!$A$5:$G$1000,5,FALSE()),0))</f>
        <v/>
      </c>
      <c r="N192" s="22" t="str">
        <f aca="false">IF($D192="","",IFERROR(VLOOKUP($D192,商品マスタ!$A$5:$G$1000,6,FALSE()),0))</f>
        <v/>
      </c>
      <c r="O192" s="22" t="str">
        <f aca="false">IF($D192="","",ROUND($E192*$F192,0))</f>
        <v/>
      </c>
      <c r="P192" s="22" t="str">
        <f aca="false">IF($D192="","",$O192)</f>
        <v/>
      </c>
      <c r="Q192" s="22" t="str">
        <f aca="false">IF($A192="","",IF($S192=1,$Q191+1,$Q191))</f>
        <v/>
      </c>
      <c r="R192" s="22" t="str">
        <f aca="false">IF($A192="","",IF($Q192=$Q191,$R191+1,1))</f>
        <v/>
      </c>
      <c r="S192" s="22" t="str">
        <f aca="false">IF($A192="","",IF(AND($A192=$A191,$B192=$B191),0,1))</f>
        <v/>
      </c>
      <c r="T192" s="22" t="str">
        <f aca="false">IF($A192="","",IF($S192=1,COUNTIF($S$5:$S192,1),""))</f>
        <v/>
      </c>
      <c r="U192" s="22" t="str">
        <f aca="false">IF($D192="","",IFERROR(VLOOKUP($D192,商品マスタ!$A$5:$G$1000,7,FALSE()),0))</f>
        <v/>
      </c>
    </row>
    <row r="193" customFormat="false" ht="15" hidden="false" customHeight="true" outlineLevel="0" collapsed="false">
      <c r="A193" s="23"/>
      <c r="B193" s="14"/>
      <c r="C193" s="14"/>
      <c r="D193" s="14"/>
      <c r="E193" s="24"/>
      <c r="F193" s="24"/>
      <c r="G193" s="14"/>
      <c r="H193" s="14"/>
      <c r="I193" s="14"/>
      <c r="J193" s="22" t="str">
        <f aca="false">IF($D193="","",IFERROR(VLOOKUP($D193,商品マスタ!$A$5:$G$1000,2,FALSE()),"※商品マスタ未登録"))</f>
        <v/>
      </c>
      <c r="K193" s="22" t="str">
        <f aca="false">IF($D193="","",IFERROR(VLOOKUP($D193,商品マスタ!$A$5:$G$1000,3,FALSE()),""))</f>
        <v/>
      </c>
      <c r="L193" s="22" t="str">
        <f aca="false">IF($D193="","",IF($H193&lt;&gt;"",$H193,IFERROR(VLOOKUP($D193,商品マスタ!$A$5:$G$1000,4,FALSE()),"")))</f>
        <v/>
      </c>
      <c r="M193" s="22" t="str">
        <f aca="false">IF($D193="","",IFERROR(VLOOKUP($D193,商品マスタ!$A$5:$G$1000,5,FALSE()),0))</f>
        <v/>
      </c>
      <c r="N193" s="22" t="str">
        <f aca="false">IF($D193="","",IFERROR(VLOOKUP($D193,商品マスタ!$A$5:$G$1000,6,FALSE()),0))</f>
        <v/>
      </c>
      <c r="O193" s="22" t="str">
        <f aca="false">IF($D193="","",ROUND($E193*$F193,0))</f>
        <v/>
      </c>
      <c r="P193" s="22" t="str">
        <f aca="false">IF($D193="","",$O193)</f>
        <v/>
      </c>
      <c r="Q193" s="22" t="str">
        <f aca="false">IF($A193="","",IF($S193=1,$Q192+1,$Q192))</f>
        <v/>
      </c>
      <c r="R193" s="22" t="str">
        <f aca="false">IF($A193="","",IF($Q193=$Q192,$R192+1,1))</f>
        <v/>
      </c>
      <c r="S193" s="22" t="str">
        <f aca="false">IF($A193="","",IF(AND($A193=$A192,$B193=$B192),0,1))</f>
        <v/>
      </c>
      <c r="T193" s="22" t="str">
        <f aca="false">IF($A193="","",IF($S193=1,COUNTIF($S$5:$S193,1),""))</f>
        <v/>
      </c>
      <c r="U193" s="22" t="str">
        <f aca="false">IF($D193="","",IFERROR(VLOOKUP($D193,商品マスタ!$A$5:$G$1000,7,FALSE()),0))</f>
        <v/>
      </c>
    </row>
    <row r="194" customFormat="false" ht="15" hidden="false" customHeight="true" outlineLevel="0" collapsed="false">
      <c r="A194" s="23"/>
      <c r="B194" s="14"/>
      <c r="C194" s="14"/>
      <c r="D194" s="14"/>
      <c r="E194" s="24"/>
      <c r="F194" s="24"/>
      <c r="G194" s="14"/>
      <c r="H194" s="14"/>
      <c r="I194" s="14"/>
      <c r="J194" s="22" t="str">
        <f aca="false">IF($D194="","",IFERROR(VLOOKUP($D194,商品マスタ!$A$5:$G$1000,2,FALSE()),"※商品マスタ未登録"))</f>
        <v/>
      </c>
      <c r="K194" s="22" t="str">
        <f aca="false">IF($D194="","",IFERROR(VLOOKUP($D194,商品マスタ!$A$5:$G$1000,3,FALSE()),""))</f>
        <v/>
      </c>
      <c r="L194" s="22" t="str">
        <f aca="false">IF($D194="","",IF($H194&lt;&gt;"",$H194,IFERROR(VLOOKUP($D194,商品マスタ!$A$5:$G$1000,4,FALSE()),"")))</f>
        <v/>
      </c>
      <c r="M194" s="22" t="str">
        <f aca="false">IF($D194="","",IFERROR(VLOOKUP($D194,商品マスタ!$A$5:$G$1000,5,FALSE()),0))</f>
        <v/>
      </c>
      <c r="N194" s="22" t="str">
        <f aca="false">IF($D194="","",IFERROR(VLOOKUP($D194,商品マスタ!$A$5:$G$1000,6,FALSE()),0))</f>
        <v/>
      </c>
      <c r="O194" s="22" t="str">
        <f aca="false">IF($D194="","",ROUND($E194*$F194,0))</f>
        <v/>
      </c>
      <c r="P194" s="22" t="str">
        <f aca="false">IF($D194="","",$O194)</f>
        <v/>
      </c>
      <c r="Q194" s="22" t="str">
        <f aca="false">IF($A194="","",IF($S194=1,$Q193+1,$Q193))</f>
        <v/>
      </c>
      <c r="R194" s="22" t="str">
        <f aca="false">IF($A194="","",IF($Q194=$Q193,$R193+1,1))</f>
        <v/>
      </c>
      <c r="S194" s="22" t="str">
        <f aca="false">IF($A194="","",IF(AND($A194=$A193,$B194=$B193),0,1))</f>
        <v/>
      </c>
      <c r="T194" s="22" t="str">
        <f aca="false">IF($A194="","",IF($S194=1,COUNTIF($S$5:$S194,1),""))</f>
        <v/>
      </c>
      <c r="U194" s="22" t="str">
        <f aca="false">IF($D194="","",IFERROR(VLOOKUP($D194,商品マスタ!$A$5:$G$1000,7,FALSE()),0))</f>
        <v/>
      </c>
    </row>
    <row r="195" customFormat="false" ht="15" hidden="false" customHeight="true" outlineLevel="0" collapsed="false">
      <c r="A195" s="23"/>
      <c r="B195" s="14"/>
      <c r="C195" s="14"/>
      <c r="D195" s="14"/>
      <c r="E195" s="24"/>
      <c r="F195" s="24"/>
      <c r="G195" s="14"/>
      <c r="H195" s="14"/>
      <c r="I195" s="14"/>
      <c r="J195" s="22" t="str">
        <f aca="false">IF($D195="","",IFERROR(VLOOKUP($D195,商品マスタ!$A$5:$G$1000,2,FALSE()),"※商品マスタ未登録"))</f>
        <v/>
      </c>
      <c r="K195" s="22" t="str">
        <f aca="false">IF($D195="","",IFERROR(VLOOKUP($D195,商品マスタ!$A$5:$G$1000,3,FALSE()),""))</f>
        <v/>
      </c>
      <c r="L195" s="22" t="str">
        <f aca="false">IF($D195="","",IF($H195&lt;&gt;"",$H195,IFERROR(VLOOKUP($D195,商品マスタ!$A$5:$G$1000,4,FALSE()),"")))</f>
        <v/>
      </c>
      <c r="M195" s="22" t="str">
        <f aca="false">IF($D195="","",IFERROR(VLOOKUP($D195,商品マスタ!$A$5:$G$1000,5,FALSE()),0))</f>
        <v/>
      </c>
      <c r="N195" s="22" t="str">
        <f aca="false">IF($D195="","",IFERROR(VLOOKUP($D195,商品マスタ!$A$5:$G$1000,6,FALSE()),0))</f>
        <v/>
      </c>
      <c r="O195" s="22" t="str">
        <f aca="false">IF($D195="","",ROUND($E195*$F195,0))</f>
        <v/>
      </c>
      <c r="P195" s="22" t="str">
        <f aca="false">IF($D195="","",$O195)</f>
        <v/>
      </c>
      <c r="Q195" s="22" t="str">
        <f aca="false">IF($A195="","",IF($S195=1,$Q194+1,$Q194))</f>
        <v/>
      </c>
      <c r="R195" s="22" t="str">
        <f aca="false">IF($A195="","",IF($Q195=$Q194,$R194+1,1))</f>
        <v/>
      </c>
      <c r="S195" s="22" t="str">
        <f aca="false">IF($A195="","",IF(AND($A195=$A194,$B195=$B194),0,1))</f>
        <v/>
      </c>
      <c r="T195" s="22" t="str">
        <f aca="false">IF($A195="","",IF($S195=1,COUNTIF($S$5:$S195,1),""))</f>
        <v/>
      </c>
      <c r="U195" s="22" t="str">
        <f aca="false">IF($D195="","",IFERROR(VLOOKUP($D195,商品マスタ!$A$5:$G$1000,7,FALSE()),0))</f>
        <v/>
      </c>
    </row>
    <row r="196" customFormat="false" ht="15" hidden="false" customHeight="true" outlineLevel="0" collapsed="false">
      <c r="A196" s="23"/>
      <c r="B196" s="14"/>
      <c r="C196" s="14"/>
      <c r="D196" s="14"/>
      <c r="E196" s="24"/>
      <c r="F196" s="24"/>
      <c r="G196" s="14"/>
      <c r="H196" s="14"/>
      <c r="I196" s="14"/>
      <c r="J196" s="22" t="str">
        <f aca="false">IF($D196="","",IFERROR(VLOOKUP($D196,商品マスタ!$A$5:$G$1000,2,FALSE()),"※商品マスタ未登録"))</f>
        <v/>
      </c>
      <c r="K196" s="22" t="str">
        <f aca="false">IF($D196="","",IFERROR(VLOOKUP($D196,商品マスタ!$A$5:$G$1000,3,FALSE()),""))</f>
        <v/>
      </c>
      <c r="L196" s="22" t="str">
        <f aca="false">IF($D196="","",IF($H196&lt;&gt;"",$H196,IFERROR(VLOOKUP($D196,商品マスタ!$A$5:$G$1000,4,FALSE()),"")))</f>
        <v/>
      </c>
      <c r="M196" s="22" t="str">
        <f aca="false">IF($D196="","",IFERROR(VLOOKUP($D196,商品マスタ!$A$5:$G$1000,5,FALSE()),0))</f>
        <v/>
      </c>
      <c r="N196" s="22" t="str">
        <f aca="false">IF($D196="","",IFERROR(VLOOKUP($D196,商品マスタ!$A$5:$G$1000,6,FALSE()),0))</f>
        <v/>
      </c>
      <c r="O196" s="22" t="str">
        <f aca="false">IF($D196="","",ROUND($E196*$F196,0))</f>
        <v/>
      </c>
      <c r="P196" s="22" t="str">
        <f aca="false">IF($D196="","",$O196)</f>
        <v/>
      </c>
      <c r="Q196" s="22" t="str">
        <f aca="false">IF($A196="","",IF($S196=1,$Q195+1,$Q195))</f>
        <v/>
      </c>
      <c r="R196" s="22" t="str">
        <f aca="false">IF($A196="","",IF($Q196=$Q195,$R195+1,1))</f>
        <v/>
      </c>
      <c r="S196" s="22" t="str">
        <f aca="false">IF($A196="","",IF(AND($A196=$A195,$B196=$B195),0,1))</f>
        <v/>
      </c>
      <c r="T196" s="22" t="str">
        <f aca="false">IF($A196="","",IF($S196=1,COUNTIF($S$5:$S196,1),""))</f>
        <v/>
      </c>
      <c r="U196" s="22" t="str">
        <f aca="false">IF($D196="","",IFERROR(VLOOKUP($D196,商品マスタ!$A$5:$G$1000,7,FALSE()),0))</f>
        <v/>
      </c>
    </row>
    <row r="197" customFormat="false" ht="15" hidden="false" customHeight="true" outlineLevel="0" collapsed="false">
      <c r="A197" s="23"/>
      <c r="B197" s="14"/>
      <c r="C197" s="14"/>
      <c r="D197" s="14"/>
      <c r="E197" s="24"/>
      <c r="F197" s="24"/>
      <c r="G197" s="14"/>
      <c r="H197" s="14"/>
      <c r="I197" s="14"/>
      <c r="J197" s="22" t="str">
        <f aca="false">IF($D197="","",IFERROR(VLOOKUP($D197,商品マスタ!$A$5:$G$1000,2,FALSE()),"※商品マスタ未登録"))</f>
        <v/>
      </c>
      <c r="K197" s="22" t="str">
        <f aca="false">IF($D197="","",IFERROR(VLOOKUP($D197,商品マスタ!$A$5:$G$1000,3,FALSE()),""))</f>
        <v/>
      </c>
      <c r="L197" s="22" t="str">
        <f aca="false">IF($D197="","",IF($H197&lt;&gt;"",$H197,IFERROR(VLOOKUP($D197,商品マスタ!$A$5:$G$1000,4,FALSE()),"")))</f>
        <v/>
      </c>
      <c r="M197" s="22" t="str">
        <f aca="false">IF($D197="","",IFERROR(VLOOKUP($D197,商品マスタ!$A$5:$G$1000,5,FALSE()),0))</f>
        <v/>
      </c>
      <c r="N197" s="22" t="str">
        <f aca="false">IF($D197="","",IFERROR(VLOOKUP($D197,商品マスタ!$A$5:$G$1000,6,FALSE()),0))</f>
        <v/>
      </c>
      <c r="O197" s="22" t="str">
        <f aca="false">IF($D197="","",ROUND($E197*$F197,0))</f>
        <v/>
      </c>
      <c r="P197" s="22" t="str">
        <f aca="false">IF($D197="","",$O197)</f>
        <v/>
      </c>
      <c r="Q197" s="22" t="str">
        <f aca="false">IF($A197="","",IF($S197=1,$Q196+1,$Q196))</f>
        <v/>
      </c>
      <c r="R197" s="22" t="str">
        <f aca="false">IF($A197="","",IF($Q197=$Q196,$R196+1,1))</f>
        <v/>
      </c>
      <c r="S197" s="22" t="str">
        <f aca="false">IF($A197="","",IF(AND($A197=$A196,$B197=$B196),0,1))</f>
        <v/>
      </c>
      <c r="T197" s="22" t="str">
        <f aca="false">IF($A197="","",IF($S197=1,COUNTIF($S$5:$S197,1),""))</f>
        <v/>
      </c>
      <c r="U197" s="22" t="str">
        <f aca="false">IF($D197="","",IFERROR(VLOOKUP($D197,商品マスタ!$A$5:$G$1000,7,FALSE()),0))</f>
        <v/>
      </c>
    </row>
    <row r="198" customFormat="false" ht="15" hidden="false" customHeight="true" outlineLevel="0" collapsed="false">
      <c r="A198" s="23"/>
      <c r="B198" s="14"/>
      <c r="C198" s="14"/>
      <c r="D198" s="14"/>
      <c r="E198" s="24"/>
      <c r="F198" s="24"/>
      <c r="G198" s="14"/>
      <c r="H198" s="14"/>
      <c r="I198" s="14"/>
      <c r="J198" s="22" t="str">
        <f aca="false">IF($D198="","",IFERROR(VLOOKUP($D198,商品マスタ!$A$5:$G$1000,2,FALSE()),"※商品マスタ未登録"))</f>
        <v/>
      </c>
      <c r="K198" s="22" t="str">
        <f aca="false">IF($D198="","",IFERROR(VLOOKUP($D198,商品マスタ!$A$5:$G$1000,3,FALSE()),""))</f>
        <v/>
      </c>
      <c r="L198" s="22" t="str">
        <f aca="false">IF($D198="","",IF($H198&lt;&gt;"",$H198,IFERROR(VLOOKUP($D198,商品マスタ!$A$5:$G$1000,4,FALSE()),"")))</f>
        <v/>
      </c>
      <c r="M198" s="22" t="str">
        <f aca="false">IF($D198="","",IFERROR(VLOOKUP($D198,商品マスタ!$A$5:$G$1000,5,FALSE()),0))</f>
        <v/>
      </c>
      <c r="N198" s="22" t="str">
        <f aca="false">IF($D198="","",IFERROR(VLOOKUP($D198,商品マスタ!$A$5:$G$1000,6,FALSE()),0))</f>
        <v/>
      </c>
      <c r="O198" s="22" t="str">
        <f aca="false">IF($D198="","",ROUND($E198*$F198,0))</f>
        <v/>
      </c>
      <c r="P198" s="22" t="str">
        <f aca="false">IF($D198="","",$O198)</f>
        <v/>
      </c>
      <c r="Q198" s="22" t="str">
        <f aca="false">IF($A198="","",IF($S198=1,$Q197+1,$Q197))</f>
        <v/>
      </c>
      <c r="R198" s="22" t="str">
        <f aca="false">IF($A198="","",IF($Q198=$Q197,$R197+1,1))</f>
        <v/>
      </c>
      <c r="S198" s="22" t="str">
        <f aca="false">IF($A198="","",IF(AND($A198=$A197,$B198=$B197),0,1))</f>
        <v/>
      </c>
      <c r="T198" s="22" t="str">
        <f aca="false">IF($A198="","",IF($S198=1,COUNTIF($S$5:$S198,1),""))</f>
        <v/>
      </c>
      <c r="U198" s="22" t="str">
        <f aca="false">IF($D198="","",IFERROR(VLOOKUP($D198,商品マスタ!$A$5:$G$1000,7,FALSE()),0))</f>
        <v/>
      </c>
    </row>
    <row r="199" customFormat="false" ht="15" hidden="false" customHeight="true" outlineLevel="0" collapsed="false">
      <c r="A199" s="23"/>
      <c r="B199" s="14"/>
      <c r="C199" s="14"/>
      <c r="D199" s="14"/>
      <c r="E199" s="24"/>
      <c r="F199" s="24"/>
      <c r="G199" s="14"/>
      <c r="H199" s="14"/>
      <c r="I199" s="14"/>
      <c r="J199" s="22" t="str">
        <f aca="false">IF($D199="","",IFERROR(VLOOKUP($D199,商品マスタ!$A$5:$G$1000,2,FALSE()),"※商品マスタ未登録"))</f>
        <v/>
      </c>
      <c r="K199" s="22" t="str">
        <f aca="false">IF($D199="","",IFERROR(VLOOKUP($D199,商品マスタ!$A$5:$G$1000,3,FALSE()),""))</f>
        <v/>
      </c>
      <c r="L199" s="22" t="str">
        <f aca="false">IF($D199="","",IF($H199&lt;&gt;"",$H199,IFERROR(VLOOKUP($D199,商品マスタ!$A$5:$G$1000,4,FALSE()),"")))</f>
        <v/>
      </c>
      <c r="M199" s="22" t="str">
        <f aca="false">IF($D199="","",IFERROR(VLOOKUP($D199,商品マスタ!$A$5:$G$1000,5,FALSE()),0))</f>
        <v/>
      </c>
      <c r="N199" s="22" t="str">
        <f aca="false">IF($D199="","",IFERROR(VLOOKUP($D199,商品マスタ!$A$5:$G$1000,6,FALSE()),0))</f>
        <v/>
      </c>
      <c r="O199" s="22" t="str">
        <f aca="false">IF($D199="","",ROUND($E199*$F199,0))</f>
        <v/>
      </c>
      <c r="P199" s="22" t="str">
        <f aca="false">IF($D199="","",$O199)</f>
        <v/>
      </c>
      <c r="Q199" s="22" t="str">
        <f aca="false">IF($A199="","",IF($S199=1,$Q198+1,$Q198))</f>
        <v/>
      </c>
      <c r="R199" s="22" t="str">
        <f aca="false">IF($A199="","",IF($Q199=$Q198,$R198+1,1))</f>
        <v/>
      </c>
      <c r="S199" s="22" t="str">
        <f aca="false">IF($A199="","",IF(AND($A199=$A198,$B199=$B198),0,1))</f>
        <v/>
      </c>
      <c r="T199" s="22" t="str">
        <f aca="false">IF($A199="","",IF($S199=1,COUNTIF($S$5:$S199,1),""))</f>
        <v/>
      </c>
      <c r="U199" s="22" t="str">
        <f aca="false">IF($D199="","",IFERROR(VLOOKUP($D199,商品マスタ!$A$5:$G$1000,7,FALSE()),0))</f>
        <v/>
      </c>
    </row>
    <row r="200" customFormat="false" ht="15" hidden="false" customHeight="true" outlineLevel="0" collapsed="false">
      <c r="A200" s="23"/>
      <c r="B200" s="14"/>
      <c r="C200" s="14"/>
      <c r="D200" s="14"/>
      <c r="E200" s="24"/>
      <c r="F200" s="24"/>
      <c r="G200" s="14"/>
      <c r="H200" s="14"/>
      <c r="I200" s="14"/>
      <c r="J200" s="22" t="str">
        <f aca="false">IF($D200="","",IFERROR(VLOOKUP($D200,商品マスタ!$A$5:$G$1000,2,FALSE()),"※商品マスタ未登録"))</f>
        <v/>
      </c>
      <c r="K200" s="22" t="str">
        <f aca="false">IF($D200="","",IFERROR(VLOOKUP($D200,商品マスタ!$A$5:$G$1000,3,FALSE()),""))</f>
        <v/>
      </c>
      <c r="L200" s="22" t="str">
        <f aca="false">IF($D200="","",IF($H200&lt;&gt;"",$H200,IFERROR(VLOOKUP($D200,商品マスタ!$A$5:$G$1000,4,FALSE()),"")))</f>
        <v/>
      </c>
      <c r="M200" s="22" t="str">
        <f aca="false">IF($D200="","",IFERROR(VLOOKUP($D200,商品マスタ!$A$5:$G$1000,5,FALSE()),0))</f>
        <v/>
      </c>
      <c r="N200" s="22" t="str">
        <f aca="false">IF($D200="","",IFERROR(VLOOKUP($D200,商品マスタ!$A$5:$G$1000,6,FALSE()),0))</f>
        <v/>
      </c>
      <c r="O200" s="22" t="str">
        <f aca="false">IF($D200="","",ROUND($E200*$F200,0))</f>
        <v/>
      </c>
      <c r="P200" s="22" t="str">
        <f aca="false">IF($D200="","",$O200)</f>
        <v/>
      </c>
      <c r="Q200" s="22" t="str">
        <f aca="false">IF($A200="","",IF($S200=1,$Q199+1,$Q199))</f>
        <v/>
      </c>
      <c r="R200" s="22" t="str">
        <f aca="false">IF($A200="","",IF($Q200=$Q199,$R199+1,1))</f>
        <v/>
      </c>
      <c r="S200" s="22" t="str">
        <f aca="false">IF($A200="","",IF(AND($A200=$A199,$B200=$B199),0,1))</f>
        <v/>
      </c>
      <c r="T200" s="22" t="str">
        <f aca="false">IF($A200="","",IF($S200=1,COUNTIF($S$5:$S200,1),""))</f>
        <v/>
      </c>
      <c r="U200" s="22" t="str">
        <f aca="false">IF($D200="","",IFERROR(VLOOKUP($D200,商品マスタ!$A$5:$G$1000,7,FALSE()),0))</f>
        <v/>
      </c>
    </row>
    <row r="201" customFormat="false" ht="15" hidden="false" customHeight="true" outlineLevel="0" collapsed="false">
      <c r="A201" s="23"/>
      <c r="B201" s="14"/>
      <c r="C201" s="14"/>
      <c r="D201" s="14"/>
      <c r="E201" s="24"/>
      <c r="F201" s="24"/>
      <c r="G201" s="14"/>
      <c r="H201" s="14"/>
      <c r="I201" s="14"/>
      <c r="J201" s="22" t="str">
        <f aca="false">IF($D201="","",IFERROR(VLOOKUP($D201,商品マスタ!$A$5:$G$1000,2,FALSE()),"※商品マスタ未登録"))</f>
        <v/>
      </c>
      <c r="K201" s="22" t="str">
        <f aca="false">IF($D201="","",IFERROR(VLOOKUP($D201,商品マスタ!$A$5:$G$1000,3,FALSE()),""))</f>
        <v/>
      </c>
      <c r="L201" s="22" t="str">
        <f aca="false">IF($D201="","",IF($H201&lt;&gt;"",$H201,IFERROR(VLOOKUP($D201,商品マスタ!$A$5:$G$1000,4,FALSE()),"")))</f>
        <v/>
      </c>
      <c r="M201" s="22" t="str">
        <f aca="false">IF($D201="","",IFERROR(VLOOKUP($D201,商品マスタ!$A$5:$G$1000,5,FALSE()),0))</f>
        <v/>
      </c>
      <c r="N201" s="22" t="str">
        <f aca="false">IF($D201="","",IFERROR(VLOOKUP($D201,商品マスタ!$A$5:$G$1000,6,FALSE()),0))</f>
        <v/>
      </c>
      <c r="O201" s="22" t="str">
        <f aca="false">IF($D201="","",ROUND($E201*$F201,0))</f>
        <v/>
      </c>
      <c r="P201" s="22" t="str">
        <f aca="false">IF($D201="","",$O201)</f>
        <v/>
      </c>
      <c r="Q201" s="22" t="str">
        <f aca="false">IF($A201="","",IF($S201=1,$Q200+1,$Q200))</f>
        <v/>
      </c>
      <c r="R201" s="22" t="str">
        <f aca="false">IF($A201="","",IF($Q201=$Q200,$R200+1,1))</f>
        <v/>
      </c>
      <c r="S201" s="22" t="str">
        <f aca="false">IF($A201="","",IF(AND($A201=$A200,$B201=$B200),0,1))</f>
        <v/>
      </c>
      <c r="T201" s="22" t="str">
        <f aca="false">IF($A201="","",IF($S201=1,COUNTIF($S$5:$S201,1),""))</f>
        <v/>
      </c>
      <c r="U201" s="22" t="str">
        <f aca="false">IF($D201="","",IFERROR(VLOOKUP($D201,商品マスタ!$A$5:$G$1000,7,FALSE()),0))</f>
        <v/>
      </c>
    </row>
    <row r="202" customFormat="false" ht="15" hidden="false" customHeight="true" outlineLevel="0" collapsed="false">
      <c r="A202" s="23"/>
      <c r="B202" s="14"/>
      <c r="C202" s="14"/>
      <c r="D202" s="14"/>
      <c r="E202" s="24"/>
      <c r="F202" s="24"/>
      <c r="G202" s="14"/>
      <c r="H202" s="14"/>
      <c r="I202" s="14"/>
      <c r="J202" s="22" t="str">
        <f aca="false">IF($D202="","",IFERROR(VLOOKUP($D202,商品マスタ!$A$5:$G$1000,2,FALSE()),"※商品マスタ未登録"))</f>
        <v/>
      </c>
      <c r="K202" s="22" t="str">
        <f aca="false">IF($D202="","",IFERROR(VLOOKUP($D202,商品マスタ!$A$5:$G$1000,3,FALSE()),""))</f>
        <v/>
      </c>
      <c r="L202" s="22" t="str">
        <f aca="false">IF($D202="","",IF($H202&lt;&gt;"",$H202,IFERROR(VLOOKUP($D202,商品マスタ!$A$5:$G$1000,4,FALSE()),"")))</f>
        <v/>
      </c>
      <c r="M202" s="22" t="str">
        <f aca="false">IF($D202="","",IFERROR(VLOOKUP($D202,商品マスタ!$A$5:$G$1000,5,FALSE()),0))</f>
        <v/>
      </c>
      <c r="N202" s="22" t="str">
        <f aca="false">IF($D202="","",IFERROR(VLOOKUP($D202,商品マスタ!$A$5:$G$1000,6,FALSE()),0))</f>
        <v/>
      </c>
      <c r="O202" s="22" t="str">
        <f aca="false">IF($D202="","",ROUND($E202*$F202,0))</f>
        <v/>
      </c>
      <c r="P202" s="22" t="str">
        <f aca="false">IF($D202="","",$O202)</f>
        <v/>
      </c>
      <c r="Q202" s="22" t="str">
        <f aca="false">IF($A202="","",IF($S202=1,$Q201+1,$Q201))</f>
        <v/>
      </c>
      <c r="R202" s="22" t="str">
        <f aca="false">IF($A202="","",IF($Q202=$Q201,$R201+1,1))</f>
        <v/>
      </c>
      <c r="S202" s="22" t="str">
        <f aca="false">IF($A202="","",IF(AND($A202=$A201,$B202=$B201),0,1))</f>
        <v/>
      </c>
      <c r="T202" s="22" t="str">
        <f aca="false">IF($A202="","",IF($S202=1,COUNTIF($S$5:$S202,1),""))</f>
        <v/>
      </c>
      <c r="U202" s="22" t="str">
        <f aca="false">IF($D202="","",IFERROR(VLOOKUP($D202,商品マスタ!$A$5:$G$1000,7,FALSE()),0))</f>
        <v/>
      </c>
    </row>
    <row r="203" customFormat="false" ht="15" hidden="false" customHeight="true" outlineLevel="0" collapsed="false">
      <c r="A203" s="23"/>
      <c r="B203" s="14"/>
      <c r="C203" s="14"/>
      <c r="D203" s="14"/>
      <c r="E203" s="24"/>
      <c r="F203" s="24"/>
      <c r="G203" s="14"/>
      <c r="H203" s="14"/>
      <c r="I203" s="14"/>
      <c r="J203" s="22" t="str">
        <f aca="false">IF($D203="","",IFERROR(VLOOKUP($D203,商品マスタ!$A$5:$G$1000,2,FALSE()),"※商品マスタ未登録"))</f>
        <v/>
      </c>
      <c r="K203" s="22" t="str">
        <f aca="false">IF($D203="","",IFERROR(VLOOKUP($D203,商品マスタ!$A$5:$G$1000,3,FALSE()),""))</f>
        <v/>
      </c>
      <c r="L203" s="22" t="str">
        <f aca="false">IF($D203="","",IF($H203&lt;&gt;"",$H203,IFERROR(VLOOKUP($D203,商品マスタ!$A$5:$G$1000,4,FALSE()),"")))</f>
        <v/>
      </c>
      <c r="M203" s="22" t="str">
        <f aca="false">IF($D203="","",IFERROR(VLOOKUP($D203,商品マスタ!$A$5:$G$1000,5,FALSE()),0))</f>
        <v/>
      </c>
      <c r="N203" s="22" t="str">
        <f aca="false">IF($D203="","",IFERROR(VLOOKUP($D203,商品マスタ!$A$5:$G$1000,6,FALSE()),0))</f>
        <v/>
      </c>
      <c r="O203" s="22" t="str">
        <f aca="false">IF($D203="","",ROUND($E203*$F203,0))</f>
        <v/>
      </c>
      <c r="P203" s="22" t="str">
        <f aca="false">IF($D203="","",$O203)</f>
        <v/>
      </c>
      <c r="Q203" s="22" t="str">
        <f aca="false">IF($A203="","",IF($S203=1,$Q202+1,$Q202))</f>
        <v/>
      </c>
      <c r="R203" s="22" t="str">
        <f aca="false">IF($A203="","",IF($Q203=$Q202,$R202+1,1))</f>
        <v/>
      </c>
      <c r="S203" s="22" t="str">
        <f aca="false">IF($A203="","",IF(AND($A203=$A202,$B203=$B202),0,1))</f>
        <v/>
      </c>
      <c r="T203" s="22" t="str">
        <f aca="false">IF($A203="","",IF($S203=1,COUNTIF($S$5:$S203,1),""))</f>
        <v/>
      </c>
      <c r="U203" s="22" t="str">
        <f aca="false">IF($D203="","",IFERROR(VLOOKUP($D203,商品マスタ!$A$5:$G$1000,7,FALSE()),0))</f>
        <v/>
      </c>
    </row>
    <row r="204" customFormat="false" ht="15" hidden="false" customHeight="true" outlineLevel="0" collapsed="false">
      <c r="A204" s="23"/>
      <c r="B204" s="14"/>
      <c r="C204" s="14"/>
      <c r="D204" s="14"/>
      <c r="E204" s="24"/>
      <c r="F204" s="24"/>
      <c r="G204" s="14"/>
      <c r="H204" s="14"/>
      <c r="I204" s="14"/>
      <c r="J204" s="22" t="str">
        <f aca="false">IF($D204="","",IFERROR(VLOOKUP($D204,商品マスタ!$A$5:$G$1000,2,FALSE()),"※商品マスタ未登録"))</f>
        <v/>
      </c>
      <c r="K204" s="22" t="str">
        <f aca="false">IF($D204="","",IFERROR(VLOOKUP($D204,商品マスタ!$A$5:$G$1000,3,FALSE()),""))</f>
        <v/>
      </c>
      <c r="L204" s="22" t="str">
        <f aca="false">IF($D204="","",IF($H204&lt;&gt;"",$H204,IFERROR(VLOOKUP($D204,商品マスタ!$A$5:$G$1000,4,FALSE()),"")))</f>
        <v/>
      </c>
      <c r="M204" s="22" t="str">
        <f aca="false">IF($D204="","",IFERROR(VLOOKUP($D204,商品マスタ!$A$5:$G$1000,5,FALSE()),0))</f>
        <v/>
      </c>
      <c r="N204" s="22" t="str">
        <f aca="false">IF($D204="","",IFERROR(VLOOKUP($D204,商品マスタ!$A$5:$G$1000,6,FALSE()),0))</f>
        <v/>
      </c>
      <c r="O204" s="22" t="str">
        <f aca="false">IF($D204="","",ROUND($E204*$F204,0))</f>
        <v/>
      </c>
      <c r="P204" s="22" t="str">
        <f aca="false">IF($D204="","",$O204)</f>
        <v/>
      </c>
      <c r="Q204" s="22" t="str">
        <f aca="false">IF($A204="","",IF($S204=1,$Q203+1,$Q203))</f>
        <v/>
      </c>
      <c r="R204" s="22" t="str">
        <f aca="false">IF($A204="","",IF($Q204=$Q203,$R203+1,1))</f>
        <v/>
      </c>
      <c r="S204" s="22" t="str">
        <f aca="false">IF($A204="","",IF(AND($A204=$A203,$B204=$B203),0,1))</f>
        <v/>
      </c>
      <c r="T204" s="22" t="str">
        <f aca="false">IF($A204="","",IF($S204=1,COUNTIF($S$5:$S204,1),""))</f>
        <v/>
      </c>
      <c r="U204" s="22" t="str">
        <f aca="false">IF($D204="","",IFERROR(VLOOKUP($D204,商品マスタ!$A$5:$G$1000,7,FALSE()),0))</f>
        <v/>
      </c>
    </row>
  </sheetData>
  <dataValidations count="2">
    <dataValidation allowBlank="true" error="1(通常)/2(返品)/3(値引)/4(諸経費)のいずれか、または空欄にしてください。" errorStyle="stop" errorTitle="入力エラー" operator="between" showDropDown="false" showErrorMessage="true" showInputMessage="false" sqref="G5:G204" type="list">
      <formula1>"1,2,3,4"</formula1>
      <formula2>0</formula2>
    </dataValidation>
    <dataValidation allowBlank="true" error="13(10%課税)/30(8%軽減)/0(対象外)のいずれか、または空欄にしてください。" errorStyle="stop" errorTitle="入力エラー" operator="between" showDropDown="false" showErrorMessage="true" showInputMessage="false" sqref="H5:H204" type="list">
      <formula1>"13,30,0"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3" min="1" style="1" width="11"/>
    <col collapsed="false" customWidth="true" hidden="true" outlineLevel="0" max="46" min="46" style="1" width="8"/>
  </cols>
  <sheetData>
    <row r="1" customFormat="false" ht="15" hidden="false" customHeight="true" outlineLevel="0" collapsed="false">
      <c r="A1" s="25" t="n">
        <f aca="false">IF(入力シート!$A5="","",1)</f>
        <v>1</v>
      </c>
      <c r="B1" s="25" t="n">
        <f aca="false">IF(入力シート!$A5="","",1)</f>
        <v>1</v>
      </c>
      <c r="C1" s="25" t="n">
        <f aca="false">IF(入力シート!$A5="","",0)</f>
        <v>0</v>
      </c>
      <c r="D1" s="25" t="str">
        <f aca="false">IF(入力シート!$A5="","",TEXT(入力シート!A5,"YYYYMMDD"))</f>
        <v>20260804</v>
      </c>
      <c r="E1" s="25" t="str">
        <f aca="false">IF(入力シート!$A5="","",TEXT(入力シート!Q5,"00000000"))</f>
        <v>00000090</v>
      </c>
      <c r="F1" s="25" t="n">
        <f aca="false">IF(入力シート!$A5="","",14)</f>
        <v>14</v>
      </c>
      <c r="G1" s="25" t="n">
        <f aca="false">IF(入力シート!$A5="","",1)</f>
        <v>1</v>
      </c>
      <c r="H1" s="25" t="n">
        <f aca="false">IF(入力シート!$A5="","",1)</f>
        <v>1</v>
      </c>
      <c r="I1" s="25" t="n">
        <f aca="false">IF(入力シート!$A5="","",3)</f>
        <v>3</v>
      </c>
      <c r="J1" s="25" t="n">
        <f aca="false">IF(入力シート!$A5="","",1)</f>
        <v>1</v>
      </c>
      <c r="K1" s="25" t="str">
        <f aca="false">IF(入力シート!$A5="","",入力シート!B5)</f>
        <v>50</v>
      </c>
      <c r="L1" s="25" t="str">
        <f aca="false">IF(入力シート!$A5="","","")</f>
        <v/>
      </c>
      <c r="M1" s="25" t="str">
        <f aca="false">IF(入力シート!$A5="","","")</f>
        <v/>
      </c>
      <c r="N1" s="25" t="n">
        <f aca="false">IF(入力シート!$A5="","",入力シート!R5)</f>
        <v>1</v>
      </c>
      <c r="O1" s="25" t="n">
        <f aca="false">IF(入力シート!$A5="","",IF(入力シート!G5="",1,入力シート!G5))</f>
        <v>1</v>
      </c>
      <c r="P1" s="25" t="str">
        <f aca="false">IF(入力シート!$A5="","",入力シート!D5)</f>
        <v>2</v>
      </c>
      <c r="Q1" s="25" t="str">
        <f aca="false">IF(入力シート!$A5="","","")</f>
        <v/>
      </c>
      <c r="R1" s="25" t="str">
        <f aca="false">IF(入力シート!$A5="","",入力シート!J5)</f>
        <v>黄肌鮪プレートA</v>
      </c>
      <c r="S1" s="25" t="n">
        <f aca="false">IF(入力シート!$A5="","",入力シート!L5)</f>
        <v>30</v>
      </c>
      <c r="T1" s="25" t="str">
        <f aca="false">IF(入力シート!$A5="","",入力シート!K5)</f>
        <v>kg</v>
      </c>
      <c r="U1" s="25" t="n">
        <f aca="false">IF(入力シート!$A5="","",0)</f>
        <v>0</v>
      </c>
      <c r="V1" s="25" t="n">
        <f aca="false">IF(入力シート!$A5="","",0)</f>
        <v>0</v>
      </c>
      <c r="W1" s="25" t="str">
        <f aca="false">IF(入力シート!$A5="","","0000")</f>
        <v>0000</v>
      </c>
      <c r="X1" s="25" t="n">
        <f aca="false">IF(入力シート!$A5="","",入力シート!E5)</f>
        <v>1000</v>
      </c>
      <c r="Y1" s="25" t="n">
        <f aca="false">IF(入力シート!$A5="","",入力シート!F5)</f>
        <v>2700</v>
      </c>
      <c r="Z1" s="25" t="n">
        <f aca="false">IF(入力シート!$A5="","",入力シート!O5)</f>
        <v>2700000</v>
      </c>
      <c r="AA1" s="25" t="str">
        <f aca="false">IF(入力シート!$A5="","","")</f>
        <v/>
      </c>
      <c r="AB1" s="25" t="n">
        <f aca="false">IF(入力シート!$A5="","",入力シート!P5)</f>
        <v>2700000</v>
      </c>
      <c r="AC1" s="25" t="n">
        <f aca="false">IF(入力シート!$A5="","",入力シート!U5)</f>
        <v>0</v>
      </c>
      <c r="AD1" s="25" t="n">
        <f aca="false">IF(入力シート!$A5="","",0)</f>
        <v>0</v>
      </c>
      <c r="AE1" s="25" t="n">
        <f aca="false">IF(入力シート!$A5="","",入力シート!I5)</f>
        <v>0</v>
      </c>
      <c r="AF1" s="25" t="n">
        <f aca="false">IF(入力シート!$A5="","",入力シート!M5)</f>
        <v>1</v>
      </c>
      <c r="AG1" s="25" t="n">
        <f aca="false">IF(入力シート!$A5="","",入力シート!N5)</f>
        <v>1</v>
      </c>
      <c r="AH1" s="25" t="str">
        <f aca="false">IF(入力シート!$A5="","","")</f>
        <v/>
      </c>
      <c r="AI1" s="25" t="str">
        <f aca="false">IF(入力シート!$A5="","","")</f>
        <v/>
      </c>
      <c r="AJ1" s="25" t="str">
        <f aca="false">IF(入力シート!$A5="","","")</f>
        <v/>
      </c>
      <c r="AK1" s="25" t="n">
        <f aca="false">IF(入力シート!$A5="","",2)</f>
        <v>2</v>
      </c>
      <c r="AL1" s="25" t="str">
        <f aca="false">IF(入力シート!$A5="","","")</f>
        <v/>
      </c>
      <c r="AM1" s="25" t="str">
        <f aca="false">IF(入力シート!$A5="","","")</f>
        <v/>
      </c>
      <c r="AN1" s="25" t="str">
        <f aca="false">IF(入力シート!$A5="","",入力シート!C5)</f>
        <v>株式会社オリエンタルフーズ</v>
      </c>
      <c r="AO1" s="25" t="str">
        <f aca="false">IF(入力シート!$A5="","","")</f>
        <v/>
      </c>
      <c r="AP1" s="25" t="str">
        <f aca="false">IF(入力シート!$A5="","","")</f>
        <v/>
      </c>
      <c r="AQ1" s="25" t="str">
        <f aca="false">IF(入力シート!$A5="","","")</f>
        <v/>
      </c>
      <c r="AT1" s="26" t="s">
        <v>68</v>
      </c>
    </row>
    <row r="2" customFormat="false" ht="15" hidden="false" customHeight="true" outlineLevel="0" collapsed="false">
      <c r="A2" s="25" t="n">
        <f aca="false">IF(入力シート!$A6="","",1)</f>
        <v>1</v>
      </c>
      <c r="B2" s="25" t="n">
        <f aca="false">IF(入力シート!$A6="","",1)</f>
        <v>1</v>
      </c>
      <c r="C2" s="25" t="n">
        <f aca="false">IF(入力シート!$A6="","",0)</f>
        <v>0</v>
      </c>
      <c r="D2" s="25" t="str">
        <f aca="false">IF(入力シート!$A6="","",TEXT(入力シート!A6,"YYYYMMDD"))</f>
        <v>20260804</v>
      </c>
      <c r="E2" s="25" t="str">
        <f aca="false">IF(入力シート!$A6="","",TEXT(入力シート!Q6,"00000000"))</f>
        <v>00000090</v>
      </c>
      <c r="F2" s="25" t="n">
        <f aca="false">IF(入力シート!$A6="","",14)</f>
        <v>14</v>
      </c>
      <c r="G2" s="25" t="n">
        <f aca="false">IF(入力シート!$A6="","",1)</f>
        <v>1</v>
      </c>
      <c r="H2" s="25" t="n">
        <f aca="false">IF(入力シート!$A6="","",1)</f>
        <v>1</v>
      </c>
      <c r="I2" s="25" t="n">
        <f aca="false">IF(入力シート!$A6="","",3)</f>
        <v>3</v>
      </c>
      <c r="J2" s="25" t="n">
        <f aca="false">IF(入力シート!$A6="","",1)</f>
        <v>1</v>
      </c>
      <c r="K2" s="25" t="str">
        <f aca="false">IF(入力シート!$A6="","",入力シート!B6)</f>
        <v>50</v>
      </c>
      <c r="L2" s="25" t="str">
        <f aca="false">IF(入力シート!$A6="","","")</f>
        <v/>
      </c>
      <c r="M2" s="25" t="str">
        <f aca="false">IF(入力シート!$A6="","","")</f>
        <v/>
      </c>
      <c r="N2" s="25" t="n">
        <f aca="false">IF(入力シート!$A6="","",入力シート!R6)</f>
        <v>2</v>
      </c>
      <c r="O2" s="25" t="n">
        <f aca="false">IF(入力シート!$A6="","",IF(入力シート!G6="",1,入力シート!G6))</f>
        <v>1</v>
      </c>
      <c r="P2" s="25" t="str">
        <f aca="false">IF(入力シート!$A6="","",入力シート!D6)</f>
        <v>3</v>
      </c>
      <c r="Q2" s="25" t="str">
        <f aca="false">IF(入力シート!$A6="","","")</f>
        <v/>
      </c>
      <c r="R2" s="25" t="str">
        <f aca="false">IF(入力シート!$A6="","",入力シート!J6)</f>
        <v>黄肌鮪プレートB</v>
      </c>
      <c r="S2" s="25" t="n">
        <f aca="false">IF(入力シート!$A6="","",入力シート!L6)</f>
        <v>30</v>
      </c>
      <c r="T2" s="25" t="str">
        <f aca="false">IF(入力シート!$A6="","",入力シート!K6)</f>
        <v>kg</v>
      </c>
      <c r="U2" s="25" t="n">
        <f aca="false">IF(入力シート!$A6="","",0)</f>
        <v>0</v>
      </c>
      <c r="V2" s="25" t="n">
        <f aca="false">IF(入力シート!$A6="","",0)</f>
        <v>0</v>
      </c>
      <c r="W2" s="25" t="str">
        <f aca="false">IF(入力シート!$A6="","","0000")</f>
        <v>0000</v>
      </c>
      <c r="X2" s="25" t="n">
        <f aca="false">IF(入力シート!$A6="","",入力シート!E6)</f>
        <v>1000</v>
      </c>
      <c r="Y2" s="25" t="n">
        <f aca="false">IF(入力シート!$A6="","",入力シート!F6)</f>
        <v>2450</v>
      </c>
      <c r="Z2" s="25" t="n">
        <f aca="false">IF(入力シート!$A6="","",入力シート!O6)</f>
        <v>2450000</v>
      </c>
      <c r="AA2" s="25" t="str">
        <f aca="false">IF(入力シート!$A6="","","")</f>
        <v/>
      </c>
      <c r="AB2" s="25" t="n">
        <f aca="false">IF(入力シート!$A6="","",入力シート!P6)</f>
        <v>2450000</v>
      </c>
      <c r="AC2" s="25" t="n">
        <f aca="false">IF(入力シート!$A6="","",入力シート!U6)</f>
        <v>0</v>
      </c>
      <c r="AD2" s="25" t="n">
        <f aca="false">IF(入力シート!$A6="","",0)</f>
        <v>0</v>
      </c>
      <c r="AE2" s="25" t="n">
        <f aca="false">IF(入力シート!$A6="","",入力シート!I6)</f>
        <v>0</v>
      </c>
      <c r="AF2" s="25" t="n">
        <f aca="false">IF(入力シート!$A6="","",入力シート!M6)</f>
        <v>1</v>
      </c>
      <c r="AG2" s="25" t="n">
        <f aca="false">IF(入力シート!$A6="","",入力シート!N6)</f>
        <v>1</v>
      </c>
      <c r="AH2" s="25" t="str">
        <f aca="false">IF(入力シート!$A6="","","")</f>
        <v/>
      </c>
      <c r="AI2" s="25" t="str">
        <f aca="false">IF(入力シート!$A6="","","")</f>
        <v/>
      </c>
      <c r="AJ2" s="25" t="str">
        <f aca="false">IF(入力シート!$A6="","","")</f>
        <v/>
      </c>
      <c r="AK2" s="25" t="n">
        <f aca="false">IF(入力シート!$A6="","",2)</f>
        <v>2</v>
      </c>
      <c r="AL2" s="25" t="str">
        <f aca="false">IF(入力シート!$A6="","","")</f>
        <v/>
      </c>
      <c r="AM2" s="25" t="str">
        <f aca="false">IF(入力シート!$A6="","","")</f>
        <v/>
      </c>
      <c r="AN2" s="25" t="str">
        <f aca="false">IF(入力シート!$A6="","",入力シート!C6)</f>
        <v>株式会社オリエンタルフーズ</v>
      </c>
      <c r="AO2" s="25" t="str">
        <f aca="false">IF(入力シート!$A6="","","")</f>
        <v/>
      </c>
      <c r="AP2" s="25" t="str">
        <f aca="false">IF(入力シート!$A6="","","")</f>
        <v/>
      </c>
      <c r="AQ2" s="25" t="str">
        <f aca="false">IF(入力シート!$A6="","","")</f>
        <v/>
      </c>
    </row>
    <row r="3" customFormat="false" ht="15" hidden="false" customHeight="true" outlineLevel="0" collapsed="false">
      <c r="A3" s="25" t="str">
        <f aca="false">IF(入力シート!$A7="","",1)</f>
        <v/>
      </c>
      <c r="B3" s="25" t="str">
        <f aca="false">IF(入力シート!$A7="","",1)</f>
        <v/>
      </c>
      <c r="C3" s="25" t="str">
        <f aca="false">IF(入力シート!$A7="","",0)</f>
        <v/>
      </c>
      <c r="D3" s="25" t="str">
        <f aca="false">IF(入力シート!$A7="","",TEXT(入力シート!A7,"YYYYMMDD"))</f>
        <v/>
      </c>
      <c r="E3" s="25" t="str">
        <f aca="false">IF(入力シート!$A7="","",TEXT(入力シート!Q7,"00000000"))</f>
        <v/>
      </c>
      <c r="F3" s="25" t="str">
        <f aca="false">IF(入力シート!$A7="","",14)</f>
        <v/>
      </c>
      <c r="G3" s="25" t="str">
        <f aca="false">IF(入力シート!$A7="","",1)</f>
        <v/>
      </c>
      <c r="H3" s="25" t="str">
        <f aca="false">IF(入力シート!$A7="","",1)</f>
        <v/>
      </c>
      <c r="I3" s="25" t="str">
        <f aca="false">IF(入力シート!$A7="","",3)</f>
        <v/>
      </c>
      <c r="J3" s="25" t="str">
        <f aca="false">IF(入力シート!$A7="","",1)</f>
        <v/>
      </c>
      <c r="K3" s="25" t="str">
        <f aca="false">IF(入力シート!$A7="","",入力シート!B7)</f>
        <v/>
      </c>
      <c r="L3" s="25" t="str">
        <f aca="false">IF(入力シート!$A7="","","")</f>
        <v/>
      </c>
      <c r="M3" s="25" t="str">
        <f aca="false">IF(入力シート!$A7="","","")</f>
        <v/>
      </c>
      <c r="N3" s="25" t="str">
        <f aca="false">IF(入力シート!$A7="","",入力シート!R7)</f>
        <v/>
      </c>
      <c r="O3" s="25" t="str">
        <f aca="false">IF(入力シート!$A7="","",IF(入力シート!G7="",1,入力シート!G7))</f>
        <v/>
      </c>
      <c r="P3" s="25" t="str">
        <f aca="false">IF(入力シート!$A7="","",入力シート!D7)</f>
        <v/>
      </c>
      <c r="Q3" s="25" t="str">
        <f aca="false">IF(入力シート!$A7="","","")</f>
        <v/>
      </c>
      <c r="R3" s="25" t="str">
        <f aca="false">IF(入力シート!$A7="","",入力シート!J7)</f>
        <v/>
      </c>
      <c r="S3" s="25" t="str">
        <f aca="false">IF(入力シート!$A7="","",入力シート!L7)</f>
        <v/>
      </c>
      <c r="T3" s="25" t="str">
        <f aca="false">IF(入力シート!$A7="","",入力シート!K7)</f>
        <v/>
      </c>
      <c r="U3" s="25" t="str">
        <f aca="false">IF(入力シート!$A7="","",0)</f>
        <v/>
      </c>
      <c r="V3" s="25" t="str">
        <f aca="false">IF(入力シート!$A7="","",0)</f>
        <v/>
      </c>
      <c r="W3" s="25" t="str">
        <f aca="false">IF(入力シート!$A7="","","0000")</f>
        <v/>
      </c>
      <c r="X3" s="25" t="str">
        <f aca="false">IF(入力シート!$A7="","",入力シート!E7)</f>
        <v/>
      </c>
      <c r="Y3" s="25" t="str">
        <f aca="false">IF(入力シート!$A7="","",入力シート!F7)</f>
        <v/>
      </c>
      <c r="Z3" s="25" t="str">
        <f aca="false">IF(入力シート!$A7="","",入力シート!O7)</f>
        <v/>
      </c>
      <c r="AA3" s="25" t="str">
        <f aca="false">IF(入力シート!$A7="","","")</f>
        <v/>
      </c>
      <c r="AB3" s="25" t="str">
        <f aca="false">IF(入力シート!$A7="","",入力シート!P7)</f>
        <v/>
      </c>
      <c r="AC3" s="25" t="str">
        <f aca="false">IF(入力シート!$A7="","",入力シート!U7)</f>
        <v/>
      </c>
      <c r="AD3" s="25" t="str">
        <f aca="false">IF(入力シート!$A7="","",0)</f>
        <v/>
      </c>
      <c r="AE3" s="25" t="str">
        <f aca="false">IF(入力シート!$A7="","",入力シート!I7)</f>
        <v/>
      </c>
      <c r="AF3" s="25" t="str">
        <f aca="false">IF(入力シート!$A7="","",入力シート!M7)</f>
        <v/>
      </c>
      <c r="AG3" s="25" t="str">
        <f aca="false">IF(入力シート!$A7="","",入力シート!N7)</f>
        <v/>
      </c>
      <c r="AH3" s="25" t="str">
        <f aca="false">IF(入力シート!$A7="","","")</f>
        <v/>
      </c>
      <c r="AI3" s="25" t="str">
        <f aca="false">IF(入力シート!$A7="","","")</f>
        <v/>
      </c>
      <c r="AJ3" s="25" t="str">
        <f aca="false">IF(入力シート!$A7="","","")</f>
        <v/>
      </c>
      <c r="AK3" s="25" t="str">
        <f aca="false">IF(入力シート!$A7="","",2)</f>
        <v/>
      </c>
      <c r="AL3" s="25" t="str">
        <f aca="false">IF(入力シート!$A7="","","")</f>
        <v/>
      </c>
      <c r="AM3" s="25" t="str">
        <f aca="false">IF(入力シート!$A7="","","")</f>
        <v/>
      </c>
      <c r="AN3" s="25" t="str">
        <f aca="false">IF(入力シート!$A7="","",入力シート!C7)</f>
        <v/>
      </c>
      <c r="AO3" s="25" t="str">
        <f aca="false">IF(入力シート!$A7="","","")</f>
        <v/>
      </c>
      <c r="AP3" s="25" t="str">
        <f aca="false">IF(入力シート!$A7="","","")</f>
        <v/>
      </c>
      <c r="AQ3" s="25" t="str">
        <f aca="false">IF(入力シート!$A7="","","")</f>
        <v/>
      </c>
    </row>
    <row r="4" customFormat="false" ht="15" hidden="false" customHeight="true" outlineLevel="0" collapsed="false">
      <c r="A4" s="25" t="str">
        <f aca="false">IF(入力シート!$A8="","",1)</f>
        <v/>
      </c>
      <c r="B4" s="25" t="str">
        <f aca="false">IF(入力シート!$A8="","",1)</f>
        <v/>
      </c>
      <c r="C4" s="25" t="str">
        <f aca="false">IF(入力シート!$A8="","",0)</f>
        <v/>
      </c>
      <c r="D4" s="25" t="str">
        <f aca="false">IF(入力シート!$A8="","",TEXT(入力シート!A8,"YYYYMMDD"))</f>
        <v/>
      </c>
      <c r="E4" s="25" t="str">
        <f aca="false">IF(入力シート!$A8="","",TEXT(入力シート!Q8,"00000000"))</f>
        <v/>
      </c>
      <c r="F4" s="25" t="str">
        <f aca="false">IF(入力シート!$A8="","",14)</f>
        <v/>
      </c>
      <c r="G4" s="25" t="str">
        <f aca="false">IF(入力シート!$A8="","",1)</f>
        <v/>
      </c>
      <c r="H4" s="25" t="str">
        <f aca="false">IF(入力シート!$A8="","",1)</f>
        <v/>
      </c>
      <c r="I4" s="25" t="str">
        <f aca="false">IF(入力シート!$A8="","",3)</f>
        <v/>
      </c>
      <c r="J4" s="25" t="str">
        <f aca="false">IF(入力シート!$A8="","",1)</f>
        <v/>
      </c>
      <c r="K4" s="25" t="str">
        <f aca="false">IF(入力シート!$A8="","",入力シート!B8)</f>
        <v/>
      </c>
      <c r="L4" s="25" t="str">
        <f aca="false">IF(入力シート!$A8="","","")</f>
        <v/>
      </c>
      <c r="M4" s="25" t="str">
        <f aca="false">IF(入力シート!$A8="","","")</f>
        <v/>
      </c>
      <c r="N4" s="25" t="str">
        <f aca="false">IF(入力シート!$A8="","",入力シート!R8)</f>
        <v/>
      </c>
      <c r="O4" s="25" t="str">
        <f aca="false">IF(入力シート!$A8="","",IF(入力シート!G8="",1,入力シート!G8))</f>
        <v/>
      </c>
      <c r="P4" s="25" t="str">
        <f aca="false">IF(入力シート!$A8="","",入力シート!D8)</f>
        <v/>
      </c>
      <c r="Q4" s="25" t="str">
        <f aca="false">IF(入力シート!$A8="","","")</f>
        <v/>
      </c>
      <c r="R4" s="25" t="str">
        <f aca="false">IF(入力シート!$A8="","",入力シート!J8)</f>
        <v/>
      </c>
      <c r="S4" s="25" t="str">
        <f aca="false">IF(入力シート!$A8="","",入力シート!L8)</f>
        <v/>
      </c>
      <c r="T4" s="25" t="str">
        <f aca="false">IF(入力シート!$A8="","",入力シート!K8)</f>
        <v/>
      </c>
      <c r="U4" s="25" t="str">
        <f aca="false">IF(入力シート!$A8="","",0)</f>
        <v/>
      </c>
      <c r="V4" s="25" t="str">
        <f aca="false">IF(入力シート!$A8="","",0)</f>
        <v/>
      </c>
      <c r="W4" s="25" t="str">
        <f aca="false">IF(入力シート!$A8="","","0000")</f>
        <v/>
      </c>
      <c r="X4" s="25" t="str">
        <f aca="false">IF(入力シート!$A8="","",入力シート!E8)</f>
        <v/>
      </c>
      <c r="Y4" s="25" t="str">
        <f aca="false">IF(入力シート!$A8="","",入力シート!F8)</f>
        <v/>
      </c>
      <c r="Z4" s="25" t="str">
        <f aca="false">IF(入力シート!$A8="","",入力シート!O8)</f>
        <v/>
      </c>
      <c r="AA4" s="25" t="str">
        <f aca="false">IF(入力シート!$A8="","","")</f>
        <v/>
      </c>
      <c r="AB4" s="25" t="str">
        <f aca="false">IF(入力シート!$A8="","",入力シート!P8)</f>
        <v/>
      </c>
      <c r="AC4" s="25" t="str">
        <f aca="false">IF(入力シート!$A8="","",入力シート!U8)</f>
        <v/>
      </c>
      <c r="AD4" s="25" t="str">
        <f aca="false">IF(入力シート!$A8="","",0)</f>
        <v/>
      </c>
      <c r="AE4" s="25" t="str">
        <f aca="false">IF(入力シート!$A8="","",入力シート!I8)</f>
        <v/>
      </c>
      <c r="AF4" s="25" t="str">
        <f aca="false">IF(入力シート!$A8="","",入力シート!M8)</f>
        <v/>
      </c>
      <c r="AG4" s="25" t="str">
        <f aca="false">IF(入力シート!$A8="","",入力シート!N8)</f>
        <v/>
      </c>
      <c r="AH4" s="25" t="str">
        <f aca="false">IF(入力シート!$A8="","","")</f>
        <v/>
      </c>
      <c r="AI4" s="25" t="str">
        <f aca="false">IF(入力シート!$A8="","","")</f>
        <v/>
      </c>
      <c r="AJ4" s="25" t="str">
        <f aca="false">IF(入力シート!$A8="","","")</f>
        <v/>
      </c>
      <c r="AK4" s="25" t="str">
        <f aca="false">IF(入力シート!$A8="","",2)</f>
        <v/>
      </c>
      <c r="AL4" s="25" t="str">
        <f aca="false">IF(入力シート!$A8="","","")</f>
        <v/>
      </c>
      <c r="AM4" s="25" t="str">
        <f aca="false">IF(入力シート!$A8="","","")</f>
        <v/>
      </c>
      <c r="AN4" s="25" t="str">
        <f aca="false">IF(入力シート!$A8="","",入力シート!C8)</f>
        <v/>
      </c>
      <c r="AO4" s="25" t="str">
        <f aca="false">IF(入力シート!$A8="","","")</f>
        <v/>
      </c>
      <c r="AP4" s="25" t="str">
        <f aca="false">IF(入力シート!$A8="","","")</f>
        <v/>
      </c>
      <c r="AQ4" s="25" t="str">
        <f aca="false">IF(入力シート!$A8="","","")</f>
        <v/>
      </c>
    </row>
    <row r="5" customFormat="false" ht="15" hidden="false" customHeight="true" outlineLevel="0" collapsed="false">
      <c r="A5" s="25" t="str">
        <f aca="false">IF(入力シート!$A9="","",1)</f>
        <v/>
      </c>
      <c r="B5" s="25" t="str">
        <f aca="false">IF(入力シート!$A9="","",1)</f>
        <v/>
      </c>
      <c r="C5" s="25" t="str">
        <f aca="false">IF(入力シート!$A9="","",0)</f>
        <v/>
      </c>
      <c r="D5" s="25" t="str">
        <f aca="false">IF(入力シート!$A9="","",TEXT(入力シート!A9,"YYYYMMDD"))</f>
        <v/>
      </c>
      <c r="E5" s="25" t="str">
        <f aca="false">IF(入力シート!$A9="","",TEXT(入力シート!Q9,"00000000"))</f>
        <v/>
      </c>
      <c r="F5" s="25" t="str">
        <f aca="false">IF(入力シート!$A9="","",14)</f>
        <v/>
      </c>
      <c r="G5" s="25" t="str">
        <f aca="false">IF(入力シート!$A9="","",1)</f>
        <v/>
      </c>
      <c r="H5" s="25" t="str">
        <f aca="false">IF(入力シート!$A9="","",1)</f>
        <v/>
      </c>
      <c r="I5" s="25" t="str">
        <f aca="false">IF(入力シート!$A9="","",3)</f>
        <v/>
      </c>
      <c r="J5" s="25" t="str">
        <f aca="false">IF(入力シート!$A9="","",1)</f>
        <v/>
      </c>
      <c r="K5" s="25" t="str">
        <f aca="false">IF(入力シート!$A9="","",入力シート!B9)</f>
        <v/>
      </c>
      <c r="L5" s="25" t="str">
        <f aca="false">IF(入力シート!$A9="","","")</f>
        <v/>
      </c>
      <c r="M5" s="25" t="str">
        <f aca="false">IF(入力シート!$A9="","","")</f>
        <v/>
      </c>
      <c r="N5" s="25" t="str">
        <f aca="false">IF(入力シート!$A9="","",入力シート!R9)</f>
        <v/>
      </c>
      <c r="O5" s="25" t="str">
        <f aca="false">IF(入力シート!$A9="","",IF(入力シート!G9="",1,入力シート!G9))</f>
        <v/>
      </c>
      <c r="P5" s="25" t="str">
        <f aca="false">IF(入力シート!$A9="","",入力シート!D9)</f>
        <v/>
      </c>
      <c r="Q5" s="25" t="str">
        <f aca="false">IF(入力シート!$A9="","","")</f>
        <v/>
      </c>
      <c r="R5" s="25" t="str">
        <f aca="false">IF(入力シート!$A9="","",入力シート!J9)</f>
        <v/>
      </c>
      <c r="S5" s="25" t="str">
        <f aca="false">IF(入力シート!$A9="","",入力シート!L9)</f>
        <v/>
      </c>
      <c r="T5" s="25" t="str">
        <f aca="false">IF(入力シート!$A9="","",入力シート!K9)</f>
        <v/>
      </c>
      <c r="U5" s="25" t="str">
        <f aca="false">IF(入力シート!$A9="","",0)</f>
        <v/>
      </c>
      <c r="V5" s="25" t="str">
        <f aca="false">IF(入力シート!$A9="","",0)</f>
        <v/>
      </c>
      <c r="W5" s="25" t="str">
        <f aca="false">IF(入力シート!$A9="","","0000")</f>
        <v/>
      </c>
      <c r="X5" s="25" t="str">
        <f aca="false">IF(入力シート!$A9="","",入力シート!E9)</f>
        <v/>
      </c>
      <c r="Y5" s="25" t="str">
        <f aca="false">IF(入力シート!$A9="","",入力シート!F9)</f>
        <v/>
      </c>
      <c r="Z5" s="25" t="str">
        <f aca="false">IF(入力シート!$A9="","",入力シート!O9)</f>
        <v/>
      </c>
      <c r="AA5" s="25" t="str">
        <f aca="false">IF(入力シート!$A9="","","")</f>
        <v/>
      </c>
      <c r="AB5" s="25" t="str">
        <f aca="false">IF(入力シート!$A9="","",入力シート!P9)</f>
        <v/>
      </c>
      <c r="AC5" s="25" t="str">
        <f aca="false">IF(入力シート!$A9="","",入力シート!U9)</f>
        <v/>
      </c>
      <c r="AD5" s="25" t="str">
        <f aca="false">IF(入力シート!$A9="","",0)</f>
        <v/>
      </c>
      <c r="AE5" s="25" t="str">
        <f aca="false">IF(入力シート!$A9="","",入力シート!I9)</f>
        <v/>
      </c>
      <c r="AF5" s="25" t="str">
        <f aca="false">IF(入力シート!$A9="","",入力シート!M9)</f>
        <v/>
      </c>
      <c r="AG5" s="25" t="str">
        <f aca="false">IF(入力シート!$A9="","",入力シート!N9)</f>
        <v/>
      </c>
      <c r="AH5" s="25" t="str">
        <f aca="false">IF(入力シート!$A9="","","")</f>
        <v/>
      </c>
      <c r="AI5" s="25" t="str">
        <f aca="false">IF(入力シート!$A9="","","")</f>
        <v/>
      </c>
      <c r="AJ5" s="25" t="str">
        <f aca="false">IF(入力シート!$A9="","","")</f>
        <v/>
      </c>
      <c r="AK5" s="25" t="str">
        <f aca="false">IF(入力シート!$A9="","",2)</f>
        <v/>
      </c>
      <c r="AL5" s="25" t="str">
        <f aca="false">IF(入力シート!$A9="","","")</f>
        <v/>
      </c>
      <c r="AM5" s="25" t="str">
        <f aca="false">IF(入力シート!$A9="","","")</f>
        <v/>
      </c>
      <c r="AN5" s="25" t="str">
        <f aca="false">IF(入力シート!$A9="","",入力シート!C9)</f>
        <v/>
      </c>
      <c r="AO5" s="25" t="str">
        <f aca="false">IF(入力シート!$A9="","","")</f>
        <v/>
      </c>
      <c r="AP5" s="25" t="str">
        <f aca="false">IF(入力シート!$A9="","","")</f>
        <v/>
      </c>
      <c r="AQ5" s="25" t="str">
        <f aca="false">IF(入力シート!$A9="","","")</f>
        <v/>
      </c>
    </row>
    <row r="6" customFormat="false" ht="15" hidden="false" customHeight="true" outlineLevel="0" collapsed="false">
      <c r="A6" s="25" t="str">
        <f aca="false">IF(入力シート!$A10="","",1)</f>
        <v/>
      </c>
      <c r="B6" s="25" t="str">
        <f aca="false">IF(入力シート!$A10="","",1)</f>
        <v/>
      </c>
      <c r="C6" s="25" t="str">
        <f aca="false">IF(入力シート!$A10="","",0)</f>
        <v/>
      </c>
      <c r="D6" s="25" t="str">
        <f aca="false">IF(入力シート!$A10="","",TEXT(入力シート!A10,"YYYYMMDD"))</f>
        <v/>
      </c>
      <c r="E6" s="25" t="str">
        <f aca="false">IF(入力シート!$A10="","",TEXT(入力シート!Q10,"00000000"))</f>
        <v/>
      </c>
      <c r="F6" s="25" t="str">
        <f aca="false">IF(入力シート!$A10="","",14)</f>
        <v/>
      </c>
      <c r="G6" s="25" t="str">
        <f aca="false">IF(入力シート!$A10="","",1)</f>
        <v/>
      </c>
      <c r="H6" s="25" t="str">
        <f aca="false">IF(入力シート!$A10="","",1)</f>
        <v/>
      </c>
      <c r="I6" s="25" t="str">
        <f aca="false">IF(入力シート!$A10="","",3)</f>
        <v/>
      </c>
      <c r="J6" s="25" t="str">
        <f aca="false">IF(入力シート!$A10="","",1)</f>
        <v/>
      </c>
      <c r="K6" s="25" t="str">
        <f aca="false">IF(入力シート!$A10="","",入力シート!B10)</f>
        <v/>
      </c>
      <c r="L6" s="25" t="str">
        <f aca="false">IF(入力シート!$A10="","","")</f>
        <v/>
      </c>
      <c r="M6" s="25" t="str">
        <f aca="false">IF(入力シート!$A10="","","")</f>
        <v/>
      </c>
      <c r="N6" s="25" t="str">
        <f aca="false">IF(入力シート!$A10="","",入力シート!R10)</f>
        <v/>
      </c>
      <c r="O6" s="25" t="str">
        <f aca="false">IF(入力シート!$A10="","",IF(入力シート!G10="",1,入力シート!G10))</f>
        <v/>
      </c>
      <c r="P6" s="25" t="str">
        <f aca="false">IF(入力シート!$A10="","",入力シート!D10)</f>
        <v/>
      </c>
      <c r="Q6" s="25" t="str">
        <f aca="false">IF(入力シート!$A10="","","")</f>
        <v/>
      </c>
      <c r="R6" s="25" t="str">
        <f aca="false">IF(入力シート!$A10="","",入力シート!J10)</f>
        <v/>
      </c>
      <c r="S6" s="25" t="str">
        <f aca="false">IF(入力シート!$A10="","",入力シート!L10)</f>
        <v/>
      </c>
      <c r="T6" s="25" t="str">
        <f aca="false">IF(入力シート!$A10="","",入力シート!K10)</f>
        <v/>
      </c>
      <c r="U6" s="25" t="str">
        <f aca="false">IF(入力シート!$A10="","",0)</f>
        <v/>
      </c>
      <c r="V6" s="25" t="str">
        <f aca="false">IF(入力シート!$A10="","",0)</f>
        <v/>
      </c>
      <c r="W6" s="25" t="str">
        <f aca="false">IF(入力シート!$A10="","","0000")</f>
        <v/>
      </c>
      <c r="X6" s="25" t="str">
        <f aca="false">IF(入力シート!$A10="","",入力シート!E10)</f>
        <v/>
      </c>
      <c r="Y6" s="25" t="str">
        <f aca="false">IF(入力シート!$A10="","",入力シート!F10)</f>
        <v/>
      </c>
      <c r="Z6" s="25" t="str">
        <f aca="false">IF(入力シート!$A10="","",入力シート!O10)</f>
        <v/>
      </c>
      <c r="AA6" s="25" t="str">
        <f aca="false">IF(入力シート!$A10="","","")</f>
        <v/>
      </c>
      <c r="AB6" s="25" t="str">
        <f aca="false">IF(入力シート!$A10="","",入力シート!P10)</f>
        <v/>
      </c>
      <c r="AC6" s="25" t="str">
        <f aca="false">IF(入力シート!$A10="","",入力シート!U10)</f>
        <v/>
      </c>
      <c r="AD6" s="25" t="str">
        <f aca="false">IF(入力シート!$A10="","",0)</f>
        <v/>
      </c>
      <c r="AE6" s="25" t="str">
        <f aca="false">IF(入力シート!$A10="","",入力シート!I10)</f>
        <v/>
      </c>
      <c r="AF6" s="25" t="str">
        <f aca="false">IF(入力シート!$A10="","",入力シート!M10)</f>
        <v/>
      </c>
      <c r="AG6" s="25" t="str">
        <f aca="false">IF(入力シート!$A10="","",入力シート!N10)</f>
        <v/>
      </c>
      <c r="AH6" s="25" t="str">
        <f aca="false">IF(入力シート!$A10="","","")</f>
        <v/>
      </c>
      <c r="AI6" s="25" t="str">
        <f aca="false">IF(入力シート!$A10="","","")</f>
        <v/>
      </c>
      <c r="AJ6" s="25" t="str">
        <f aca="false">IF(入力シート!$A10="","","")</f>
        <v/>
      </c>
      <c r="AK6" s="25" t="str">
        <f aca="false">IF(入力シート!$A10="","",2)</f>
        <v/>
      </c>
      <c r="AL6" s="25" t="str">
        <f aca="false">IF(入力シート!$A10="","","")</f>
        <v/>
      </c>
      <c r="AM6" s="25" t="str">
        <f aca="false">IF(入力シート!$A10="","","")</f>
        <v/>
      </c>
      <c r="AN6" s="25" t="str">
        <f aca="false">IF(入力シート!$A10="","",入力シート!C10)</f>
        <v/>
      </c>
      <c r="AO6" s="25" t="str">
        <f aca="false">IF(入力シート!$A10="","","")</f>
        <v/>
      </c>
      <c r="AP6" s="25" t="str">
        <f aca="false">IF(入力シート!$A10="","","")</f>
        <v/>
      </c>
      <c r="AQ6" s="25" t="str">
        <f aca="false">IF(入力シート!$A10="","","")</f>
        <v/>
      </c>
    </row>
    <row r="7" customFormat="false" ht="15" hidden="false" customHeight="true" outlineLevel="0" collapsed="false">
      <c r="A7" s="25" t="str">
        <f aca="false">IF(入力シート!$A11="","",1)</f>
        <v/>
      </c>
      <c r="B7" s="25" t="str">
        <f aca="false">IF(入力シート!$A11="","",1)</f>
        <v/>
      </c>
      <c r="C7" s="25" t="str">
        <f aca="false">IF(入力シート!$A11="","",0)</f>
        <v/>
      </c>
      <c r="D7" s="25" t="str">
        <f aca="false">IF(入力シート!$A11="","",TEXT(入力シート!A11,"YYYYMMDD"))</f>
        <v/>
      </c>
      <c r="E7" s="25" t="str">
        <f aca="false">IF(入力シート!$A11="","",TEXT(入力シート!Q11,"00000000"))</f>
        <v/>
      </c>
      <c r="F7" s="25" t="str">
        <f aca="false">IF(入力シート!$A11="","",14)</f>
        <v/>
      </c>
      <c r="G7" s="25" t="str">
        <f aca="false">IF(入力シート!$A11="","",1)</f>
        <v/>
      </c>
      <c r="H7" s="25" t="str">
        <f aca="false">IF(入力シート!$A11="","",1)</f>
        <v/>
      </c>
      <c r="I7" s="25" t="str">
        <f aca="false">IF(入力シート!$A11="","",3)</f>
        <v/>
      </c>
      <c r="J7" s="25" t="str">
        <f aca="false">IF(入力シート!$A11="","",1)</f>
        <v/>
      </c>
      <c r="K7" s="25" t="str">
        <f aca="false">IF(入力シート!$A11="","",入力シート!B11)</f>
        <v/>
      </c>
      <c r="L7" s="25" t="str">
        <f aca="false">IF(入力シート!$A11="","","")</f>
        <v/>
      </c>
      <c r="M7" s="25" t="str">
        <f aca="false">IF(入力シート!$A11="","","")</f>
        <v/>
      </c>
      <c r="N7" s="25" t="str">
        <f aca="false">IF(入力シート!$A11="","",入力シート!R11)</f>
        <v/>
      </c>
      <c r="O7" s="25" t="str">
        <f aca="false">IF(入力シート!$A11="","",IF(入力シート!G11="",1,入力シート!G11))</f>
        <v/>
      </c>
      <c r="P7" s="25" t="str">
        <f aca="false">IF(入力シート!$A11="","",入力シート!D11)</f>
        <v/>
      </c>
      <c r="Q7" s="25" t="str">
        <f aca="false">IF(入力シート!$A11="","","")</f>
        <v/>
      </c>
      <c r="R7" s="25" t="str">
        <f aca="false">IF(入力シート!$A11="","",入力シート!J11)</f>
        <v/>
      </c>
      <c r="S7" s="25" t="str">
        <f aca="false">IF(入力シート!$A11="","",入力シート!L11)</f>
        <v/>
      </c>
      <c r="T7" s="25" t="str">
        <f aca="false">IF(入力シート!$A11="","",入力シート!K11)</f>
        <v/>
      </c>
      <c r="U7" s="25" t="str">
        <f aca="false">IF(入力シート!$A11="","",0)</f>
        <v/>
      </c>
      <c r="V7" s="25" t="str">
        <f aca="false">IF(入力シート!$A11="","",0)</f>
        <v/>
      </c>
      <c r="W7" s="25" t="str">
        <f aca="false">IF(入力シート!$A11="","","0000")</f>
        <v/>
      </c>
      <c r="X7" s="25" t="str">
        <f aca="false">IF(入力シート!$A11="","",入力シート!E11)</f>
        <v/>
      </c>
      <c r="Y7" s="25" t="str">
        <f aca="false">IF(入力シート!$A11="","",入力シート!F11)</f>
        <v/>
      </c>
      <c r="Z7" s="25" t="str">
        <f aca="false">IF(入力シート!$A11="","",入力シート!O11)</f>
        <v/>
      </c>
      <c r="AA7" s="25" t="str">
        <f aca="false">IF(入力シート!$A11="","","")</f>
        <v/>
      </c>
      <c r="AB7" s="25" t="str">
        <f aca="false">IF(入力シート!$A11="","",入力シート!P11)</f>
        <v/>
      </c>
      <c r="AC7" s="25" t="str">
        <f aca="false">IF(入力シート!$A11="","",入力シート!U11)</f>
        <v/>
      </c>
      <c r="AD7" s="25" t="str">
        <f aca="false">IF(入力シート!$A11="","",0)</f>
        <v/>
      </c>
      <c r="AE7" s="25" t="str">
        <f aca="false">IF(入力シート!$A11="","",入力シート!I11)</f>
        <v/>
      </c>
      <c r="AF7" s="25" t="str">
        <f aca="false">IF(入力シート!$A11="","",入力シート!M11)</f>
        <v/>
      </c>
      <c r="AG7" s="25" t="str">
        <f aca="false">IF(入力シート!$A11="","",入力シート!N11)</f>
        <v/>
      </c>
      <c r="AH7" s="25" t="str">
        <f aca="false">IF(入力シート!$A11="","","")</f>
        <v/>
      </c>
      <c r="AI7" s="25" t="str">
        <f aca="false">IF(入力シート!$A11="","","")</f>
        <v/>
      </c>
      <c r="AJ7" s="25" t="str">
        <f aca="false">IF(入力シート!$A11="","","")</f>
        <v/>
      </c>
      <c r="AK7" s="25" t="str">
        <f aca="false">IF(入力シート!$A11="","",2)</f>
        <v/>
      </c>
      <c r="AL7" s="25" t="str">
        <f aca="false">IF(入力シート!$A11="","","")</f>
        <v/>
      </c>
      <c r="AM7" s="25" t="str">
        <f aca="false">IF(入力シート!$A11="","","")</f>
        <v/>
      </c>
      <c r="AN7" s="25" t="str">
        <f aca="false">IF(入力シート!$A11="","",入力シート!C11)</f>
        <v/>
      </c>
      <c r="AO7" s="25" t="str">
        <f aca="false">IF(入力シート!$A11="","","")</f>
        <v/>
      </c>
      <c r="AP7" s="25" t="str">
        <f aca="false">IF(入力シート!$A11="","","")</f>
        <v/>
      </c>
      <c r="AQ7" s="25" t="str">
        <f aca="false">IF(入力シート!$A11="","","")</f>
        <v/>
      </c>
    </row>
    <row r="8" customFormat="false" ht="15" hidden="false" customHeight="true" outlineLevel="0" collapsed="false">
      <c r="A8" s="25" t="str">
        <f aca="false">IF(入力シート!$A12="","",1)</f>
        <v/>
      </c>
      <c r="B8" s="25" t="str">
        <f aca="false">IF(入力シート!$A12="","",1)</f>
        <v/>
      </c>
      <c r="C8" s="25" t="str">
        <f aca="false">IF(入力シート!$A12="","",0)</f>
        <v/>
      </c>
      <c r="D8" s="25" t="str">
        <f aca="false">IF(入力シート!$A12="","",TEXT(入力シート!A12,"YYYYMMDD"))</f>
        <v/>
      </c>
      <c r="E8" s="25" t="str">
        <f aca="false">IF(入力シート!$A12="","",TEXT(入力シート!Q12,"00000000"))</f>
        <v/>
      </c>
      <c r="F8" s="25" t="str">
        <f aca="false">IF(入力シート!$A12="","",14)</f>
        <v/>
      </c>
      <c r="G8" s="25" t="str">
        <f aca="false">IF(入力シート!$A12="","",1)</f>
        <v/>
      </c>
      <c r="H8" s="25" t="str">
        <f aca="false">IF(入力シート!$A12="","",1)</f>
        <v/>
      </c>
      <c r="I8" s="25" t="str">
        <f aca="false">IF(入力シート!$A12="","",3)</f>
        <v/>
      </c>
      <c r="J8" s="25" t="str">
        <f aca="false">IF(入力シート!$A12="","",1)</f>
        <v/>
      </c>
      <c r="K8" s="25" t="str">
        <f aca="false">IF(入力シート!$A12="","",入力シート!B12)</f>
        <v/>
      </c>
      <c r="L8" s="25" t="str">
        <f aca="false">IF(入力シート!$A12="","","")</f>
        <v/>
      </c>
      <c r="M8" s="25" t="str">
        <f aca="false">IF(入力シート!$A12="","","")</f>
        <v/>
      </c>
      <c r="N8" s="25" t="str">
        <f aca="false">IF(入力シート!$A12="","",入力シート!R12)</f>
        <v/>
      </c>
      <c r="O8" s="25" t="str">
        <f aca="false">IF(入力シート!$A12="","",IF(入力シート!G12="",1,入力シート!G12))</f>
        <v/>
      </c>
      <c r="P8" s="25" t="str">
        <f aca="false">IF(入力シート!$A12="","",入力シート!D12)</f>
        <v/>
      </c>
      <c r="Q8" s="25" t="str">
        <f aca="false">IF(入力シート!$A12="","","")</f>
        <v/>
      </c>
      <c r="R8" s="25" t="str">
        <f aca="false">IF(入力シート!$A12="","",入力シート!J12)</f>
        <v/>
      </c>
      <c r="S8" s="25" t="str">
        <f aca="false">IF(入力シート!$A12="","",入力シート!L12)</f>
        <v/>
      </c>
      <c r="T8" s="25" t="str">
        <f aca="false">IF(入力シート!$A12="","",入力シート!K12)</f>
        <v/>
      </c>
      <c r="U8" s="25" t="str">
        <f aca="false">IF(入力シート!$A12="","",0)</f>
        <v/>
      </c>
      <c r="V8" s="25" t="str">
        <f aca="false">IF(入力シート!$A12="","",0)</f>
        <v/>
      </c>
      <c r="W8" s="25" t="str">
        <f aca="false">IF(入力シート!$A12="","","0000")</f>
        <v/>
      </c>
      <c r="X8" s="25" t="str">
        <f aca="false">IF(入力シート!$A12="","",入力シート!E12)</f>
        <v/>
      </c>
      <c r="Y8" s="25" t="str">
        <f aca="false">IF(入力シート!$A12="","",入力シート!F12)</f>
        <v/>
      </c>
      <c r="Z8" s="25" t="str">
        <f aca="false">IF(入力シート!$A12="","",入力シート!O12)</f>
        <v/>
      </c>
      <c r="AA8" s="25" t="str">
        <f aca="false">IF(入力シート!$A12="","","")</f>
        <v/>
      </c>
      <c r="AB8" s="25" t="str">
        <f aca="false">IF(入力シート!$A12="","",入力シート!P12)</f>
        <v/>
      </c>
      <c r="AC8" s="25" t="str">
        <f aca="false">IF(入力シート!$A12="","",入力シート!U12)</f>
        <v/>
      </c>
      <c r="AD8" s="25" t="str">
        <f aca="false">IF(入力シート!$A12="","",0)</f>
        <v/>
      </c>
      <c r="AE8" s="25" t="str">
        <f aca="false">IF(入力シート!$A12="","",入力シート!I12)</f>
        <v/>
      </c>
      <c r="AF8" s="25" t="str">
        <f aca="false">IF(入力シート!$A12="","",入力シート!M12)</f>
        <v/>
      </c>
      <c r="AG8" s="25" t="str">
        <f aca="false">IF(入力シート!$A12="","",入力シート!N12)</f>
        <v/>
      </c>
      <c r="AH8" s="25" t="str">
        <f aca="false">IF(入力シート!$A12="","","")</f>
        <v/>
      </c>
      <c r="AI8" s="25" t="str">
        <f aca="false">IF(入力シート!$A12="","","")</f>
        <v/>
      </c>
      <c r="AJ8" s="25" t="str">
        <f aca="false">IF(入力シート!$A12="","","")</f>
        <v/>
      </c>
      <c r="AK8" s="25" t="str">
        <f aca="false">IF(入力シート!$A12="","",2)</f>
        <v/>
      </c>
      <c r="AL8" s="25" t="str">
        <f aca="false">IF(入力シート!$A12="","","")</f>
        <v/>
      </c>
      <c r="AM8" s="25" t="str">
        <f aca="false">IF(入力シート!$A12="","","")</f>
        <v/>
      </c>
      <c r="AN8" s="25" t="str">
        <f aca="false">IF(入力シート!$A12="","",入力シート!C12)</f>
        <v/>
      </c>
      <c r="AO8" s="25" t="str">
        <f aca="false">IF(入力シート!$A12="","","")</f>
        <v/>
      </c>
      <c r="AP8" s="25" t="str">
        <f aca="false">IF(入力シート!$A12="","","")</f>
        <v/>
      </c>
      <c r="AQ8" s="25" t="str">
        <f aca="false">IF(入力シート!$A12="","","")</f>
        <v/>
      </c>
    </row>
    <row r="9" customFormat="false" ht="15" hidden="false" customHeight="true" outlineLevel="0" collapsed="false">
      <c r="A9" s="25" t="str">
        <f aca="false">IF(入力シート!$A13="","",1)</f>
        <v/>
      </c>
      <c r="B9" s="25" t="str">
        <f aca="false">IF(入力シート!$A13="","",1)</f>
        <v/>
      </c>
      <c r="C9" s="25" t="str">
        <f aca="false">IF(入力シート!$A13="","",0)</f>
        <v/>
      </c>
      <c r="D9" s="25" t="str">
        <f aca="false">IF(入力シート!$A13="","",TEXT(入力シート!A13,"YYYYMMDD"))</f>
        <v/>
      </c>
      <c r="E9" s="25" t="str">
        <f aca="false">IF(入力シート!$A13="","",TEXT(入力シート!Q13,"00000000"))</f>
        <v/>
      </c>
      <c r="F9" s="25" t="str">
        <f aca="false">IF(入力シート!$A13="","",14)</f>
        <v/>
      </c>
      <c r="G9" s="25" t="str">
        <f aca="false">IF(入力シート!$A13="","",1)</f>
        <v/>
      </c>
      <c r="H9" s="25" t="str">
        <f aca="false">IF(入力シート!$A13="","",1)</f>
        <v/>
      </c>
      <c r="I9" s="25" t="str">
        <f aca="false">IF(入力シート!$A13="","",3)</f>
        <v/>
      </c>
      <c r="J9" s="25" t="str">
        <f aca="false">IF(入力シート!$A13="","",1)</f>
        <v/>
      </c>
      <c r="K9" s="25" t="str">
        <f aca="false">IF(入力シート!$A13="","",入力シート!B13)</f>
        <v/>
      </c>
      <c r="L9" s="25" t="str">
        <f aca="false">IF(入力シート!$A13="","","")</f>
        <v/>
      </c>
      <c r="M9" s="25" t="str">
        <f aca="false">IF(入力シート!$A13="","","")</f>
        <v/>
      </c>
      <c r="N9" s="25" t="str">
        <f aca="false">IF(入力シート!$A13="","",入力シート!R13)</f>
        <v/>
      </c>
      <c r="O9" s="25" t="str">
        <f aca="false">IF(入力シート!$A13="","",IF(入力シート!G13="",1,入力シート!G13))</f>
        <v/>
      </c>
      <c r="P9" s="25" t="str">
        <f aca="false">IF(入力シート!$A13="","",入力シート!D13)</f>
        <v/>
      </c>
      <c r="Q9" s="25" t="str">
        <f aca="false">IF(入力シート!$A13="","","")</f>
        <v/>
      </c>
      <c r="R9" s="25" t="str">
        <f aca="false">IF(入力シート!$A13="","",入力シート!J13)</f>
        <v/>
      </c>
      <c r="S9" s="25" t="str">
        <f aca="false">IF(入力シート!$A13="","",入力シート!L13)</f>
        <v/>
      </c>
      <c r="T9" s="25" t="str">
        <f aca="false">IF(入力シート!$A13="","",入力シート!K13)</f>
        <v/>
      </c>
      <c r="U9" s="25" t="str">
        <f aca="false">IF(入力シート!$A13="","",0)</f>
        <v/>
      </c>
      <c r="V9" s="25" t="str">
        <f aca="false">IF(入力シート!$A13="","",0)</f>
        <v/>
      </c>
      <c r="W9" s="25" t="str">
        <f aca="false">IF(入力シート!$A13="","","0000")</f>
        <v/>
      </c>
      <c r="X9" s="25" t="str">
        <f aca="false">IF(入力シート!$A13="","",入力シート!E13)</f>
        <v/>
      </c>
      <c r="Y9" s="25" t="str">
        <f aca="false">IF(入力シート!$A13="","",入力シート!F13)</f>
        <v/>
      </c>
      <c r="Z9" s="25" t="str">
        <f aca="false">IF(入力シート!$A13="","",入力シート!O13)</f>
        <v/>
      </c>
      <c r="AA9" s="25" t="str">
        <f aca="false">IF(入力シート!$A13="","","")</f>
        <v/>
      </c>
      <c r="AB9" s="25" t="str">
        <f aca="false">IF(入力シート!$A13="","",入力シート!P13)</f>
        <v/>
      </c>
      <c r="AC9" s="25" t="str">
        <f aca="false">IF(入力シート!$A13="","",入力シート!U13)</f>
        <v/>
      </c>
      <c r="AD9" s="25" t="str">
        <f aca="false">IF(入力シート!$A13="","",0)</f>
        <v/>
      </c>
      <c r="AE9" s="25" t="str">
        <f aca="false">IF(入力シート!$A13="","",入力シート!I13)</f>
        <v/>
      </c>
      <c r="AF9" s="25" t="str">
        <f aca="false">IF(入力シート!$A13="","",入力シート!M13)</f>
        <v/>
      </c>
      <c r="AG9" s="25" t="str">
        <f aca="false">IF(入力シート!$A13="","",入力シート!N13)</f>
        <v/>
      </c>
      <c r="AH9" s="25" t="str">
        <f aca="false">IF(入力シート!$A13="","","")</f>
        <v/>
      </c>
      <c r="AI9" s="25" t="str">
        <f aca="false">IF(入力シート!$A13="","","")</f>
        <v/>
      </c>
      <c r="AJ9" s="25" t="str">
        <f aca="false">IF(入力シート!$A13="","","")</f>
        <v/>
      </c>
      <c r="AK9" s="25" t="str">
        <f aca="false">IF(入力シート!$A13="","",2)</f>
        <v/>
      </c>
      <c r="AL9" s="25" t="str">
        <f aca="false">IF(入力シート!$A13="","","")</f>
        <v/>
      </c>
      <c r="AM9" s="25" t="str">
        <f aca="false">IF(入力シート!$A13="","","")</f>
        <v/>
      </c>
      <c r="AN9" s="25" t="str">
        <f aca="false">IF(入力シート!$A13="","",入力シート!C13)</f>
        <v/>
      </c>
      <c r="AO9" s="25" t="str">
        <f aca="false">IF(入力シート!$A13="","","")</f>
        <v/>
      </c>
      <c r="AP9" s="25" t="str">
        <f aca="false">IF(入力シート!$A13="","","")</f>
        <v/>
      </c>
      <c r="AQ9" s="25" t="str">
        <f aca="false">IF(入力シート!$A13="","","")</f>
        <v/>
      </c>
    </row>
    <row r="10" customFormat="false" ht="15" hidden="false" customHeight="true" outlineLevel="0" collapsed="false">
      <c r="A10" s="25" t="str">
        <f aca="false">IF(入力シート!$A14="","",1)</f>
        <v/>
      </c>
      <c r="B10" s="25" t="str">
        <f aca="false">IF(入力シート!$A14="","",1)</f>
        <v/>
      </c>
      <c r="C10" s="25" t="str">
        <f aca="false">IF(入力シート!$A14="","",0)</f>
        <v/>
      </c>
      <c r="D10" s="25" t="str">
        <f aca="false">IF(入力シート!$A14="","",TEXT(入力シート!A14,"YYYYMMDD"))</f>
        <v/>
      </c>
      <c r="E10" s="25" t="str">
        <f aca="false">IF(入力シート!$A14="","",TEXT(入力シート!Q14,"00000000"))</f>
        <v/>
      </c>
      <c r="F10" s="25" t="str">
        <f aca="false">IF(入力シート!$A14="","",14)</f>
        <v/>
      </c>
      <c r="G10" s="25" t="str">
        <f aca="false">IF(入力シート!$A14="","",1)</f>
        <v/>
      </c>
      <c r="H10" s="25" t="str">
        <f aca="false">IF(入力シート!$A14="","",1)</f>
        <v/>
      </c>
      <c r="I10" s="25" t="str">
        <f aca="false">IF(入力シート!$A14="","",3)</f>
        <v/>
      </c>
      <c r="J10" s="25" t="str">
        <f aca="false">IF(入力シート!$A14="","",1)</f>
        <v/>
      </c>
      <c r="K10" s="25" t="str">
        <f aca="false">IF(入力シート!$A14="","",入力シート!B14)</f>
        <v/>
      </c>
      <c r="L10" s="25" t="str">
        <f aca="false">IF(入力シート!$A14="","","")</f>
        <v/>
      </c>
      <c r="M10" s="25" t="str">
        <f aca="false">IF(入力シート!$A14="","","")</f>
        <v/>
      </c>
      <c r="N10" s="25" t="str">
        <f aca="false">IF(入力シート!$A14="","",入力シート!R14)</f>
        <v/>
      </c>
      <c r="O10" s="25" t="str">
        <f aca="false">IF(入力シート!$A14="","",IF(入力シート!G14="",1,入力シート!G14))</f>
        <v/>
      </c>
      <c r="P10" s="25" t="str">
        <f aca="false">IF(入力シート!$A14="","",入力シート!D14)</f>
        <v/>
      </c>
      <c r="Q10" s="25" t="str">
        <f aca="false">IF(入力シート!$A14="","","")</f>
        <v/>
      </c>
      <c r="R10" s="25" t="str">
        <f aca="false">IF(入力シート!$A14="","",入力シート!J14)</f>
        <v/>
      </c>
      <c r="S10" s="25" t="str">
        <f aca="false">IF(入力シート!$A14="","",入力シート!L14)</f>
        <v/>
      </c>
      <c r="T10" s="25" t="str">
        <f aca="false">IF(入力シート!$A14="","",入力シート!K14)</f>
        <v/>
      </c>
      <c r="U10" s="25" t="str">
        <f aca="false">IF(入力シート!$A14="","",0)</f>
        <v/>
      </c>
      <c r="V10" s="25" t="str">
        <f aca="false">IF(入力シート!$A14="","",0)</f>
        <v/>
      </c>
      <c r="W10" s="25" t="str">
        <f aca="false">IF(入力シート!$A14="","","0000")</f>
        <v/>
      </c>
      <c r="X10" s="25" t="str">
        <f aca="false">IF(入力シート!$A14="","",入力シート!E14)</f>
        <v/>
      </c>
      <c r="Y10" s="25" t="str">
        <f aca="false">IF(入力シート!$A14="","",入力シート!F14)</f>
        <v/>
      </c>
      <c r="Z10" s="25" t="str">
        <f aca="false">IF(入力シート!$A14="","",入力シート!O14)</f>
        <v/>
      </c>
      <c r="AA10" s="25" t="str">
        <f aca="false">IF(入力シート!$A14="","","")</f>
        <v/>
      </c>
      <c r="AB10" s="25" t="str">
        <f aca="false">IF(入力シート!$A14="","",入力シート!P14)</f>
        <v/>
      </c>
      <c r="AC10" s="25" t="str">
        <f aca="false">IF(入力シート!$A14="","",入力シート!U14)</f>
        <v/>
      </c>
      <c r="AD10" s="25" t="str">
        <f aca="false">IF(入力シート!$A14="","",0)</f>
        <v/>
      </c>
      <c r="AE10" s="25" t="str">
        <f aca="false">IF(入力シート!$A14="","",入力シート!I14)</f>
        <v/>
      </c>
      <c r="AF10" s="25" t="str">
        <f aca="false">IF(入力シート!$A14="","",入力シート!M14)</f>
        <v/>
      </c>
      <c r="AG10" s="25" t="str">
        <f aca="false">IF(入力シート!$A14="","",入力シート!N14)</f>
        <v/>
      </c>
      <c r="AH10" s="25" t="str">
        <f aca="false">IF(入力シート!$A14="","","")</f>
        <v/>
      </c>
      <c r="AI10" s="25" t="str">
        <f aca="false">IF(入力シート!$A14="","","")</f>
        <v/>
      </c>
      <c r="AJ10" s="25" t="str">
        <f aca="false">IF(入力シート!$A14="","","")</f>
        <v/>
      </c>
      <c r="AK10" s="25" t="str">
        <f aca="false">IF(入力シート!$A14="","",2)</f>
        <v/>
      </c>
      <c r="AL10" s="25" t="str">
        <f aca="false">IF(入力シート!$A14="","","")</f>
        <v/>
      </c>
      <c r="AM10" s="25" t="str">
        <f aca="false">IF(入力シート!$A14="","","")</f>
        <v/>
      </c>
      <c r="AN10" s="25" t="str">
        <f aca="false">IF(入力シート!$A14="","",入力シート!C14)</f>
        <v/>
      </c>
      <c r="AO10" s="25" t="str">
        <f aca="false">IF(入力シート!$A14="","","")</f>
        <v/>
      </c>
      <c r="AP10" s="25" t="str">
        <f aca="false">IF(入力シート!$A14="","","")</f>
        <v/>
      </c>
      <c r="AQ10" s="25" t="str">
        <f aca="false">IF(入力シート!$A14="","","")</f>
        <v/>
      </c>
    </row>
    <row r="11" customFormat="false" ht="15" hidden="false" customHeight="true" outlineLevel="0" collapsed="false">
      <c r="A11" s="25" t="str">
        <f aca="false">IF(入力シート!$A15="","",1)</f>
        <v/>
      </c>
      <c r="B11" s="25" t="str">
        <f aca="false">IF(入力シート!$A15="","",1)</f>
        <v/>
      </c>
      <c r="C11" s="25" t="str">
        <f aca="false">IF(入力シート!$A15="","",0)</f>
        <v/>
      </c>
      <c r="D11" s="25" t="str">
        <f aca="false">IF(入力シート!$A15="","",TEXT(入力シート!A15,"YYYYMMDD"))</f>
        <v/>
      </c>
      <c r="E11" s="25" t="str">
        <f aca="false">IF(入力シート!$A15="","",TEXT(入力シート!Q15,"00000000"))</f>
        <v/>
      </c>
      <c r="F11" s="25" t="str">
        <f aca="false">IF(入力シート!$A15="","",14)</f>
        <v/>
      </c>
      <c r="G11" s="25" t="str">
        <f aca="false">IF(入力シート!$A15="","",1)</f>
        <v/>
      </c>
      <c r="H11" s="25" t="str">
        <f aca="false">IF(入力シート!$A15="","",1)</f>
        <v/>
      </c>
      <c r="I11" s="25" t="str">
        <f aca="false">IF(入力シート!$A15="","",3)</f>
        <v/>
      </c>
      <c r="J11" s="25" t="str">
        <f aca="false">IF(入力シート!$A15="","",1)</f>
        <v/>
      </c>
      <c r="K11" s="25" t="str">
        <f aca="false">IF(入力シート!$A15="","",入力シート!B15)</f>
        <v/>
      </c>
      <c r="L11" s="25" t="str">
        <f aca="false">IF(入力シート!$A15="","","")</f>
        <v/>
      </c>
      <c r="M11" s="25" t="str">
        <f aca="false">IF(入力シート!$A15="","","")</f>
        <v/>
      </c>
      <c r="N11" s="25" t="str">
        <f aca="false">IF(入力シート!$A15="","",入力シート!R15)</f>
        <v/>
      </c>
      <c r="O11" s="25" t="str">
        <f aca="false">IF(入力シート!$A15="","",IF(入力シート!G15="",1,入力シート!G15))</f>
        <v/>
      </c>
      <c r="P11" s="25" t="str">
        <f aca="false">IF(入力シート!$A15="","",入力シート!D15)</f>
        <v/>
      </c>
      <c r="Q11" s="25" t="str">
        <f aca="false">IF(入力シート!$A15="","","")</f>
        <v/>
      </c>
      <c r="R11" s="25" t="str">
        <f aca="false">IF(入力シート!$A15="","",入力シート!J15)</f>
        <v/>
      </c>
      <c r="S11" s="25" t="str">
        <f aca="false">IF(入力シート!$A15="","",入力シート!L15)</f>
        <v/>
      </c>
      <c r="T11" s="25" t="str">
        <f aca="false">IF(入力シート!$A15="","",入力シート!K15)</f>
        <v/>
      </c>
      <c r="U11" s="25" t="str">
        <f aca="false">IF(入力シート!$A15="","",0)</f>
        <v/>
      </c>
      <c r="V11" s="25" t="str">
        <f aca="false">IF(入力シート!$A15="","",0)</f>
        <v/>
      </c>
      <c r="W11" s="25" t="str">
        <f aca="false">IF(入力シート!$A15="","","0000")</f>
        <v/>
      </c>
      <c r="X11" s="25" t="str">
        <f aca="false">IF(入力シート!$A15="","",入力シート!E15)</f>
        <v/>
      </c>
      <c r="Y11" s="25" t="str">
        <f aca="false">IF(入力シート!$A15="","",入力シート!F15)</f>
        <v/>
      </c>
      <c r="Z11" s="25" t="str">
        <f aca="false">IF(入力シート!$A15="","",入力シート!O15)</f>
        <v/>
      </c>
      <c r="AA11" s="25" t="str">
        <f aca="false">IF(入力シート!$A15="","","")</f>
        <v/>
      </c>
      <c r="AB11" s="25" t="str">
        <f aca="false">IF(入力シート!$A15="","",入力シート!P15)</f>
        <v/>
      </c>
      <c r="AC11" s="25" t="str">
        <f aca="false">IF(入力シート!$A15="","",入力シート!U15)</f>
        <v/>
      </c>
      <c r="AD11" s="25" t="str">
        <f aca="false">IF(入力シート!$A15="","",0)</f>
        <v/>
      </c>
      <c r="AE11" s="25" t="str">
        <f aca="false">IF(入力シート!$A15="","",入力シート!I15)</f>
        <v/>
      </c>
      <c r="AF11" s="25" t="str">
        <f aca="false">IF(入力シート!$A15="","",入力シート!M15)</f>
        <v/>
      </c>
      <c r="AG11" s="25" t="str">
        <f aca="false">IF(入力シート!$A15="","",入力シート!N15)</f>
        <v/>
      </c>
      <c r="AH11" s="25" t="str">
        <f aca="false">IF(入力シート!$A15="","","")</f>
        <v/>
      </c>
      <c r="AI11" s="25" t="str">
        <f aca="false">IF(入力シート!$A15="","","")</f>
        <v/>
      </c>
      <c r="AJ11" s="25" t="str">
        <f aca="false">IF(入力シート!$A15="","","")</f>
        <v/>
      </c>
      <c r="AK11" s="25" t="str">
        <f aca="false">IF(入力シート!$A15="","",2)</f>
        <v/>
      </c>
      <c r="AL11" s="25" t="str">
        <f aca="false">IF(入力シート!$A15="","","")</f>
        <v/>
      </c>
      <c r="AM11" s="25" t="str">
        <f aca="false">IF(入力シート!$A15="","","")</f>
        <v/>
      </c>
      <c r="AN11" s="25" t="str">
        <f aca="false">IF(入力シート!$A15="","",入力シート!C15)</f>
        <v/>
      </c>
      <c r="AO11" s="25" t="str">
        <f aca="false">IF(入力シート!$A15="","","")</f>
        <v/>
      </c>
      <c r="AP11" s="25" t="str">
        <f aca="false">IF(入力シート!$A15="","","")</f>
        <v/>
      </c>
      <c r="AQ11" s="25" t="str">
        <f aca="false">IF(入力シート!$A15="","","")</f>
        <v/>
      </c>
    </row>
    <row r="12" customFormat="false" ht="15" hidden="false" customHeight="true" outlineLevel="0" collapsed="false">
      <c r="A12" s="25" t="str">
        <f aca="false">IF(入力シート!$A16="","",1)</f>
        <v/>
      </c>
      <c r="B12" s="25" t="str">
        <f aca="false">IF(入力シート!$A16="","",1)</f>
        <v/>
      </c>
      <c r="C12" s="25" t="str">
        <f aca="false">IF(入力シート!$A16="","",0)</f>
        <v/>
      </c>
      <c r="D12" s="25" t="str">
        <f aca="false">IF(入力シート!$A16="","",TEXT(入力シート!A16,"YYYYMMDD"))</f>
        <v/>
      </c>
      <c r="E12" s="25" t="str">
        <f aca="false">IF(入力シート!$A16="","",TEXT(入力シート!Q16,"00000000"))</f>
        <v/>
      </c>
      <c r="F12" s="25" t="str">
        <f aca="false">IF(入力シート!$A16="","",14)</f>
        <v/>
      </c>
      <c r="G12" s="25" t="str">
        <f aca="false">IF(入力シート!$A16="","",1)</f>
        <v/>
      </c>
      <c r="H12" s="25" t="str">
        <f aca="false">IF(入力シート!$A16="","",1)</f>
        <v/>
      </c>
      <c r="I12" s="25" t="str">
        <f aca="false">IF(入力シート!$A16="","",3)</f>
        <v/>
      </c>
      <c r="J12" s="25" t="str">
        <f aca="false">IF(入力シート!$A16="","",1)</f>
        <v/>
      </c>
      <c r="K12" s="25" t="str">
        <f aca="false">IF(入力シート!$A16="","",入力シート!B16)</f>
        <v/>
      </c>
      <c r="L12" s="25" t="str">
        <f aca="false">IF(入力シート!$A16="","","")</f>
        <v/>
      </c>
      <c r="M12" s="25" t="str">
        <f aca="false">IF(入力シート!$A16="","","")</f>
        <v/>
      </c>
      <c r="N12" s="25" t="str">
        <f aca="false">IF(入力シート!$A16="","",入力シート!R16)</f>
        <v/>
      </c>
      <c r="O12" s="25" t="str">
        <f aca="false">IF(入力シート!$A16="","",IF(入力シート!G16="",1,入力シート!G16))</f>
        <v/>
      </c>
      <c r="P12" s="25" t="str">
        <f aca="false">IF(入力シート!$A16="","",入力シート!D16)</f>
        <v/>
      </c>
      <c r="Q12" s="25" t="str">
        <f aca="false">IF(入力シート!$A16="","","")</f>
        <v/>
      </c>
      <c r="R12" s="25" t="str">
        <f aca="false">IF(入力シート!$A16="","",入力シート!J16)</f>
        <v/>
      </c>
      <c r="S12" s="25" t="str">
        <f aca="false">IF(入力シート!$A16="","",入力シート!L16)</f>
        <v/>
      </c>
      <c r="T12" s="25" t="str">
        <f aca="false">IF(入力シート!$A16="","",入力シート!K16)</f>
        <v/>
      </c>
      <c r="U12" s="25" t="str">
        <f aca="false">IF(入力シート!$A16="","",0)</f>
        <v/>
      </c>
      <c r="V12" s="25" t="str">
        <f aca="false">IF(入力シート!$A16="","",0)</f>
        <v/>
      </c>
      <c r="W12" s="25" t="str">
        <f aca="false">IF(入力シート!$A16="","","0000")</f>
        <v/>
      </c>
      <c r="X12" s="25" t="str">
        <f aca="false">IF(入力シート!$A16="","",入力シート!E16)</f>
        <v/>
      </c>
      <c r="Y12" s="25" t="str">
        <f aca="false">IF(入力シート!$A16="","",入力シート!F16)</f>
        <v/>
      </c>
      <c r="Z12" s="25" t="str">
        <f aca="false">IF(入力シート!$A16="","",入力シート!O16)</f>
        <v/>
      </c>
      <c r="AA12" s="25" t="str">
        <f aca="false">IF(入力シート!$A16="","","")</f>
        <v/>
      </c>
      <c r="AB12" s="25" t="str">
        <f aca="false">IF(入力シート!$A16="","",入力シート!P16)</f>
        <v/>
      </c>
      <c r="AC12" s="25" t="str">
        <f aca="false">IF(入力シート!$A16="","",入力シート!U16)</f>
        <v/>
      </c>
      <c r="AD12" s="25" t="str">
        <f aca="false">IF(入力シート!$A16="","",0)</f>
        <v/>
      </c>
      <c r="AE12" s="25" t="str">
        <f aca="false">IF(入力シート!$A16="","",入力シート!I16)</f>
        <v/>
      </c>
      <c r="AF12" s="25" t="str">
        <f aca="false">IF(入力シート!$A16="","",入力シート!M16)</f>
        <v/>
      </c>
      <c r="AG12" s="25" t="str">
        <f aca="false">IF(入力シート!$A16="","",入力シート!N16)</f>
        <v/>
      </c>
      <c r="AH12" s="25" t="str">
        <f aca="false">IF(入力シート!$A16="","","")</f>
        <v/>
      </c>
      <c r="AI12" s="25" t="str">
        <f aca="false">IF(入力シート!$A16="","","")</f>
        <v/>
      </c>
      <c r="AJ12" s="25" t="str">
        <f aca="false">IF(入力シート!$A16="","","")</f>
        <v/>
      </c>
      <c r="AK12" s="25" t="str">
        <f aca="false">IF(入力シート!$A16="","",2)</f>
        <v/>
      </c>
      <c r="AL12" s="25" t="str">
        <f aca="false">IF(入力シート!$A16="","","")</f>
        <v/>
      </c>
      <c r="AM12" s="25" t="str">
        <f aca="false">IF(入力シート!$A16="","","")</f>
        <v/>
      </c>
      <c r="AN12" s="25" t="str">
        <f aca="false">IF(入力シート!$A16="","",入力シート!C16)</f>
        <v/>
      </c>
      <c r="AO12" s="25" t="str">
        <f aca="false">IF(入力シート!$A16="","","")</f>
        <v/>
      </c>
      <c r="AP12" s="25" t="str">
        <f aca="false">IF(入力シート!$A16="","","")</f>
        <v/>
      </c>
      <c r="AQ12" s="25" t="str">
        <f aca="false">IF(入力シート!$A16="","","")</f>
        <v/>
      </c>
    </row>
    <row r="13" customFormat="false" ht="15" hidden="false" customHeight="true" outlineLevel="0" collapsed="false">
      <c r="A13" s="25" t="str">
        <f aca="false">IF(入力シート!$A17="","",1)</f>
        <v/>
      </c>
      <c r="B13" s="25" t="str">
        <f aca="false">IF(入力シート!$A17="","",1)</f>
        <v/>
      </c>
      <c r="C13" s="25" t="str">
        <f aca="false">IF(入力シート!$A17="","",0)</f>
        <v/>
      </c>
      <c r="D13" s="25" t="str">
        <f aca="false">IF(入力シート!$A17="","",TEXT(入力シート!A17,"YYYYMMDD"))</f>
        <v/>
      </c>
      <c r="E13" s="25" t="str">
        <f aca="false">IF(入力シート!$A17="","",TEXT(入力シート!Q17,"00000000"))</f>
        <v/>
      </c>
      <c r="F13" s="25" t="str">
        <f aca="false">IF(入力シート!$A17="","",14)</f>
        <v/>
      </c>
      <c r="G13" s="25" t="str">
        <f aca="false">IF(入力シート!$A17="","",1)</f>
        <v/>
      </c>
      <c r="H13" s="25" t="str">
        <f aca="false">IF(入力シート!$A17="","",1)</f>
        <v/>
      </c>
      <c r="I13" s="25" t="str">
        <f aca="false">IF(入力シート!$A17="","",3)</f>
        <v/>
      </c>
      <c r="J13" s="25" t="str">
        <f aca="false">IF(入力シート!$A17="","",1)</f>
        <v/>
      </c>
      <c r="K13" s="25" t="str">
        <f aca="false">IF(入力シート!$A17="","",入力シート!B17)</f>
        <v/>
      </c>
      <c r="L13" s="25" t="str">
        <f aca="false">IF(入力シート!$A17="","","")</f>
        <v/>
      </c>
      <c r="M13" s="25" t="str">
        <f aca="false">IF(入力シート!$A17="","","")</f>
        <v/>
      </c>
      <c r="N13" s="25" t="str">
        <f aca="false">IF(入力シート!$A17="","",入力シート!R17)</f>
        <v/>
      </c>
      <c r="O13" s="25" t="str">
        <f aca="false">IF(入力シート!$A17="","",IF(入力シート!G17="",1,入力シート!G17))</f>
        <v/>
      </c>
      <c r="P13" s="25" t="str">
        <f aca="false">IF(入力シート!$A17="","",入力シート!D17)</f>
        <v/>
      </c>
      <c r="Q13" s="25" t="str">
        <f aca="false">IF(入力シート!$A17="","","")</f>
        <v/>
      </c>
      <c r="R13" s="25" t="str">
        <f aca="false">IF(入力シート!$A17="","",入力シート!J17)</f>
        <v/>
      </c>
      <c r="S13" s="25" t="str">
        <f aca="false">IF(入力シート!$A17="","",入力シート!L17)</f>
        <v/>
      </c>
      <c r="T13" s="25" t="str">
        <f aca="false">IF(入力シート!$A17="","",入力シート!K17)</f>
        <v/>
      </c>
      <c r="U13" s="25" t="str">
        <f aca="false">IF(入力シート!$A17="","",0)</f>
        <v/>
      </c>
      <c r="V13" s="25" t="str">
        <f aca="false">IF(入力シート!$A17="","",0)</f>
        <v/>
      </c>
      <c r="W13" s="25" t="str">
        <f aca="false">IF(入力シート!$A17="","","0000")</f>
        <v/>
      </c>
      <c r="X13" s="25" t="str">
        <f aca="false">IF(入力シート!$A17="","",入力シート!E17)</f>
        <v/>
      </c>
      <c r="Y13" s="25" t="str">
        <f aca="false">IF(入力シート!$A17="","",入力シート!F17)</f>
        <v/>
      </c>
      <c r="Z13" s="25" t="str">
        <f aca="false">IF(入力シート!$A17="","",入力シート!O17)</f>
        <v/>
      </c>
      <c r="AA13" s="25" t="str">
        <f aca="false">IF(入力シート!$A17="","","")</f>
        <v/>
      </c>
      <c r="AB13" s="25" t="str">
        <f aca="false">IF(入力シート!$A17="","",入力シート!P17)</f>
        <v/>
      </c>
      <c r="AC13" s="25" t="str">
        <f aca="false">IF(入力シート!$A17="","",入力シート!U17)</f>
        <v/>
      </c>
      <c r="AD13" s="25" t="str">
        <f aca="false">IF(入力シート!$A17="","",0)</f>
        <v/>
      </c>
      <c r="AE13" s="25" t="str">
        <f aca="false">IF(入力シート!$A17="","",入力シート!I17)</f>
        <v/>
      </c>
      <c r="AF13" s="25" t="str">
        <f aca="false">IF(入力シート!$A17="","",入力シート!M17)</f>
        <v/>
      </c>
      <c r="AG13" s="25" t="str">
        <f aca="false">IF(入力シート!$A17="","",入力シート!N17)</f>
        <v/>
      </c>
      <c r="AH13" s="25" t="str">
        <f aca="false">IF(入力シート!$A17="","","")</f>
        <v/>
      </c>
      <c r="AI13" s="25" t="str">
        <f aca="false">IF(入力シート!$A17="","","")</f>
        <v/>
      </c>
      <c r="AJ13" s="25" t="str">
        <f aca="false">IF(入力シート!$A17="","","")</f>
        <v/>
      </c>
      <c r="AK13" s="25" t="str">
        <f aca="false">IF(入力シート!$A17="","",2)</f>
        <v/>
      </c>
      <c r="AL13" s="25" t="str">
        <f aca="false">IF(入力シート!$A17="","","")</f>
        <v/>
      </c>
      <c r="AM13" s="25" t="str">
        <f aca="false">IF(入力シート!$A17="","","")</f>
        <v/>
      </c>
      <c r="AN13" s="25" t="str">
        <f aca="false">IF(入力シート!$A17="","",入力シート!C17)</f>
        <v/>
      </c>
      <c r="AO13" s="25" t="str">
        <f aca="false">IF(入力シート!$A17="","","")</f>
        <v/>
      </c>
      <c r="AP13" s="25" t="str">
        <f aca="false">IF(入力シート!$A17="","","")</f>
        <v/>
      </c>
      <c r="AQ13" s="25" t="str">
        <f aca="false">IF(入力シート!$A17="","","")</f>
        <v/>
      </c>
    </row>
    <row r="14" customFormat="false" ht="15" hidden="false" customHeight="true" outlineLevel="0" collapsed="false">
      <c r="A14" s="25" t="str">
        <f aca="false">IF(入力シート!$A18="","",1)</f>
        <v/>
      </c>
      <c r="B14" s="25" t="str">
        <f aca="false">IF(入力シート!$A18="","",1)</f>
        <v/>
      </c>
      <c r="C14" s="25" t="str">
        <f aca="false">IF(入力シート!$A18="","",0)</f>
        <v/>
      </c>
      <c r="D14" s="25" t="str">
        <f aca="false">IF(入力シート!$A18="","",TEXT(入力シート!A18,"YYYYMMDD"))</f>
        <v/>
      </c>
      <c r="E14" s="25" t="str">
        <f aca="false">IF(入力シート!$A18="","",TEXT(入力シート!Q18,"00000000"))</f>
        <v/>
      </c>
      <c r="F14" s="25" t="str">
        <f aca="false">IF(入力シート!$A18="","",14)</f>
        <v/>
      </c>
      <c r="G14" s="25" t="str">
        <f aca="false">IF(入力シート!$A18="","",1)</f>
        <v/>
      </c>
      <c r="H14" s="25" t="str">
        <f aca="false">IF(入力シート!$A18="","",1)</f>
        <v/>
      </c>
      <c r="I14" s="25" t="str">
        <f aca="false">IF(入力シート!$A18="","",3)</f>
        <v/>
      </c>
      <c r="J14" s="25" t="str">
        <f aca="false">IF(入力シート!$A18="","",1)</f>
        <v/>
      </c>
      <c r="K14" s="25" t="str">
        <f aca="false">IF(入力シート!$A18="","",入力シート!B18)</f>
        <v/>
      </c>
      <c r="L14" s="25" t="str">
        <f aca="false">IF(入力シート!$A18="","","")</f>
        <v/>
      </c>
      <c r="M14" s="25" t="str">
        <f aca="false">IF(入力シート!$A18="","","")</f>
        <v/>
      </c>
      <c r="N14" s="25" t="str">
        <f aca="false">IF(入力シート!$A18="","",入力シート!R18)</f>
        <v/>
      </c>
      <c r="O14" s="25" t="str">
        <f aca="false">IF(入力シート!$A18="","",IF(入力シート!G18="",1,入力シート!G18))</f>
        <v/>
      </c>
      <c r="P14" s="25" t="str">
        <f aca="false">IF(入力シート!$A18="","",入力シート!D18)</f>
        <v/>
      </c>
      <c r="Q14" s="25" t="str">
        <f aca="false">IF(入力シート!$A18="","","")</f>
        <v/>
      </c>
      <c r="R14" s="25" t="str">
        <f aca="false">IF(入力シート!$A18="","",入力シート!J18)</f>
        <v/>
      </c>
      <c r="S14" s="25" t="str">
        <f aca="false">IF(入力シート!$A18="","",入力シート!L18)</f>
        <v/>
      </c>
      <c r="T14" s="25" t="str">
        <f aca="false">IF(入力シート!$A18="","",入力シート!K18)</f>
        <v/>
      </c>
      <c r="U14" s="25" t="str">
        <f aca="false">IF(入力シート!$A18="","",0)</f>
        <v/>
      </c>
      <c r="V14" s="25" t="str">
        <f aca="false">IF(入力シート!$A18="","",0)</f>
        <v/>
      </c>
      <c r="W14" s="25" t="str">
        <f aca="false">IF(入力シート!$A18="","","0000")</f>
        <v/>
      </c>
      <c r="X14" s="25" t="str">
        <f aca="false">IF(入力シート!$A18="","",入力シート!E18)</f>
        <v/>
      </c>
      <c r="Y14" s="25" t="str">
        <f aca="false">IF(入力シート!$A18="","",入力シート!F18)</f>
        <v/>
      </c>
      <c r="Z14" s="25" t="str">
        <f aca="false">IF(入力シート!$A18="","",入力シート!O18)</f>
        <v/>
      </c>
      <c r="AA14" s="25" t="str">
        <f aca="false">IF(入力シート!$A18="","","")</f>
        <v/>
      </c>
      <c r="AB14" s="25" t="str">
        <f aca="false">IF(入力シート!$A18="","",入力シート!P18)</f>
        <v/>
      </c>
      <c r="AC14" s="25" t="str">
        <f aca="false">IF(入力シート!$A18="","",入力シート!U18)</f>
        <v/>
      </c>
      <c r="AD14" s="25" t="str">
        <f aca="false">IF(入力シート!$A18="","",0)</f>
        <v/>
      </c>
      <c r="AE14" s="25" t="str">
        <f aca="false">IF(入力シート!$A18="","",入力シート!I18)</f>
        <v/>
      </c>
      <c r="AF14" s="25" t="str">
        <f aca="false">IF(入力シート!$A18="","",入力シート!M18)</f>
        <v/>
      </c>
      <c r="AG14" s="25" t="str">
        <f aca="false">IF(入力シート!$A18="","",入力シート!N18)</f>
        <v/>
      </c>
      <c r="AH14" s="25" t="str">
        <f aca="false">IF(入力シート!$A18="","","")</f>
        <v/>
      </c>
      <c r="AI14" s="25" t="str">
        <f aca="false">IF(入力シート!$A18="","","")</f>
        <v/>
      </c>
      <c r="AJ14" s="25" t="str">
        <f aca="false">IF(入力シート!$A18="","","")</f>
        <v/>
      </c>
      <c r="AK14" s="25" t="str">
        <f aca="false">IF(入力シート!$A18="","",2)</f>
        <v/>
      </c>
      <c r="AL14" s="25" t="str">
        <f aca="false">IF(入力シート!$A18="","","")</f>
        <v/>
      </c>
      <c r="AM14" s="25" t="str">
        <f aca="false">IF(入力シート!$A18="","","")</f>
        <v/>
      </c>
      <c r="AN14" s="25" t="str">
        <f aca="false">IF(入力シート!$A18="","",入力シート!C18)</f>
        <v/>
      </c>
      <c r="AO14" s="25" t="str">
        <f aca="false">IF(入力シート!$A18="","","")</f>
        <v/>
      </c>
      <c r="AP14" s="25" t="str">
        <f aca="false">IF(入力シート!$A18="","","")</f>
        <v/>
      </c>
      <c r="AQ14" s="25" t="str">
        <f aca="false">IF(入力シート!$A18="","","")</f>
        <v/>
      </c>
    </row>
    <row r="15" customFormat="false" ht="15" hidden="false" customHeight="true" outlineLevel="0" collapsed="false">
      <c r="A15" s="25" t="str">
        <f aca="false">IF(入力シート!$A19="","",1)</f>
        <v/>
      </c>
      <c r="B15" s="25" t="str">
        <f aca="false">IF(入力シート!$A19="","",1)</f>
        <v/>
      </c>
      <c r="C15" s="25" t="str">
        <f aca="false">IF(入力シート!$A19="","",0)</f>
        <v/>
      </c>
      <c r="D15" s="25" t="str">
        <f aca="false">IF(入力シート!$A19="","",TEXT(入力シート!A19,"YYYYMMDD"))</f>
        <v/>
      </c>
      <c r="E15" s="25" t="str">
        <f aca="false">IF(入力シート!$A19="","",TEXT(入力シート!Q19,"00000000"))</f>
        <v/>
      </c>
      <c r="F15" s="25" t="str">
        <f aca="false">IF(入力シート!$A19="","",14)</f>
        <v/>
      </c>
      <c r="G15" s="25" t="str">
        <f aca="false">IF(入力シート!$A19="","",1)</f>
        <v/>
      </c>
      <c r="H15" s="25" t="str">
        <f aca="false">IF(入力シート!$A19="","",1)</f>
        <v/>
      </c>
      <c r="I15" s="25" t="str">
        <f aca="false">IF(入力シート!$A19="","",3)</f>
        <v/>
      </c>
      <c r="J15" s="25" t="str">
        <f aca="false">IF(入力シート!$A19="","",1)</f>
        <v/>
      </c>
      <c r="K15" s="25" t="str">
        <f aca="false">IF(入力シート!$A19="","",入力シート!B19)</f>
        <v/>
      </c>
      <c r="L15" s="25" t="str">
        <f aca="false">IF(入力シート!$A19="","","")</f>
        <v/>
      </c>
      <c r="M15" s="25" t="str">
        <f aca="false">IF(入力シート!$A19="","","")</f>
        <v/>
      </c>
      <c r="N15" s="25" t="str">
        <f aca="false">IF(入力シート!$A19="","",入力シート!R19)</f>
        <v/>
      </c>
      <c r="O15" s="25" t="str">
        <f aca="false">IF(入力シート!$A19="","",IF(入力シート!G19="",1,入力シート!G19))</f>
        <v/>
      </c>
      <c r="P15" s="25" t="str">
        <f aca="false">IF(入力シート!$A19="","",入力シート!D19)</f>
        <v/>
      </c>
      <c r="Q15" s="25" t="str">
        <f aca="false">IF(入力シート!$A19="","","")</f>
        <v/>
      </c>
      <c r="R15" s="25" t="str">
        <f aca="false">IF(入力シート!$A19="","",入力シート!J19)</f>
        <v/>
      </c>
      <c r="S15" s="25" t="str">
        <f aca="false">IF(入力シート!$A19="","",入力シート!L19)</f>
        <v/>
      </c>
      <c r="T15" s="25" t="str">
        <f aca="false">IF(入力シート!$A19="","",入力シート!K19)</f>
        <v/>
      </c>
      <c r="U15" s="25" t="str">
        <f aca="false">IF(入力シート!$A19="","",0)</f>
        <v/>
      </c>
      <c r="V15" s="25" t="str">
        <f aca="false">IF(入力シート!$A19="","",0)</f>
        <v/>
      </c>
      <c r="W15" s="25" t="str">
        <f aca="false">IF(入力シート!$A19="","","0000")</f>
        <v/>
      </c>
      <c r="X15" s="25" t="str">
        <f aca="false">IF(入力シート!$A19="","",入力シート!E19)</f>
        <v/>
      </c>
      <c r="Y15" s="25" t="str">
        <f aca="false">IF(入力シート!$A19="","",入力シート!F19)</f>
        <v/>
      </c>
      <c r="Z15" s="25" t="str">
        <f aca="false">IF(入力シート!$A19="","",入力シート!O19)</f>
        <v/>
      </c>
      <c r="AA15" s="25" t="str">
        <f aca="false">IF(入力シート!$A19="","","")</f>
        <v/>
      </c>
      <c r="AB15" s="25" t="str">
        <f aca="false">IF(入力シート!$A19="","",入力シート!P19)</f>
        <v/>
      </c>
      <c r="AC15" s="25" t="str">
        <f aca="false">IF(入力シート!$A19="","",入力シート!U19)</f>
        <v/>
      </c>
      <c r="AD15" s="25" t="str">
        <f aca="false">IF(入力シート!$A19="","",0)</f>
        <v/>
      </c>
      <c r="AE15" s="25" t="str">
        <f aca="false">IF(入力シート!$A19="","",入力シート!I19)</f>
        <v/>
      </c>
      <c r="AF15" s="25" t="str">
        <f aca="false">IF(入力シート!$A19="","",入力シート!M19)</f>
        <v/>
      </c>
      <c r="AG15" s="25" t="str">
        <f aca="false">IF(入力シート!$A19="","",入力シート!N19)</f>
        <v/>
      </c>
      <c r="AH15" s="25" t="str">
        <f aca="false">IF(入力シート!$A19="","","")</f>
        <v/>
      </c>
      <c r="AI15" s="25" t="str">
        <f aca="false">IF(入力シート!$A19="","","")</f>
        <v/>
      </c>
      <c r="AJ15" s="25" t="str">
        <f aca="false">IF(入力シート!$A19="","","")</f>
        <v/>
      </c>
      <c r="AK15" s="25" t="str">
        <f aca="false">IF(入力シート!$A19="","",2)</f>
        <v/>
      </c>
      <c r="AL15" s="25" t="str">
        <f aca="false">IF(入力シート!$A19="","","")</f>
        <v/>
      </c>
      <c r="AM15" s="25" t="str">
        <f aca="false">IF(入力シート!$A19="","","")</f>
        <v/>
      </c>
      <c r="AN15" s="25" t="str">
        <f aca="false">IF(入力シート!$A19="","",入力シート!C19)</f>
        <v/>
      </c>
      <c r="AO15" s="25" t="str">
        <f aca="false">IF(入力シート!$A19="","","")</f>
        <v/>
      </c>
      <c r="AP15" s="25" t="str">
        <f aca="false">IF(入力シート!$A19="","","")</f>
        <v/>
      </c>
      <c r="AQ15" s="25" t="str">
        <f aca="false">IF(入力シート!$A19="","","")</f>
        <v/>
      </c>
    </row>
    <row r="16" customFormat="false" ht="15" hidden="false" customHeight="true" outlineLevel="0" collapsed="false">
      <c r="A16" s="25" t="str">
        <f aca="false">IF(入力シート!$A20="","",1)</f>
        <v/>
      </c>
      <c r="B16" s="25" t="str">
        <f aca="false">IF(入力シート!$A20="","",1)</f>
        <v/>
      </c>
      <c r="C16" s="25" t="str">
        <f aca="false">IF(入力シート!$A20="","",0)</f>
        <v/>
      </c>
      <c r="D16" s="25" t="str">
        <f aca="false">IF(入力シート!$A20="","",TEXT(入力シート!A20,"YYYYMMDD"))</f>
        <v/>
      </c>
      <c r="E16" s="25" t="str">
        <f aca="false">IF(入力シート!$A20="","",TEXT(入力シート!Q20,"00000000"))</f>
        <v/>
      </c>
      <c r="F16" s="25" t="str">
        <f aca="false">IF(入力シート!$A20="","",14)</f>
        <v/>
      </c>
      <c r="G16" s="25" t="str">
        <f aca="false">IF(入力シート!$A20="","",1)</f>
        <v/>
      </c>
      <c r="H16" s="25" t="str">
        <f aca="false">IF(入力シート!$A20="","",1)</f>
        <v/>
      </c>
      <c r="I16" s="25" t="str">
        <f aca="false">IF(入力シート!$A20="","",3)</f>
        <v/>
      </c>
      <c r="J16" s="25" t="str">
        <f aca="false">IF(入力シート!$A20="","",1)</f>
        <v/>
      </c>
      <c r="K16" s="25" t="str">
        <f aca="false">IF(入力シート!$A20="","",入力シート!B20)</f>
        <v/>
      </c>
      <c r="L16" s="25" t="str">
        <f aca="false">IF(入力シート!$A20="","","")</f>
        <v/>
      </c>
      <c r="M16" s="25" t="str">
        <f aca="false">IF(入力シート!$A20="","","")</f>
        <v/>
      </c>
      <c r="N16" s="25" t="str">
        <f aca="false">IF(入力シート!$A20="","",入力シート!R20)</f>
        <v/>
      </c>
      <c r="O16" s="25" t="str">
        <f aca="false">IF(入力シート!$A20="","",IF(入力シート!G20="",1,入力シート!G20))</f>
        <v/>
      </c>
      <c r="P16" s="25" t="str">
        <f aca="false">IF(入力シート!$A20="","",入力シート!D20)</f>
        <v/>
      </c>
      <c r="Q16" s="25" t="str">
        <f aca="false">IF(入力シート!$A20="","","")</f>
        <v/>
      </c>
      <c r="R16" s="25" t="str">
        <f aca="false">IF(入力シート!$A20="","",入力シート!J20)</f>
        <v/>
      </c>
      <c r="S16" s="25" t="str">
        <f aca="false">IF(入力シート!$A20="","",入力シート!L20)</f>
        <v/>
      </c>
      <c r="T16" s="25" t="str">
        <f aca="false">IF(入力シート!$A20="","",入力シート!K20)</f>
        <v/>
      </c>
      <c r="U16" s="25" t="str">
        <f aca="false">IF(入力シート!$A20="","",0)</f>
        <v/>
      </c>
      <c r="V16" s="25" t="str">
        <f aca="false">IF(入力シート!$A20="","",0)</f>
        <v/>
      </c>
      <c r="W16" s="25" t="str">
        <f aca="false">IF(入力シート!$A20="","","0000")</f>
        <v/>
      </c>
      <c r="X16" s="25" t="str">
        <f aca="false">IF(入力シート!$A20="","",入力シート!E20)</f>
        <v/>
      </c>
      <c r="Y16" s="25" t="str">
        <f aca="false">IF(入力シート!$A20="","",入力シート!F20)</f>
        <v/>
      </c>
      <c r="Z16" s="25" t="str">
        <f aca="false">IF(入力シート!$A20="","",入力シート!O20)</f>
        <v/>
      </c>
      <c r="AA16" s="25" t="str">
        <f aca="false">IF(入力シート!$A20="","","")</f>
        <v/>
      </c>
      <c r="AB16" s="25" t="str">
        <f aca="false">IF(入力シート!$A20="","",入力シート!P20)</f>
        <v/>
      </c>
      <c r="AC16" s="25" t="str">
        <f aca="false">IF(入力シート!$A20="","",入力シート!U20)</f>
        <v/>
      </c>
      <c r="AD16" s="25" t="str">
        <f aca="false">IF(入力シート!$A20="","",0)</f>
        <v/>
      </c>
      <c r="AE16" s="25" t="str">
        <f aca="false">IF(入力シート!$A20="","",入力シート!I20)</f>
        <v/>
      </c>
      <c r="AF16" s="25" t="str">
        <f aca="false">IF(入力シート!$A20="","",入力シート!M20)</f>
        <v/>
      </c>
      <c r="AG16" s="25" t="str">
        <f aca="false">IF(入力シート!$A20="","",入力シート!N20)</f>
        <v/>
      </c>
      <c r="AH16" s="25" t="str">
        <f aca="false">IF(入力シート!$A20="","","")</f>
        <v/>
      </c>
      <c r="AI16" s="25" t="str">
        <f aca="false">IF(入力シート!$A20="","","")</f>
        <v/>
      </c>
      <c r="AJ16" s="25" t="str">
        <f aca="false">IF(入力シート!$A20="","","")</f>
        <v/>
      </c>
      <c r="AK16" s="25" t="str">
        <f aca="false">IF(入力シート!$A20="","",2)</f>
        <v/>
      </c>
      <c r="AL16" s="25" t="str">
        <f aca="false">IF(入力シート!$A20="","","")</f>
        <v/>
      </c>
      <c r="AM16" s="25" t="str">
        <f aca="false">IF(入力シート!$A20="","","")</f>
        <v/>
      </c>
      <c r="AN16" s="25" t="str">
        <f aca="false">IF(入力シート!$A20="","",入力シート!C20)</f>
        <v/>
      </c>
      <c r="AO16" s="25" t="str">
        <f aca="false">IF(入力シート!$A20="","","")</f>
        <v/>
      </c>
      <c r="AP16" s="25" t="str">
        <f aca="false">IF(入力シート!$A20="","","")</f>
        <v/>
      </c>
      <c r="AQ16" s="25" t="str">
        <f aca="false">IF(入力シート!$A20="","","")</f>
        <v/>
      </c>
    </row>
    <row r="17" customFormat="false" ht="15" hidden="false" customHeight="true" outlineLevel="0" collapsed="false">
      <c r="A17" s="25" t="str">
        <f aca="false">IF(入力シート!$A21="","",1)</f>
        <v/>
      </c>
      <c r="B17" s="25" t="str">
        <f aca="false">IF(入力シート!$A21="","",1)</f>
        <v/>
      </c>
      <c r="C17" s="25" t="str">
        <f aca="false">IF(入力シート!$A21="","",0)</f>
        <v/>
      </c>
      <c r="D17" s="25" t="str">
        <f aca="false">IF(入力シート!$A21="","",TEXT(入力シート!A21,"YYYYMMDD"))</f>
        <v/>
      </c>
      <c r="E17" s="25" t="str">
        <f aca="false">IF(入力シート!$A21="","",TEXT(入力シート!Q21,"00000000"))</f>
        <v/>
      </c>
      <c r="F17" s="25" t="str">
        <f aca="false">IF(入力シート!$A21="","",14)</f>
        <v/>
      </c>
      <c r="G17" s="25" t="str">
        <f aca="false">IF(入力シート!$A21="","",1)</f>
        <v/>
      </c>
      <c r="H17" s="25" t="str">
        <f aca="false">IF(入力シート!$A21="","",1)</f>
        <v/>
      </c>
      <c r="I17" s="25" t="str">
        <f aca="false">IF(入力シート!$A21="","",3)</f>
        <v/>
      </c>
      <c r="J17" s="25" t="str">
        <f aca="false">IF(入力シート!$A21="","",1)</f>
        <v/>
      </c>
      <c r="K17" s="25" t="str">
        <f aca="false">IF(入力シート!$A21="","",入力シート!B21)</f>
        <v/>
      </c>
      <c r="L17" s="25" t="str">
        <f aca="false">IF(入力シート!$A21="","","")</f>
        <v/>
      </c>
      <c r="M17" s="25" t="str">
        <f aca="false">IF(入力シート!$A21="","","")</f>
        <v/>
      </c>
      <c r="N17" s="25" t="str">
        <f aca="false">IF(入力シート!$A21="","",入力シート!R21)</f>
        <v/>
      </c>
      <c r="O17" s="25" t="str">
        <f aca="false">IF(入力シート!$A21="","",IF(入力シート!G21="",1,入力シート!G21))</f>
        <v/>
      </c>
      <c r="P17" s="25" t="str">
        <f aca="false">IF(入力シート!$A21="","",入力シート!D21)</f>
        <v/>
      </c>
      <c r="Q17" s="25" t="str">
        <f aca="false">IF(入力シート!$A21="","","")</f>
        <v/>
      </c>
      <c r="R17" s="25" t="str">
        <f aca="false">IF(入力シート!$A21="","",入力シート!J21)</f>
        <v/>
      </c>
      <c r="S17" s="25" t="str">
        <f aca="false">IF(入力シート!$A21="","",入力シート!L21)</f>
        <v/>
      </c>
      <c r="T17" s="25" t="str">
        <f aca="false">IF(入力シート!$A21="","",入力シート!K21)</f>
        <v/>
      </c>
      <c r="U17" s="25" t="str">
        <f aca="false">IF(入力シート!$A21="","",0)</f>
        <v/>
      </c>
      <c r="V17" s="25" t="str">
        <f aca="false">IF(入力シート!$A21="","",0)</f>
        <v/>
      </c>
      <c r="W17" s="25" t="str">
        <f aca="false">IF(入力シート!$A21="","","0000")</f>
        <v/>
      </c>
      <c r="X17" s="25" t="str">
        <f aca="false">IF(入力シート!$A21="","",入力シート!E21)</f>
        <v/>
      </c>
      <c r="Y17" s="25" t="str">
        <f aca="false">IF(入力シート!$A21="","",入力シート!F21)</f>
        <v/>
      </c>
      <c r="Z17" s="25" t="str">
        <f aca="false">IF(入力シート!$A21="","",入力シート!O21)</f>
        <v/>
      </c>
      <c r="AA17" s="25" t="str">
        <f aca="false">IF(入力シート!$A21="","","")</f>
        <v/>
      </c>
      <c r="AB17" s="25" t="str">
        <f aca="false">IF(入力シート!$A21="","",入力シート!P21)</f>
        <v/>
      </c>
      <c r="AC17" s="25" t="str">
        <f aca="false">IF(入力シート!$A21="","",入力シート!U21)</f>
        <v/>
      </c>
      <c r="AD17" s="25" t="str">
        <f aca="false">IF(入力シート!$A21="","",0)</f>
        <v/>
      </c>
      <c r="AE17" s="25" t="str">
        <f aca="false">IF(入力シート!$A21="","",入力シート!I21)</f>
        <v/>
      </c>
      <c r="AF17" s="25" t="str">
        <f aca="false">IF(入力シート!$A21="","",入力シート!M21)</f>
        <v/>
      </c>
      <c r="AG17" s="25" t="str">
        <f aca="false">IF(入力シート!$A21="","",入力シート!N21)</f>
        <v/>
      </c>
      <c r="AH17" s="25" t="str">
        <f aca="false">IF(入力シート!$A21="","","")</f>
        <v/>
      </c>
      <c r="AI17" s="25" t="str">
        <f aca="false">IF(入力シート!$A21="","","")</f>
        <v/>
      </c>
      <c r="AJ17" s="25" t="str">
        <f aca="false">IF(入力シート!$A21="","","")</f>
        <v/>
      </c>
      <c r="AK17" s="25" t="str">
        <f aca="false">IF(入力シート!$A21="","",2)</f>
        <v/>
      </c>
      <c r="AL17" s="25" t="str">
        <f aca="false">IF(入力シート!$A21="","","")</f>
        <v/>
      </c>
      <c r="AM17" s="25" t="str">
        <f aca="false">IF(入力シート!$A21="","","")</f>
        <v/>
      </c>
      <c r="AN17" s="25" t="str">
        <f aca="false">IF(入力シート!$A21="","",入力シート!C21)</f>
        <v/>
      </c>
      <c r="AO17" s="25" t="str">
        <f aca="false">IF(入力シート!$A21="","","")</f>
        <v/>
      </c>
      <c r="AP17" s="25" t="str">
        <f aca="false">IF(入力シート!$A21="","","")</f>
        <v/>
      </c>
      <c r="AQ17" s="25" t="str">
        <f aca="false">IF(入力シート!$A21="","","")</f>
        <v/>
      </c>
    </row>
    <row r="18" customFormat="false" ht="15" hidden="false" customHeight="true" outlineLevel="0" collapsed="false">
      <c r="A18" s="25" t="str">
        <f aca="false">IF(入力シート!$A22="","",1)</f>
        <v/>
      </c>
      <c r="B18" s="25" t="str">
        <f aca="false">IF(入力シート!$A22="","",1)</f>
        <v/>
      </c>
      <c r="C18" s="25" t="str">
        <f aca="false">IF(入力シート!$A22="","",0)</f>
        <v/>
      </c>
      <c r="D18" s="25" t="str">
        <f aca="false">IF(入力シート!$A22="","",TEXT(入力シート!A22,"YYYYMMDD"))</f>
        <v/>
      </c>
      <c r="E18" s="25" t="str">
        <f aca="false">IF(入力シート!$A22="","",TEXT(入力シート!Q22,"00000000"))</f>
        <v/>
      </c>
      <c r="F18" s="25" t="str">
        <f aca="false">IF(入力シート!$A22="","",14)</f>
        <v/>
      </c>
      <c r="G18" s="25" t="str">
        <f aca="false">IF(入力シート!$A22="","",1)</f>
        <v/>
      </c>
      <c r="H18" s="25" t="str">
        <f aca="false">IF(入力シート!$A22="","",1)</f>
        <v/>
      </c>
      <c r="I18" s="25" t="str">
        <f aca="false">IF(入力シート!$A22="","",3)</f>
        <v/>
      </c>
      <c r="J18" s="25" t="str">
        <f aca="false">IF(入力シート!$A22="","",1)</f>
        <v/>
      </c>
      <c r="K18" s="25" t="str">
        <f aca="false">IF(入力シート!$A22="","",入力シート!B22)</f>
        <v/>
      </c>
      <c r="L18" s="25" t="str">
        <f aca="false">IF(入力シート!$A22="","","")</f>
        <v/>
      </c>
      <c r="M18" s="25" t="str">
        <f aca="false">IF(入力シート!$A22="","","")</f>
        <v/>
      </c>
      <c r="N18" s="25" t="str">
        <f aca="false">IF(入力シート!$A22="","",入力シート!R22)</f>
        <v/>
      </c>
      <c r="O18" s="25" t="str">
        <f aca="false">IF(入力シート!$A22="","",IF(入力シート!G22="",1,入力シート!G22))</f>
        <v/>
      </c>
      <c r="P18" s="25" t="str">
        <f aca="false">IF(入力シート!$A22="","",入力シート!D22)</f>
        <v/>
      </c>
      <c r="Q18" s="25" t="str">
        <f aca="false">IF(入力シート!$A22="","","")</f>
        <v/>
      </c>
      <c r="R18" s="25" t="str">
        <f aca="false">IF(入力シート!$A22="","",入力シート!J22)</f>
        <v/>
      </c>
      <c r="S18" s="25" t="str">
        <f aca="false">IF(入力シート!$A22="","",入力シート!L22)</f>
        <v/>
      </c>
      <c r="T18" s="25" t="str">
        <f aca="false">IF(入力シート!$A22="","",入力シート!K22)</f>
        <v/>
      </c>
      <c r="U18" s="25" t="str">
        <f aca="false">IF(入力シート!$A22="","",0)</f>
        <v/>
      </c>
      <c r="V18" s="25" t="str">
        <f aca="false">IF(入力シート!$A22="","",0)</f>
        <v/>
      </c>
      <c r="W18" s="25" t="str">
        <f aca="false">IF(入力シート!$A22="","","0000")</f>
        <v/>
      </c>
      <c r="X18" s="25" t="str">
        <f aca="false">IF(入力シート!$A22="","",入力シート!E22)</f>
        <v/>
      </c>
      <c r="Y18" s="25" t="str">
        <f aca="false">IF(入力シート!$A22="","",入力シート!F22)</f>
        <v/>
      </c>
      <c r="Z18" s="25" t="str">
        <f aca="false">IF(入力シート!$A22="","",入力シート!O22)</f>
        <v/>
      </c>
      <c r="AA18" s="25" t="str">
        <f aca="false">IF(入力シート!$A22="","","")</f>
        <v/>
      </c>
      <c r="AB18" s="25" t="str">
        <f aca="false">IF(入力シート!$A22="","",入力シート!P22)</f>
        <v/>
      </c>
      <c r="AC18" s="25" t="str">
        <f aca="false">IF(入力シート!$A22="","",入力シート!U22)</f>
        <v/>
      </c>
      <c r="AD18" s="25" t="str">
        <f aca="false">IF(入力シート!$A22="","",0)</f>
        <v/>
      </c>
      <c r="AE18" s="25" t="str">
        <f aca="false">IF(入力シート!$A22="","",入力シート!I22)</f>
        <v/>
      </c>
      <c r="AF18" s="25" t="str">
        <f aca="false">IF(入力シート!$A22="","",入力シート!M22)</f>
        <v/>
      </c>
      <c r="AG18" s="25" t="str">
        <f aca="false">IF(入力シート!$A22="","",入力シート!N22)</f>
        <v/>
      </c>
      <c r="AH18" s="25" t="str">
        <f aca="false">IF(入力シート!$A22="","","")</f>
        <v/>
      </c>
      <c r="AI18" s="25" t="str">
        <f aca="false">IF(入力シート!$A22="","","")</f>
        <v/>
      </c>
      <c r="AJ18" s="25" t="str">
        <f aca="false">IF(入力シート!$A22="","","")</f>
        <v/>
      </c>
      <c r="AK18" s="25" t="str">
        <f aca="false">IF(入力シート!$A22="","",2)</f>
        <v/>
      </c>
      <c r="AL18" s="25" t="str">
        <f aca="false">IF(入力シート!$A22="","","")</f>
        <v/>
      </c>
      <c r="AM18" s="25" t="str">
        <f aca="false">IF(入力シート!$A22="","","")</f>
        <v/>
      </c>
      <c r="AN18" s="25" t="str">
        <f aca="false">IF(入力シート!$A22="","",入力シート!C22)</f>
        <v/>
      </c>
      <c r="AO18" s="25" t="str">
        <f aca="false">IF(入力シート!$A22="","","")</f>
        <v/>
      </c>
      <c r="AP18" s="25" t="str">
        <f aca="false">IF(入力シート!$A22="","","")</f>
        <v/>
      </c>
      <c r="AQ18" s="25" t="str">
        <f aca="false">IF(入力シート!$A22="","","")</f>
        <v/>
      </c>
    </row>
    <row r="19" customFormat="false" ht="15" hidden="false" customHeight="true" outlineLevel="0" collapsed="false">
      <c r="A19" s="25" t="str">
        <f aca="false">IF(入力シート!$A23="","",1)</f>
        <v/>
      </c>
      <c r="B19" s="25" t="str">
        <f aca="false">IF(入力シート!$A23="","",1)</f>
        <v/>
      </c>
      <c r="C19" s="25" t="str">
        <f aca="false">IF(入力シート!$A23="","",0)</f>
        <v/>
      </c>
      <c r="D19" s="25" t="str">
        <f aca="false">IF(入力シート!$A23="","",TEXT(入力シート!A23,"YYYYMMDD"))</f>
        <v/>
      </c>
      <c r="E19" s="25" t="str">
        <f aca="false">IF(入力シート!$A23="","",TEXT(入力シート!Q23,"00000000"))</f>
        <v/>
      </c>
      <c r="F19" s="25" t="str">
        <f aca="false">IF(入力シート!$A23="","",14)</f>
        <v/>
      </c>
      <c r="G19" s="25" t="str">
        <f aca="false">IF(入力シート!$A23="","",1)</f>
        <v/>
      </c>
      <c r="H19" s="25" t="str">
        <f aca="false">IF(入力シート!$A23="","",1)</f>
        <v/>
      </c>
      <c r="I19" s="25" t="str">
        <f aca="false">IF(入力シート!$A23="","",3)</f>
        <v/>
      </c>
      <c r="J19" s="25" t="str">
        <f aca="false">IF(入力シート!$A23="","",1)</f>
        <v/>
      </c>
      <c r="K19" s="25" t="str">
        <f aca="false">IF(入力シート!$A23="","",入力シート!B23)</f>
        <v/>
      </c>
      <c r="L19" s="25" t="str">
        <f aca="false">IF(入力シート!$A23="","","")</f>
        <v/>
      </c>
      <c r="M19" s="25" t="str">
        <f aca="false">IF(入力シート!$A23="","","")</f>
        <v/>
      </c>
      <c r="N19" s="25" t="str">
        <f aca="false">IF(入力シート!$A23="","",入力シート!R23)</f>
        <v/>
      </c>
      <c r="O19" s="25" t="str">
        <f aca="false">IF(入力シート!$A23="","",IF(入力シート!G23="",1,入力シート!G23))</f>
        <v/>
      </c>
      <c r="P19" s="25" t="str">
        <f aca="false">IF(入力シート!$A23="","",入力シート!D23)</f>
        <v/>
      </c>
      <c r="Q19" s="25" t="str">
        <f aca="false">IF(入力シート!$A23="","","")</f>
        <v/>
      </c>
      <c r="R19" s="25" t="str">
        <f aca="false">IF(入力シート!$A23="","",入力シート!J23)</f>
        <v/>
      </c>
      <c r="S19" s="25" t="str">
        <f aca="false">IF(入力シート!$A23="","",入力シート!L23)</f>
        <v/>
      </c>
      <c r="T19" s="25" t="str">
        <f aca="false">IF(入力シート!$A23="","",入力シート!K23)</f>
        <v/>
      </c>
      <c r="U19" s="25" t="str">
        <f aca="false">IF(入力シート!$A23="","",0)</f>
        <v/>
      </c>
      <c r="V19" s="25" t="str">
        <f aca="false">IF(入力シート!$A23="","",0)</f>
        <v/>
      </c>
      <c r="W19" s="25" t="str">
        <f aca="false">IF(入力シート!$A23="","","0000")</f>
        <v/>
      </c>
      <c r="X19" s="25" t="str">
        <f aca="false">IF(入力シート!$A23="","",入力シート!E23)</f>
        <v/>
      </c>
      <c r="Y19" s="25" t="str">
        <f aca="false">IF(入力シート!$A23="","",入力シート!F23)</f>
        <v/>
      </c>
      <c r="Z19" s="25" t="str">
        <f aca="false">IF(入力シート!$A23="","",入力シート!O23)</f>
        <v/>
      </c>
      <c r="AA19" s="25" t="str">
        <f aca="false">IF(入力シート!$A23="","","")</f>
        <v/>
      </c>
      <c r="AB19" s="25" t="str">
        <f aca="false">IF(入力シート!$A23="","",入力シート!P23)</f>
        <v/>
      </c>
      <c r="AC19" s="25" t="str">
        <f aca="false">IF(入力シート!$A23="","",入力シート!U23)</f>
        <v/>
      </c>
      <c r="AD19" s="25" t="str">
        <f aca="false">IF(入力シート!$A23="","",0)</f>
        <v/>
      </c>
      <c r="AE19" s="25" t="str">
        <f aca="false">IF(入力シート!$A23="","",入力シート!I23)</f>
        <v/>
      </c>
      <c r="AF19" s="25" t="str">
        <f aca="false">IF(入力シート!$A23="","",入力シート!M23)</f>
        <v/>
      </c>
      <c r="AG19" s="25" t="str">
        <f aca="false">IF(入力シート!$A23="","",入力シート!N23)</f>
        <v/>
      </c>
      <c r="AH19" s="25" t="str">
        <f aca="false">IF(入力シート!$A23="","","")</f>
        <v/>
      </c>
      <c r="AI19" s="25" t="str">
        <f aca="false">IF(入力シート!$A23="","","")</f>
        <v/>
      </c>
      <c r="AJ19" s="25" t="str">
        <f aca="false">IF(入力シート!$A23="","","")</f>
        <v/>
      </c>
      <c r="AK19" s="25" t="str">
        <f aca="false">IF(入力シート!$A23="","",2)</f>
        <v/>
      </c>
      <c r="AL19" s="25" t="str">
        <f aca="false">IF(入力シート!$A23="","","")</f>
        <v/>
      </c>
      <c r="AM19" s="25" t="str">
        <f aca="false">IF(入力シート!$A23="","","")</f>
        <v/>
      </c>
      <c r="AN19" s="25" t="str">
        <f aca="false">IF(入力シート!$A23="","",入力シート!C23)</f>
        <v/>
      </c>
      <c r="AO19" s="25" t="str">
        <f aca="false">IF(入力シート!$A23="","","")</f>
        <v/>
      </c>
      <c r="AP19" s="25" t="str">
        <f aca="false">IF(入力シート!$A23="","","")</f>
        <v/>
      </c>
      <c r="AQ19" s="25" t="str">
        <f aca="false">IF(入力シート!$A23="","","")</f>
        <v/>
      </c>
    </row>
    <row r="20" customFormat="false" ht="15" hidden="false" customHeight="true" outlineLevel="0" collapsed="false">
      <c r="A20" s="25" t="str">
        <f aca="false">IF(入力シート!$A24="","",1)</f>
        <v/>
      </c>
      <c r="B20" s="25" t="str">
        <f aca="false">IF(入力シート!$A24="","",1)</f>
        <v/>
      </c>
      <c r="C20" s="25" t="str">
        <f aca="false">IF(入力シート!$A24="","",0)</f>
        <v/>
      </c>
      <c r="D20" s="25" t="str">
        <f aca="false">IF(入力シート!$A24="","",TEXT(入力シート!A24,"YYYYMMDD"))</f>
        <v/>
      </c>
      <c r="E20" s="25" t="str">
        <f aca="false">IF(入力シート!$A24="","",TEXT(入力シート!Q24,"00000000"))</f>
        <v/>
      </c>
      <c r="F20" s="25" t="str">
        <f aca="false">IF(入力シート!$A24="","",14)</f>
        <v/>
      </c>
      <c r="G20" s="25" t="str">
        <f aca="false">IF(入力シート!$A24="","",1)</f>
        <v/>
      </c>
      <c r="H20" s="25" t="str">
        <f aca="false">IF(入力シート!$A24="","",1)</f>
        <v/>
      </c>
      <c r="I20" s="25" t="str">
        <f aca="false">IF(入力シート!$A24="","",3)</f>
        <v/>
      </c>
      <c r="J20" s="25" t="str">
        <f aca="false">IF(入力シート!$A24="","",1)</f>
        <v/>
      </c>
      <c r="K20" s="25" t="str">
        <f aca="false">IF(入力シート!$A24="","",入力シート!B24)</f>
        <v/>
      </c>
      <c r="L20" s="25" t="str">
        <f aca="false">IF(入力シート!$A24="","","")</f>
        <v/>
      </c>
      <c r="M20" s="25" t="str">
        <f aca="false">IF(入力シート!$A24="","","")</f>
        <v/>
      </c>
      <c r="N20" s="25" t="str">
        <f aca="false">IF(入力シート!$A24="","",入力シート!R24)</f>
        <v/>
      </c>
      <c r="O20" s="25" t="str">
        <f aca="false">IF(入力シート!$A24="","",IF(入力シート!G24="",1,入力シート!G24))</f>
        <v/>
      </c>
      <c r="P20" s="25" t="str">
        <f aca="false">IF(入力シート!$A24="","",入力シート!D24)</f>
        <v/>
      </c>
      <c r="Q20" s="25" t="str">
        <f aca="false">IF(入力シート!$A24="","","")</f>
        <v/>
      </c>
      <c r="R20" s="25" t="str">
        <f aca="false">IF(入力シート!$A24="","",入力シート!J24)</f>
        <v/>
      </c>
      <c r="S20" s="25" t="str">
        <f aca="false">IF(入力シート!$A24="","",入力シート!L24)</f>
        <v/>
      </c>
      <c r="T20" s="25" t="str">
        <f aca="false">IF(入力シート!$A24="","",入力シート!K24)</f>
        <v/>
      </c>
      <c r="U20" s="25" t="str">
        <f aca="false">IF(入力シート!$A24="","",0)</f>
        <v/>
      </c>
      <c r="V20" s="25" t="str">
        <f aca="false">IF(入力シート!$A24="","",0)</f>
        <v/>
      </c>
      <c r="W20" s="25" t="str">
        <f aca="false">IF(入力シート!$A24="","","0000")</f>
        <v/>
      </c>
      <c r="X20" s="25" t="str">
        <f aca="false">IF(入力シート!$A24="","",入力シート!E24)</f>
        <v/>
      </c>
      <c r="Y20" s="25" t="str">
        <f aca="false">IF(入力シート!$A24="","",入力シート!F24)</f>
        <v/>
      </c>
      <c r="Z20" s="25" t="str">
        <f aca="false">IF(入力シート!$A24="","",入力シート!O24)</f>
        <v/>
      </c>
      <c r="AA20" s="25" t="str">
        <f aca="false">IF(入力シート!$A24="","","")</f>
        <v/>
      </c>
      <c r="AB20" s="25" t="str">
        <f aca="false">IF(入力シート!$A24="","",入力シート!P24)</f>
        <v/>
      </c>
      <c r="AC20" s="25" t="str">
        <f aca="false">IF(入力シート!$A24="","",入力シート!U24)</f>
        <v/>
      </c>
      <c r="AD20" s="25" t="str">
        <f aca="false">IF(入力シート!$A24="","",0)</f>
        <v/>
      </c>
      <c r="AE20" s="25" t="str">
        <f aca="false">IF(入力シート!$A24="","",入力シート!I24)</f>
        <v/>
      </c>
      <c r="AF20" s="25" t="str">
        <f aca="false">IF(入力シート!$A24="","",入力シート!M24)</f>
        <v/>
      </c>
      <c r="AG20" s="25" t="str">
        <f aca="false">IF(入力シート!$A24="","",入力シート!N24)</f>
        <v/>
      </c>
      <c r="AH20" s="25" t="str">
        <f aca="false">IF(入力シート!$A24="","","")</f>
        <v/>
      </c>
      <c r="AI20" s="25" t="str">
        <f aca="false">IF(入力シート!$A24="","","")</f>
        <v/>
      </c>
      <c r="AJ20" s="25" t="str">
        <f aca="false">IF(入力シート!$A24="","","")</f>
        <v/>
      </c>
      <c r="AK20" s="25" t="str">
        <f aca="false">IF(入力シート!$A24="","",2)</f>
        <v/>
      </c>
      <c r="AL20" s="25" t="str">
        <f aca="false">IF(入力シート!$A24="","","")</f>
        <v/>
      </c>
      <c r="AM20" s="25" t="str">
        <f aca="false">IF(入力シート!$A24="","","")</f>
        <v/>
      </c>
      <c r="AN20" s="25" t="str">
        <f aca="false">IF(入力シート!$A24="","",入力シート!C24)</f>
        <v/>
      </c>
      <c r="AO20" s="25" t="str">
        <f aca="false">IF(入力シート!$A24="","","")</f>
        <v/>
      </c>
      <c r="AP20" s="25" t="str">
        <f aca="false">IF(入力シート!$A24="","","")</f>
        <v/>
      </c>
      <c r="AQ20" s="25" t="str">
        <f aca="false">IF(入力シート!$A24="","","")</f>
        <v/>
      </c>
    </row>
    <row r="21" customFormat="false" ht="15" hidden="false" customHeight="true" outlineLevel="0" collapsed="false">
      <c r="A21" s="25" t="str">
        <f aca="false">IF(入力シート!$A25="","",1)</f>
        <v/>
      </c>
      <c r="B21" s="25" t="str">
        <f aca="false">IF(入力シート!$A25="","",1)</f>
        <v/>
      </c>
      <c r="C21" s="25" t="str">
        <f aca="false">IF(入力シート!$A25="","",0)</f>
        <v/>
      </c>
      <c r="D21" s="25" t="str">
        <f aca="false">IF(入力シート!$A25="","",TEXT(入力シート!A25,"YYYYMMDD"))</f>
        <v/>
      </c>
      <c r="E21" s="25" t="str">
        <f aca="false">IF(入力シート!$A25="","",TEXT(入力シート!Q25,"00000000"))</f>
        <v/>
      </c>
      <c r="F21" s="25" t="str">
        <f aca="false">IF(入力シート!$A25="","",14)</f>
        <v/>
      </c>
      <c r="G21" s="25" t="str">
        <f aca="false">IF(入力シート!$A25="","",1)</f>
        <v/>
      </c>
      <c r="H21" s="25" t="str">
        <f aca="false">IF(入力シート!$A25="","",1)</f>
        <v/>
      </c>
      <c r="I21" s="25" t="str">
        <f aca="false">IF(入力シート!$A25="","",3)</f>
        <v/>
      </c>
      <c r="J21" s="25" t="str">
        <f aca="false">IF(入力シート!$A25="","",1)</f>
        <v/>
      </c>
      <c r="K21" s="25" t="str">
        <f aca="false">IF(入力シート!$A25="","",入力シート!B25)</f>
        <v/>
      </c>
      <c r="L21" s="25" t="str">
        <f aca="false">IF(入力シート!$A25="","","")</f>
        <v/>
      </c>
      <c r="M21" s="25" t="str">
        <f aca="false">IF(入力シート!$A25="","","")</f>
        <v/>
      </c>
      <c r="N21" s="25" t="str">
        <f aca="false">IF(入力シート!$A25="","",入力シート!R25)</f>
        <v/>
      </c>
      <c r="O21" s="25" t="str">
        <f aca="false">IF(入力シート!$A25="","",IF(入力シート!G25="",1,入力シート!G25))</f>
        <v/>
      </c>
      <c r="P21" s="25" t="str">
        <f aca="false">IF(入力シート!$A25="","",入力シート!D25)</f>
        <v/>
      </c>
      <c r="Q21" s="25" t="str">
        <f aca="false">IF(入力シート!$A25="","","")</f>
        <v/>
      </c>
      <c r="R21" s="25" t="str">
        <f aca="false">IF(入力シート!$A25="","",入力シート!J25)</f>
        <v/>
      </c>
      <c r="S21" s="25" t="str">
        <f aca="false">IF(入力シート!$A25="","",入力シート!L25)</f>
        <v/>
      </c>
      <c r="T21" s="25" t="str">
        <f aca="false">IF(入力シート!$A25="","",入力シート!K25)</f>
        <v/>
      </c>
      <c r="U21" s="25" t="str">
        <f aca="false">IF(入力シート!$A25="","",0)</f>
        <v/>
      </c>
      <c r="V21" s="25" t="str">
        <f aca="false">IF(入力シート!$A25="","",0)</f>
        <v/>
      </c>
      <c r="W21" s="25" t="str">
        <f aca="false">IF(入力シート!$A25="","","0000")</f>
        <v/>
      </c>
      <c r="X21" s="25" t="str">
        <f aca="false">IF(入力シート!$A25="","",入力シート!E25)</f>
        <v/>
      </c>
      <c r="Y21" s="25" t="str">
        <f aca="false">IF(入力シート!$A25="","",入力シート!F25)</f>
        <v/>
      </c>
      <c r="Z21" s="25" t="str">
        <f aca="false">IF(入力シート!$A25="","",入力シート!O25)</f>
        <v/>
      </c>
      <c r="AA21" s="25" t="str">
        <f aca="false">IF(入力シート!$A25="","","")</f>
        <v/>
      </c>
      <c r="AB21" s="25" t="str">
        <f aca="false">IF(入力シート!$A25="","",入力シート!P25)</f>
        <v/>
      </c>
      <c r="AC21" s="25" t="str">
        <f aca="false">IF(入力シート!$A25="","",入力シート!U25)</f>
        <v/>
      </c>
      <c r="AD21" s="25" t="str">
        <f aca="false">IF(入力シート!$A25="","",0)</f>
        <v/>
      </c>
      <c r="AE21" s="25" t="str">
        <f aca="false">IF(入力シート!$A25="","",入力シート!I25)</f>
        <v/>
      </c>
      <c r="AF21" s="25" t="str">
        <f aca="false">IF(入力シート!$A25="","",入力シート!M25)</f>
        <v/>
      </c>
      <c r="AG21" s="25" t="str">
        <f aca="false">IF(入力シート!$A25="","",入力シート!N25)</f>
        <v/>
      </c>
      <c r="AH21" s="25" t="str">
        <f aca="false">IF(入力シート!$A25="","","")</f>
        <v/>
      </c>
      <c r="AI21" s="25" t="str">
        <f aca="false">IF(入力シート!$A25="","","")</f>
        <v/>
      </c>
      <c r="AJ21" s="25" t="str">
        <f aca="false">IF(入力シート!$A25="","","")</f>
        <v/>
      </c>
      <c r="AK21" s="25" t="str">
        <f aca="false">IF(入力シート!$A25="","",2)</f>
        <v/>
      </c>
      <c r="AL21" s="25" t="str">
        <f aca="false">IF(入力シート!$A25="","","")</f>
        <v/>
      </c>
      <c r="AM21" s="25" t="str">
        <f aca="false">IF(入力シート!$A25="","","")</f>
        <v/>
      </c>
      <c r="AN21" s="25" t="str">
        <f aca="false">IF(入力シート!$A25="","",入力シート!C25)</f>
        <v/>
      </c>
      <c r="AO21" s="25" t="str">
        <f aca="false">IF(入力シート!$A25="","","")</f>
        <v/>
      </c>
      <c r="AP21" s="25" t="str">
        <f aca="false">IF(入力シート!$A25="","","")</f>
        <v/>
      </c>
      <c r="AQ21" s="25" t="str">
        <f aca="false">IF(入力シート!$A25="","","")</f>
        <v/>
      </c>
    </row>
    <row r="22" customFormat="false" ht="15" hidden="false" customHeight="true" outlineLevel="0" collapsed="false">
      <c r="A22" s="25" t="str">
        <f aca="false">IF(入力シート!$A26="","",1)</f>
        <v/>
      </c>
      <c r="B22" s="25" t="str">
        <f aca="false">IF(入力シート!$A26="","",1)</f>
        <v/>
      </c>
      <c r="C22" s="25" t="str">
        <f aca="false">IF(入力シート!$A26="","",0)</f>
        <v/>
      </c>
      <c r="D22" s="25" t="str">
        <f aca="false">IF(入力シート!$A26="","",TEXT(入力シート!A26,"YYYYMMDD"))</f>
        <v/>
      </c>
      <c r="E22" s="25" t="str">
        <f aca="false">IF(入力シート!$A26="","",TEXT(入力シート!Q26,"00000000"))</f>
        <v/>
      </c>
      <c r="F22" s="25" t="str">
        <f aca="false">IF(入力シート!$A26="","",14)</f>
        <v/>
      </c>
      <c r="G22" s="25" t="str">
        <f aca="false">IF(入力シート!$A26="","",1)</f>
        <v/>
      </c>
      <c r="H22" s="25" t="str">
        <f aca="false">IF(入力シート!$A26="","",1)</f>
        <v/>
      </c>
      <c r="I22" s="25" t="str">
        <f aca="false">IF(入力シート!$A26="","",3)</f>
        <v/>
      </c>
      <c r="J22" s="25" t="str">
        <f aca="false">IF(入力シート!$A26="","",1)</f>
        <v/>
      </c>
      <c r="K22" s="25" t="str">
        <f aca="false">IF(入力シート!$A26="","",入力シート!B26)</f>
        <v/>
      </c>
      <c r="L22" s="25" t="str">
        <f aca="false">IF(入力シート!$A26="","","")</f>
        <v/>
      </c>
      <c r="M22" s="25" t="str">
        <f aca="false">IF(入力シート!$A26="","","")</f>
        <v/>
      </c>
      <c r="N22" s="25" t="str">
        <f aca="false">IF(入力シート!$A26="","",入力シート!R26)</f>
        <v/>
      </c>
      <c r="O22" s="25" t="str">
        <f aca="false">IF(入力シート!$A26="","",IF(入力シート!G26="",1,入力シート!G26))</f>
        <v/>
      </c>
      <c r="P22" s="25" t="str">
        <f aca="false">IF(入力シート!$A26="","",入力シート!D26)</f>
        <v/>
      </c>
      <c r="Q22" s="25" t="str">
        <f aca="false">IF(入力シート!$A26="","","")</f>
        <v/>
      </c>
      <c r="R22" s="25" t="str">
        <f aca="false">IF(入力シート!$A26="","",入力シート!J26)</f>
        <v/>
      </c>
      <c r="S22" s="25" t="str">
        <f aca="false">IF(入力シート!$A26="","",入力シート!L26)</f>
        <v/>
      </c>
      <c r="T22" s="25" t="str">
        <f aca="false">IF(入力シート!$A26="","",入力シート!K26)</f>
        <v/>
      </c>
      <c r="U22" s="25" t="str">
        <f aca="false">IF(入力シート!$A26="","",0)</f>
        <v/>
      </c>
      <c r="V22" s="25" t="str">
        <f aca="false">IF(入力シート!$A26="","",0)</f>
        <v/>
      </c>
      <c r="W22" s="25" t="str">
        <f aca="false">IF(入力シート!$A26="","","0000")</f>
        <v/>
      </c>
      <c r="X22" s="25" t="str">
        <f aca="false">IF(入力シート!$A26="","",入力シート!E26)</f>
        <v/>
      </c>
      <c r="Y22" s="25" t="str">
        <f aca="false">IF(入力シート!$A26="","",入力シート!F26)</f>
        <v/>
      </c>
      <c r="Z22" s="25" t="str">
        <f aca="false">IF(入力シート!$A26="","",入力シート!O26)</f>
        <v/>
      </c>
      <c r="AA22" s="25" t="str">
        <f aca="false">IF(入力シート!$A26="","","")</f>
        <v/>
      </c>
      <c r="AB22" s="25" t="str">
        <f aca="false">IF(入力シート!$A26="","",入力シート!P26)</f>
        <v/>
      </c>
      <c r="AC22" s="25" t="str">
        <f aca="false">IF(入力シート!$A26="","",入力シート!U26)</f>
        <v/>
      </c>
      <c r="AD22" s="25" t="str">
        <f aca="false">IF(入力シート!$A26="","",0)</f>
        <v/>
      </c>
      <c r="AE22" s="25" t="str">
        <f aca="false">IF(入力シート!$A26="","",入力シート!I26)</f>
        <v/>
      </c>
      <c r="AF22" s="25" t="str">
        <f aca="false">IF(入力シート!$A26="","",入力シート!M26)</f>
        <v/>
      </c>
      <c r="AG22" s="25" t="str">
        <f aca="false">IF(入力シート!$A26="","",入力シート!N26)</f>
        <v/>
      </c>
      <c r="AH22" s="25" t="str">
        <f aca="false">IF(入力シート!$A26="","","")</f>
        <v/>
      </c>
      <c r="AI22" s="25" t="str">
        <f aca="false">IF(入力シート!$A26="","","")</f>
        <v/>
      </c>
      <c r="AJ22" s="25" t="str">
        <f aca="false">IF(入力シート!$A26="","","")</f>
        <v/>
      </c>
      <c r="AK22" s="25" t="str">
        <f aca="false">IF(入力シート!$A26="","",2)</f>
        <v/>
      </c>
      <c r="AL22" s="25" t="str">
        <f aca="false">IF(入力シート!$A26="","","")</f>
        <v/>
      </c>
      <c r="AM22" s="25" t="str">
        <f aca="false">IF(入力シート!$A26="","","")</f>
        <v/>
      </c>
      <c r="AN22" s="25" t="str">
        <f aca="false">IF(入力シート!$A26="","",入力シート!C26)</f>
        <v/>
      </c>
      <c r="AO22" s="25" t="str">
        <f aca="false">IF(入力シート!$A26="","","")</f>
        <v/>
      </c>
      <c r="AP22" s="25" t="str">
        <f aca="false">IF(入力シート!$A26="","","")</f>
        <v/>
      </c>
      <c r="AQ22" s="25" t="str">
        <f aca="false">IF(入力シート!$A26="","","")</f>
        <v/>
      </c>
    </row>
    <row r="23" customFormat="false" ht="15" hidden="false" customHeight="true" outlineLevel="0" collapsed="false">
      <c r="A23" s="25" t="str">
        <f aca="false">IF(入力シート!$A27="","",1)</f>
        <v/>
      </c>
      <c r="B23" s="25" t="str">
        <f aca="false">IF(入力シート!$A27="","",1)</f>
        <v/>
      </c>
      <c r="C23" s="25" t="str">
        <f aca="false">IF(入力シート!$A27="","",0)</f>
        <v/>
      </c>
      <c r="D23" s="25" t="str">
        <f aca="false">IF(入力シート!$A27="","",TEXT(入力シート!A27,"YYYYMMDD"))</f>
        <v/>
      </c>
      <c r="E23" s="25" t="str">
        <f aca="false">IF(入力シート!$A27="","",TEXT(入力シート!Q27,"00000000"))</f>
        <v/>
      </c>
      <c r="F23" s="25" t="str">
        <f aca="false">IF(入力シート!$A27="","",14)</f>
        <v/>
      </c>
      <c r="G23" s="25" t="str">
        <f aca="false">IF(入力シート!$A27="","",1)</f>
        <v/>
      </c>
      <c r="H23" s="25" t="str">
        <f aca="false">IF(入力シート!$A27="","",1)</f>
        <v/>
      </c>
      <c r="I23" s="25" t="str">
        <f aca="false">IF(入力シート!$A27="","",3)</f>
        <v/>
      </c>
      <c r="J23" s="25" t="str">
        <f aca="false">IF(入力シート!$A27="","",1)</f>
        <v/>
      </c>
      <c r="K23" s="25" t="str">
        <f aca="false">IF(入力シート!$A27="","",入力シート!B27)</f>
        <v/>
      </c>
      <c r="L23" s="25" t="str">
        <f aca="false">IF(入力シート!$A27="","","")</f>
        <v/>
      </c>
      <c r="M23" s="25" t="str">
        <f aca="false">IF(入力シート!$A27="","","")</f>
        <v/>
      </c>
      <c r="N23" s="25" t="str">
        <f aca="false">IF(入力シート!$A27="","",入力シート!R27)</f>
        <v/>
      </c>
      <c r="O23" s="25" t="str">
        <f aca="false">IF(入力シート!$A27="","",IF(入力シート!G27="",1,入力シート!G27))</f>
        <v/>
      </c>
      <c r="P23" s="25" t="str">
        <f aca="false">IF(入力シート!$A27="","",入力シート!D27)</f>
        <v/>
      </c>
      <c r="Q23" s="25" t="str">
        <f aca="false">IF(入力シート!$A27="","","")</f>
        <v/>
      </c>
      <c r="R23" s="25" t="str">
        <f aca="false">IF(入力シート!$A27="","",入力シート!J27)</f>
        <v/>
      </c>
      <c r="S23" s="25" t="str">
        <f aca="false">IF(入力シート!$A27="","",入力シート!L27)</f>
        <v/>
      </c>
      <c r="T23" s="25" t="str">
        <f aca="false">IF(入力シート!$A27="","",入力シート!K27)</f>
        <v/>
      </c>
      <c r="U23" s="25" t="str">
        <f aca="false">IF(入力シート!$A27="","",0)</f>
        <v/>
      </c>
      <c r="V23" s="25" t="str">
        <f aca="false">IF(入力シート!$A27="","",0)</f>
        <v/>
      </c>
      <c r="W23" s="25" t="str">
        <f aca="false">IF(入力シート!$A27="","","0000")</f>
        <v/>
      </c>
      <c r="X23" s="25" t="str">
        <f aca="false">IF(入力シート!$A27="","",入力シート!E27)</f>
        <v/>
      </c>
      <c r="Y23" s="25" t="str">
        <f aca="false">IF(入力シート!$A27="","",入力シート!F27)</f>
        <v/>
      </c>
      <c r="Z23" s="25" t="str">
        <f aca="false">IF(入力シート!$A27="","",入力シート!O27)</f>
        <v/>
      </c>
      <c r="AA23" s="25" t="str">
        <f aca="false">IF(入力シート!$A27="","","")</f>
        <v/>
      </c>
      <c r="AB23" s="25" t="str">
        <f aca="false">IF(入力シート!$A27="","",入力シート!P27)</f>
        <v/>
      </c>
      <c r="AC23" s="25" t="str">
        <f aca="false">IF(入力シート!$A27="","",入力シート!U27)</f>
        <v/>
      </c>
      <c r="AD23" s="25" t="str">
        <f aca="false">IF(入力シート!$A27="","",0)</f>
        <v/>
      </c>
      <c r="AE23" s="25" t="str">
        <f aca="false">IF(入力シート!$A27="","",入力シート!I27)</f>
        <v/>
      </c>
      <c r="AF23" s="25" t="str">
        <f aca="false">IF(入力シート!$A27="","",入力シート!M27)</f>
        <v/>
      </c>
      <c r="AG23" s="25" t="str">
        <f aca="false">IF(入力シート!$A27="","",入力シート!N27)</f>
        <v/>
      </c>
      <c r="AH23" s="25" t="str">
        <f aca="false">IF(入力シート!$A27="","","")</f>
        <v/>
      </c>
      <c r="AI23" s="25" t="str">
        <f aca="false">IF(入力シート!$A27="","","")</f>
        <v/>
      </c>
      <c r="AJ23" s="25" t="str">
        <f aca="false">IF(入力シート!$A27="","","")</f>
        <v/>
      </c>
      <c r="AK23" s="25" t="str">
        <f aca="false">IF(入力シート!$A27="","",2)</f>
        <v/>
      </c>
      <c r="AL23" s="25" t="str">
        <f aca="false">IF(入力シート!$A27="","","")</f>
        <v/>
      </c>
      <c r="AM23" s="25" t="str">
        <f aca="false">IF(入力シート!$A27="","","")</f>
        <v/>
      </c>
      <c r="AN23" s="25" t="str">
        <f aca="false">IF(入力シート!$A27="","",入力シート!C27)</f>
        <v/>
      </c>
      <c r="AO23" s="25" t="str">
        <f aca="false">IF(入力シート!$A27="","","")</f>
        <v/>
      </c>
      <c r="AP23" s="25" t="str">
        <f aca="false">IF(入力シート!$A27="","","")</f>
        <v/>
      </c>
      <c r="AQ23" s="25" t="str">
        <f aca="false">IF(入力シート!$A27="","","")</f>
        <v/>
      </c>
    </row>
    <row r="24" customFormat="false" ht="15" hidden="false" customHeight="true" outlineLevel="0" collapsed="false">
      <c r="A24" s="25" t="str">
        <f aca="false">IF(入力シート!$A28="","",1)</f>
        <v/>
      </c>
      <c r="B24" s="25" t="str">
        <f aca="false">IF(入力シート!$A28="","",1)</f>
        <v/>
      </c>
      <c r="C24" s="25" t="str">
        <f aca="false">IF(入力シート!$A28="","",0)</f>
        <v/>
      </c>
      <c r="D24" s="25" t="str">
        <f aca="false">IF(入力シート!$A28="","",TEXT(入力シート!A28,"YYYYMMDD"))</f>
        <v/>
      </c>
      <c r="E24" s="25" t="str">
        <f aca="false">IF(入力シート!$A28="","",TEXT(入力シート!Q28,"00000000"))</f>
        <v/>
      </c>
      <c r="F24" s="25" t="str">
        <f aca="false">IF(入力シート!$A28="","",14)</f>
        <v/>
      </c>
      <c r="G24" s="25" t="str">
        <f aca="false">IF(入力シート!$A28="","",1)</f>
        <v/>
      </c>
      <c r="H24" s="25" t="str">
        <f aca="false">IF(入力シート!$A28="","",1)</f>
        <v/>
      </c>
      <c r="I24" s="25" t="str">
        <f aca="false">IF(入力シート!$A28="","",3)</f>
        <v/>
      </c>
      <c r="J24" s="25" t="str">
        <f aca="false">IF(入力シート!$A28="","",1)</f>
        <v/>
      </c>
      <c r="K24" s="25" t="str">
        <f aca="false">IF(入力シート!$A28="","",入力シート!B28)</f>
        <v/>
      </c>
      <c r="L24" s="25" t="str">
        <f aca="false">IF(入力シート!$A28="","","")</f>
        <v/>
      </c>
      <c r="M24" s="25" t="str">
        <f aca="false">IF(入力シート!$A28="","","")</f>
        <v/>
      </c>
      <c r="N24" s="25" t="str">
        <f aca="false">IF(入力シート!$A28="","",入力シート!R28)</f>
        <v/>
      </c>
      <c r="O24" s="25" t="str">
        <f aca="false">IF(入力シート!$A28="","",IF(入力シート!G28="",1,入力シート!G28))</f>
        <v/>
      </c>
      <c r="P24" s="25" t="str">
        <f aca="false">IF(入力シート!$A28="","",入力シート!D28)</f>
        <v/>
      </c>
      <c r="Q24" s="25" t="str">
        <f aca="false">IF(入力シート!$A28="","","")</f>
        <v/>
      </c>
      <c r="R24" s="25" t="str">
        <f aca="false">IF(入力シート!$A28="","",入力シート!J28)</f>
        <v/>
      </c>
      <c r="S24" s="25" t="str">
        <f aca="false">IF(入力シート!$A28="","",入力シート!L28)</f>
        <v/>
      </c>
      <c r="T24" s="25" t="str">
        <f aca="false">IF(入力シート!$A28="","",入力シート!K28)</f>
        <v/>
      </c>
      <c r="U24" s="25" t="str">
        <f aca="false">IF(入力シート!$A28="","",0)</f>
        <v/>
      </c>
      <c r="V24" s="25" t="str">
        <f aca="false">IF(入力シート!$A28="","",0)</f>
        <v/>
      </c>
      <c r="W24" s="25" t="str">
        <f aca="false">IF(入力シート!$A28="","","0000")</f>
        <v/>
      </c>
      <c r="X24" s="25" t="str">
        <f aca="false">IF(入力シート!$A28="","",入力シート!E28)</f>
        <v/>
      </c>
      <c r="Y24" s="25" t="str">
        <f aca="false">IF(入力シート!$A28="","",入力シート!F28)</f>
        <v/>
      </c>
      <c r="Z24" s="25" t="str">
        <f aca="false">IF(入力シート!$A28="","",入力シート!O28)</f>
        <v/>
      </c>
      <c r="AA24" s="25" t="str">
        <f aca="false">IF(入力シート!$A28="","","")</f>
        <v/>
      </c>
      <c r="AB24" s="25" t="str">
        <f aca="false">IF(入力シート!$A28="","",入力シート!P28)</f>
        <v/>
      </c>
      <c r="AC24" s="25" t="str">
        <f aca="false">IF(入力シート!$A28="","",入力シート!U28)</f>
        <v/>
      </c>
      <c r="AD24" s="25" t="str">
        <f aca="false">IF(入力シート!$A28="","",0)</f>
        <v/>
      </c>
      <c r="AE24" s="25" t="str">
        <f aca="false">IF(入力シート!$A28="","",入力シート!I28)</f>
        <v/>
      </c>
      <c r="AF24" s="25" t="str">
        <f aca="false">IF(入力シート!$A28="","",入力シート!M28)</f>
        <v/>
      </c>
      <c r="AG24" s="25" t="str">
        <f aca="false">IF(入力シート!$A28="","",入力シート!N28)</f>
        <v/>
      </c>
      <c r="AH24" s="25" t="str">
        <f aca="false">IF(入力シート!$A28="","","")</f>
        <v/>
      </c>
      <c r="AI24" s="25" t="str">
        <f aca="false">IF(入力シート!$A28="","","")</f>
        <v/>
      </c>
      <c r="AJ24" s="25" t="str">
        <f aca="false">IF(入力シート!$A28="","","")</f>
        <v/>
      </c>
      <c r="AK24" s="25" t="str">
        <f aca="false">IF(入力シート!$A28="","",2)</f>
        <v/>
      </c>
      <c r="AL24" s="25" t="str">
        <f aca="false">IF(入力シート!$A28="","","")</f>
        <v/>
      </c>
      <c r="AM24" s="25" t="str">
        <f aca="false">IF(入力シート!$A28="","","")</f>
        <v/>
      </c>
      <c r="AN24" s="25" t="str">
        <f aca="false">IF(入力シート!$A28="","",入力シート!C28)</f>
        <v/>
      </c>
      <c r="AO24" s="25" t="str">
        <f aca="false">IF(入力シート!$A28="","","")</f>
        <v/>
      </c>
      <c r="AP24" s="25" t="str">
        <f aca="false">IF(入力シート!$A28="","","")</f>
        <v/>
      </c>
      <c r="AQ24" s="25" t="str">
        <f aca="false">IF(入力シート!$A28="","","")</f>
        <v/>
      </c>
    </row>
    <row r="25" customFormat="false" ht="15" hidden="false" customHeight="true" outlineLevel="0" collapsed="false">
      <c r="A25" s="25" t="str">
        <f aca="false">IF(入力シート!$A29="","",1)</f>
        <v/>
      </c>
      <c r="B25" s="25" t="str">
        <f aca="false">IF(入力シート!$A29="","",1)</f>
        <v/>
      </c>
      <c r="C25" s="25" t="str">
        <f aca="false">IF(入力シート!$A29="","",0)</f>
        <v/>
      </c>
      <c r="D25" s="25" t="str">
        <f aca="false">IF(入力シート!$A29="","",TEXT(入力シート!A29,"YYYYMMDD"))</f>
        <v/>
      </c>
      <c r="E25" s="25" t="str">
        <f aca="false">IF(入力シート!$A29="","",TEXT(入力シート!Q29,"00000000"))</f>
        <v/>
      </c>
      <c r="F25" s="25" t="str">
        <f aca="false">IF(入力シート!$A29="","",14)</f>
        <v/>
      </c>
      <c r="G25" s="25" t="str">
        <f aca="false">IF(入力シート!$A29="","",1)</f>
        <v/>
      </c>
      <c r="H25" s="25" t="str">
        <f aca="false">IF(入力シート!$A29="","",1)</f>
        <v/>
      </c>
      <c r="I25" s="25" t="str">
        <f aca="false">IF(入力シート!$A29="","",3)</f>
        <v/>
      </c>
      <c r="J25" s="25" t="str">
        <f aca="false">IF(入力シート!$A29="","",1)</f>
        <v/>
      </c>
      <c r="K25" s="25" t="str">
        <f aca="false">IF(入力シート!$A29="","",入力シート!B29)</f>
        <v/>
      </c>
      <c r="L25" s="25" t="str">
        <f aca="false">IF(入力シート!$A29="","","")</f>
        <v/>
      </c>
      <c r="M25" s="25" t="str">
        <f aca="false">IF(入力シート!$A29="","","")</f>
        <v/>
      </c>
      <c r="N25" s="25" t="str">
        <f aca="false">IF(入力シート!$A29="","",入力シート!R29)</f>
        <v/>
      </c>
      <c r="O25" s="25" t="str">
        <f aca="false">IF(入力シート!$A29="","",IF(入力シート!G29="",1,入力シート!G29))</f>
        <v/>
      </c>
      <c r="P25" s="25" t="str">
        <f aca="false">IF(入力シート!$A29="","",入力シート!D29)</f>
        <v/>
      </c>
      <c r="Q25" s="25" t="str">
        <f aca="false">IF(入力シート!$A29="","","")</f>
        <v/>
      </c>
      <c r="R25" s="25" t="str">
        <f aca="false">IF(入力シート!$A29="","",入力シート!J29)</f>
        <v/>
      </c>
      <c r="S25" s="25" t="str">
        <f aca="false">IF(入力シート!$A29="","",入力シート!L29)</f>
        <v/>
      </c>
      <c r="T25" s="25" t="str">
        <f aca="false">IF(入力シート!$A29="","",入力シート!K29)</f>
        <v/>
      </c>
      <c r="U25" s="25" t="str">
        <f aca="false">IF(入力シート!$A29="","",0)</f>
        <v/>
      </c>
      <c r="V25" s="25" t="str">
        <f aca="false">IF(入力シート!$A29="","",0)</f>
        <v/>
      </c>
      <c r="W25" s="25" t="str">
        <f aca="false">IF(入力シート!$A29="","","0000")</f>
        <v/>
      </c>
      <c r="X25" s="25" t="str">
        <f aca="false">IF(入力シート!$A29="","",入力シート!E29)</f>
        <v/>
      </c>
      <c r="Y25" s="25" t="str">
        <f aca="false">IF(入力シート!$A29="","",入力シート!F29)</f>
        <v/>
      </c>
      <c r="Z25" s="25" t="str">
        <f aca="false">IF(入力シート!$A29="","",入力シート!O29)</f>
        <v/>
      </c>
      <c r="AA25" s="25" t="str">
        <f aca="false">IF(入力シート!$A29="","","")</f>
        <v/>
      </c>
      <c r="AB25" s="25" t="str">
        <f aca="false">IF(入力シート!$A29="","",入力シート!P29)</f>
        <v/>
      </c>
      <c r="AC25" s="25" t="str">
        <f aca="false">IF(入力シート!$A29="","",入力シート!U29)</f>
        <v/>
      </c>
      <c r="AD25" s="25" t="str">
        <f aca="false">IF(入力シート!$A29="","",0)</f>
        <v/>
      </c>
      <c r="AE25" s="25" t="str">
        <f aca="false">IF(入力シート!$A29="","",入力シート!I29)</f>
        <v/>
      </c>
      <c r="AF25" s="25" t="str">
        <f aca="false">IF(入力シート!$A29="","",入力シート!M29)</f>
        <v/>
      </c>
      <c r="AG25" s="25" t="str">
        <f aca="false">IF(入力シート!$A29="","",入力シート!N29)</f>
        <v/>
      </c>
      <c r="AH25" s="25" t="str">
        <f aca="false">IF(入力シート!$A29="","","")</f>
        <v/>
      </c>
      <c r="AI25" s="25" t="str">
        <f aca="false">IF(入力シート!$A29="","","")</f>
        <v/>
      </c>
      <c r="AJ25" s="25" t="str">
        <f aca="false">IF(入力シート!$A29="","","")</f>
        <v/>
      </c>
      <c r="AK25" s="25" t="str">
        <f aca="false">IF(入力シート!$A29="","",2)</f>
        <v/>
      </c>
      <c r="AL25" s="25" t="str">
        <f aca="false">IF(入力シート!$A29="","","")</f>
        <v/>
      </c>
      <c r="AM25" s="25" t="str">
        <f aca="false">IF(入力シート!$A29="","","")</f>
        <v/>
      </c>
      <c r="AN25" s="25" t="str">
        <f aca="false">IF(入力シート!$A29="","",入力シート!C29)</f>
        <v/>
      </c>
      <c r="AO25" s="25" t="str">
        <f aca="false">IF(入力シート!$A29="","","")</f>
        <v/>
      </c>
      <c r="AP25" s="25" t="str">
        <f aca="false">IF(入力シート!$A29="","","")</f>
        <v/>
      </c>
      <c r="AQ25" s="25" t="str">
        <f aca="false">IF(入力シート!$A29="","","")</f>
        <v/>
      </c>
    </row>
    <row r="26" customFormat="false" ht="15" hidden="false" customHeight="true" outlineLevel="0" collapsed="false">
      <c r="A26" s="25" t="str">
        <f aca="false">IF(入力シート!$A30="","",1)</f>
        <v/>
      </c>
      <c r="B26" s="25" t="str">
        <f aca="false">IF(入力シート!$A30="","",1)</f>
        <v/>
      </c>
      <c r="C26" s="25" t="str">
        <f aca="false">IF(入力シート!$A30="","",0)</f>
        <v/>
      </c>
      <c r="D26" s="25" t="str">
        <f aca="false">IF(入力シート!$A30="","",TEXT(入力シート!A30,"YYYYMMDD"))</f>
        <v/>
      </c>
      <c r="E26" s="25" t="str">
        <f aca="false">IF(入力シート!$A30="","",TEXT(入力シート!Q30,"00000000"))</f>
        <v/>
      </c>
      <c r="F26" s="25" t="str">
        <f aca="false">IF(入力シート!$A30="","",14)</f>
        <v/>
      </c>
      <c r="G26" s="25" t="str">
        <f aca="false">IF(入力シート!$A30="","",1)</f>
        <v/>
      </c>
      <c r="H26" s="25" t="str">
        <f aca="false">IF(入力シート!$A30="","",1)</f>
        <v/>
      </c>
      <c r="I26" s="25" t="str">
        <f aca="false">IF(入力シート!$A30="","",3)</f>
        <v/>
      </c>
      <c r="J26" s="25" t="str">
        <f aca="false">IF(入力シート!$A30="","",1)</f>
        <v/>
      </c>
      <c r="K26" s="25" t="str">
        <f aca="false">IF(入力シート!$A30="","",入力シート!B30)</f>
        <v/>
      </c>
      <c r="L26" s="25" t="str">
        <f aca="false">IF(入力シート!$A30="","","")</f>
        <v/>
      </c>
      <c r="M26" s="25" t="str">
        <f aca="false">IF(入力シート!$A30="","","")</f>
        <v/>
      </c>
      <c r="N26" s="25" t="str">
        <f aca="false">IF(入力シート!$A30="","",入力シート!R30)</f>
        <v/>
      </c>
      <c r="O26" s="25" t="str">
        <f aca="false">IF(入力シート!$A30="","",IF(入力シート!G30="",1,入力シート!G30))</f>
        <v/>
      </c>
      <c r="P26" s="25" t="str">
        <f aca="false">IF(入力シート!$A30="","",入力シート!D30)</f>
        <v/>
      </c>
      <c r="Q26" s="25" t="str">
        <f aca="false">IF(入力シート!$A30="","","")</f>
        <v/>
      </c>
      <c r="R26" s="25" t="str">
        <f aca="false">IF(入力シート!$A30="","",入力シート!J30)</f>
        <v/>
      </c>
      <c r="S26" s="25" t="str">
        <f aca="false">IF(入力シート!$A30="","",入力シート!L30)</f>
        <v/>
      </c>
      <c r="T26" s="25" t="str">
        <f aca="false">IF(入力シート!$A30="","",入力シート!K30)</f>
        <v/>
      </c>
      <c r="U26" s="25" t="str">
        <f aca="false">IF(入力シート!$A30="","",0)</f>
        <v/>
      </c>
      <c r="V26" s="25" t="str">
        <f aca="false">IF(入力シート!$A30="","",0)</f>
        <v/>
      </c>
      <c r="W26" s="25" t="str">
        <f aca="false">IF(入力シート!$A30="","","0000")</f>
        <v/>
      </c>
      <c r="X26" s="25" t="str">
        <f aca="false">IF(入力シート!$A30="","",入力シート!E30)</f>
        <v/>
      </c>
      <c r="Y26" s="25" t="str">
        <f aca="false">IF(入力シート!$A30="","",入力シート!F30)</f>
        <v/>
      </c>
      <c r="Z26" s="25" t="str">
        <f aca="false">IF(入力シート!$A30="","",入力シート!O30)</f>
        <v/>
      </c>
      <c r="AA26" s="25" t="str">
        <f aca="false">IF(入力シート!$A30="","","")</f>
        <v/>
      </c>
      <c r="AB26" s="25" t="str">
        <f aca="false">IF(入力シート!$A30="","",入力シート!P30)</f>
        <v/>
      </c>
      <c r="AC26" s="25" t="str">
        <f aca="false">IF(入力シート!$A30="","",入力シート!U30)</f>
        <v/>
      </c>
      <c r="AD26" s="25" t="str">
        <f aca="false">IF(入力シート!$A30="","",0)</f>
        <v/>
      </c>
      <c r="AE26" s="25" t="str">
        <f aca="false">IF(入力シート!$A30="","",入力シート!I30)</f>
        <v/>
      </c>
      <c r="AF26" s="25" t="str">
        <f aca="false">IF(入力シート!$A30="","",入力シート!M30)</f>
        <v/>
      </c>
      <c r="AG26" s="25" t="str">
        <f aca="false">IF(入力シート!$A30="","",入力シート!N30)</f>
        <v/>
      </c>
      <c r="AH26" s="25" t="str">
        <f aca="false">IF(入力シート!$A30="","","")</f>
        <v/>
      </c>
      <c r="AI26" s="25" t="str">
        <f aca="false">IF(入力シート!$A30="","","")</f>
        <v/>
      </c>
      <c r="AJ26" s="25" t="str">
        <f aca="false">IF(入力シート!$A30="","","")</f>
        <v/>
      </c>
      <c r="AK26" s="25" t="str">
        <f aca="false">IF(入力シート!$A30="","",2)</f>
        <v/>
      </c>
      <c r="AL26" s="25" t="str">
        <f aca="false">IF(入力シート!$A30="","","")</f>
        <v/>
      </c>
      <c r="AM26" s="25" t="str">
        <f aca="false">IF(入力シート!$A30="","","")</f>
        <v/>
      </c>
      <c r="AN26" s="25" t="str">
        <f aca="false">IF(入力シート!$A30="","",入力シート!C30)</f>
        <v/>
      </c>
      <c r="AO26" s="25" t="str">
        <f aca="false">IF(入力シート!$A30="","","")</f>
        <v/>
      </c>
      <c r="AP26" s="25" t="str">
        <f aca="false">IF(入力シート!$A30="","","")</f>
        <v/>
      </c>
      <c r="AQ26" s="25" t="str">
        <f aca="false">IF(入力シート!$A30="","","")</f>
        <v/>
      </c>
    </row>
    <row r="27" customFormat="false" ht="15" hidden="false" customHeight="true" outlineLevel="0" collapsed="false">
      <c r="A27" s="25" t="str">
        <f aca="false">IF(入力シート!$A31="","",1)</f>
        <v/>
      </c>
      <c r="B27" s="25" t="str">
        <f aca="false">IF(入力シート!$A31="","",1)</f>
        <v/>
      </c>
      <c r="C27" s="25" t="str">
        <f aca="false">IF(入力シート!$A31="","",0)</f>
        <v/>
      </c>
      <c r="D27" s="25" t="str">
        <f aca="false">IF(入力シート!$A31="","",TEXT(入力シート!A31,"YYYYMMDD"))</f>
        <v/>
      </c>
      <c r="E27" s="25" t="str">
        <f aca="false">IF(入力シート!$A31="","",TEXT(入力シート!Q31,"00000000"))</f>
        <v/>
      </c>
      <c r="F27" s="25" t="str">
        <f aca="false">IF(入力シート!$A31="","",14)</f>
        <v/>
      </c>
      <c r="G27" s="25" t="str">
        <f aca="false">IF(入力シート!$A31="","",1)</f>
        <v/>
      </c>
      <c r="H27" s="25" t="str">
        <f aca="false">IF(入力シート!$A31="","",1)</f>
        <v/>
      </c>
      <c r="I27" s="25" t="str">
        <f aca="false">IF(入力シート!$A31="","",3)</f>
        <v/>
      </c>
      <c r="J27" s="25" t="str">
        <f aca="false">IF(入力シート!$A31="","",1)</f>
        <v/>
      </c>
      <c r="K27" s="25" t="str">
        <f aca="false">IF(入力シート!$A31="","",入力シート!B31)</f>
        <v/>
      </c>
      <c r="L27" s="25" t="str">
        <f aca="false">IF(入力シート!$A31="","","")</f>
        <v/>
      </c>
      <c r="M27" s="25" t="str">
        <f aca="false">IF(入力シート!$A31="","","")</f>
        <v/>
      </c>
      <c r="N27" s="25" t="str">
        <f aca="false">IF(入力シート!$A31="","",入力シート!R31)</f>
        <v/>
      </c>
      <c r="O27" s="25" t="str">
        <f aca="false">IF(入力シート!$A31="","",IF(入力シート!G31="",1,入力シート!G31))</f>
        <v/>
      </c>
      <c r="P27" s="25" t="str">
        <f aca="false">IF(入力シート!$A31="","",入力シート!D31)</f>
        <v/>
      </c>
      <c r="Q27" s="25" t="str">
        <f aca="false">IF(入力シート!$A31="","","")</f>
        <v/>
      </c>
      <c r="R27" s="25" t="str">
        <f aca="false">IF(入力シート!$A31="","",入力シート!J31)</f>
        <v/>
      </c>
      <c r="S27" s="25" t="str">
        <f aca="false">IF(入力シート!$A31="","",入力シート!L31)</f>
        <v/>
      </c>
      <c r="T27" s="25" t="str">
        <f aca="false">IF(入力シート!$A31="","",入力シート!K31)</f>
        <v/>
      </c>
      <c r="U27" s="25" t="str">
        <f aca="false">IF(入力シート!$A31="","",0)</f>
        <v/>
      </c>
      <c r="V27" s="25" t="str">
        <f aca="false">IF(入力シート!$A31="","",0)</f>
        <v/>
      </c>
      <c r="W27" s="25" t="str">
        <f aca="false">IF(入力シート!$A31="","","0000")</f>
        <v/>
      </c>
      <c r="X27" s="25" t="str">
        <f aca="false">IF(入力シート!$A31="","",入力シート!E31)</f>
        <v/>
      </c>
      <c r="Y27" s="25" t="str">
        <f aca="false">IF(入力シート!$A31="","",入力シート!F31)</f>
        <v/>
      </c>
      <c r="Z27" s="25" t="str">
        <f aca="false">IF(入力シート!$A31="","",入力シート!O31)</f>
        <v/>
      </c>
      <c r="AA27" s="25" t="str">
        <f aca="false">IF(入力シート!$A31="","","")</f>
        <v/>
      </c>
      <c r="AB27" s="25" t="str">
        <f aca="false">IF(入力シート!$A31="","",入力シート!P31)</f>
        <v/>
      </c>
      <c r="AC27" s="25" t="str">
        <f aca="false">IF(入力シート!$A31="","",入力シート!U31)</f>
        <v/>
      </c>
      <c r="AD27" s="25" t="str">
        <f aca="false">IF(入力シート!$A31="","",0)</f>
        <v/>
      </c>
      <c r="AE27" s="25" t="str">
        <f aca="false">IF(入力シート!$A31="","",入力シート!I31)</f>
        <v/>
      </c>
      <c r="AF27" s="25" t="str">
        <f aca="false">IF(入力シート!$A31="","",入力シート!M31)</f>
        <v/>
      </c>
      <c r="AG27" s="25" t="str">
        <f aca="false">IF(入力シート!$A31="","",入力シート!N31)</f>
        <v/>
      </c>
      <c r="AH27" s="25" t="str">
        <f aca="false">IF(入力シート!$A31="","","")</f>
        <v/>
      </c>
      <c r="AI27" s="25" t="str">
        <f aca="false">IF(入力シート!$A31="","","")</f>
        <v/>
      </c>
      <c r="AJ27" s="25" t="str">
        <f aca="false">IF(入力シート!$A31="","","")</f>
        <v/>
      </c>
      <c r="AK27" s="25" t="str">
        <f aca="false">IF(入力シート!$A31="","",2)</f>
        <v/>
      </c>
      <c r="AL27" s="25" t="str">
        <f aca="false">IF(入力シート!$A31="","","")</f>
        <v/>
      </c>
      <c r="AM27" s="25" t="str">
        <f aca="false">IF(入力シート!$A31="","","")</f>
        <v/>
      </c>
      <c r="AN27" s="25" t="str">
        <f aca="false">IF(入力シート!$A31="","",入力シート!C31)</f>
        <v/>
      </c>
      <c r="AO27" s="25" t="str">
        <f aca="false">IF(入力シート!$A31="","","")</f>
        <v/>
      </c>
      <c r="AP27" s="25" t="str">
        <f aca="false">IF(入力シート!$A31="","","")</f>
        <v/>
      </c>
      <c r="AQ27" s="25" t="str">
        <f aca="false">IF(入力シート!$A31="","","")</f>
        <v/>
      </c>
    </row>
    <row r="28" customFormat="false" ht="15" hidden="false" customHeight="true" outlineLevel="0" collapsed="false">
      <c r="A28" s="25" t="str">
        <f aca="false">IF(入力シート!$A32="","",1)</f>
        <v/>
      </c>
      <c r="B28" s="25" t="str">
        <f aca="false">IF(入力シート!$A32="","",1)</f>
        <v/>
      </c>
      <c r="C28" s="25" t="str">
        <f aca="false">IF(入力シート!$A32="","",0)</f>
        <v/>
      </c>
      <c r="D28" s="25" t="str">
        <f aca="false">IF(入力シート!$A32="","",TEXT(入力シート!A32,"YYYYMMDD"))</f>
        <v/>
      </c>
      <c r="E28" s="25" t="str">
        <f aca="false">IF(入力シート!$A32="","",TEXT(入力シート!Q32,"00000000"))</f>
        <v/>
      </c>
      <c r="F28" s="25" t="str">
        <f aca="false">IF(入力シート!$A32="","",14)</f>
        <v/>
      </c>
      <c r="G28" s="25" t="str">
        <f aca="false">IF(入力シート!$A32="","",1)</f>
        <v/>
      </c>
      <c r="H28" s="25" t="str">
        <f aca="false">IF(入力シート!$A32="","",1)</f>
        <v/>
      </c>
      <c r="I28" s="25" t="str">
        <f aca="false">IF(入力シート!$A32="","",3)</f>
        <v/>
      </c>
      <c r="J28" s="25" t="str">
        <f aca="false">IF(入力シート!$A32="","",1)</f>
        <v/>
      </c>
      <c r="K28" s="25" t="str">
        <f aca="false">IF(入力シート!$A32="","",入力シート!B32)</f>
        <v/>
      </c>
      <c r="L28" s="25" t="str">
        <f aca="false">IF(入力シート!$A32="","","")</f>
        <v/>
      </c>
      <c r="M28" s="25" t="str">
        <f aca="false">IF(入力シート!$A32="","","")</f>
        <v/>
      </c>
      <c r="N28" s="25" t="str">
        <f aca="false">IF(入力シート!$A32="","",入力シート!R32)</f>
        <v/>
      </c>
      <c r="O28" s="25" t="str">
        <f aca="false">IF(入力シート!$A32="","",IF(入力シート!G32="",1,入力シート!G32))</f>
        <v/>
      </c>
      <c r="P28" s="25" t="str">
        <f aca="false">IF(入力シート!$A32="","",入力シート!D32)</f>
        <v/>
      </c>
      <c r="Q28" s="25" t="str">
        <f aca="false">IF(入力シート!$A32="","","")</f>
        <v/>
      </c>
      <c r="R28" s="25" t="str">
        <f aca="false">IF(入力シート!$A32="","",入力シート!J32)</f>
        <v/>
      </c>
      <c r="S28" s="25" t="str">
        <f aca="false">IF(入力シート!$A32="","",入力シート!L32)</f>
        <v/>
      </c>
      <c r="T28" s="25" t="str">
        <f aca="false">IF(入力シート!$A32="","",入力シート!K32)</f>
        <v/>
      </c>
      <c r="U28" s="25" t="str">
        <f aca="false">IF(入力シート!$A32="","",0)</f>
        <v/>
      </c>
      <c r="V28" s="25" t="str">
        <f aca="false">IF(入力シート!$A32="","",0)</f>
        <v/>
      </c>
      <c r="W28" s="25" t="str">
        <f aca="false">IF(入力シート!$A32="","","0000")</f>
        <v/>
      </c>
      <c r="X28" s="25" t="str">
        <f aca="false">IF(入力シート!$A32="","",入力シート!E32)</f>
        <v/>
      </c>
      <c r="Y28" s="25" t="str">
        <f aca="false">IF(入力シート!$A32="","",入力シート!F32)</f>
        <v/>
      </c>
      <c r="Z28" s="25" t="str">
        <f aca="false">IF(入力シート!$A32="","",入力シート!O32)</f>
        <v/>
      </c>
      <c r="AA28" s="25" t="str">
        <f aca="false">IF(入力シート!$A32="","","")</f>
        <v/>
      </c>
      <c r="AB28" s="25" t="str">
        <f aca="false">IF(入力シート!$A32="","",入力シート!P32)</f>
        <v/>
      </c>
      <c r="AC28" s="25" t="str">
        <f aca="false">IF(入力シート!$A32="","",入力シート!U32)</f>
        <v/>
      </c>
      <c r="AD28" s="25" t="str">
        <f aca="false">IF(入力シート!$A32="","",0)</f>
        <v/>
      </c>
      <c r="AE28" s="25" t="str">
        <f aca="false">IF(入力シート!$A32="","",入力シート!I32)</f>
        <v/>
      </c>
      <c r="AF28" s="25" t="str">
        <f aca="false">IF(入力シート!$A32="","",入力シート!M32)</f>
        <v/>
      </c>
      <c r="AG28" s="25" t="str">
        <f aca="false">IF(入力シート!$A32="","",入力シート!N32)</f>
        <v/>
      </c>
      <c r="AH28" s="25" t="str">
        <f aca="false">IF(入力シート!$A32="","","")</f>
        <v/>
      </c>
      <c r="AI28" s="25" t="str">
        <f aca="false">IF(入力シート!$A32="","","")</f>
        <v/>
      </c>
      <c r="AJ28" s="25" t="str">
        <f aca="false">IF(入力シート!$A32="","","")</f>
        <v/>
      </c>
      <c r="AK28" s="25" t="str">
        <f aca="false">IF(入力シート!$A32="","",2)</f>
        <v/>
      </c>
      <c r="AL28" s="25" t="str">
        <f aca="false">IF(入力シート!$A32="","","")</f>
        <v/>
      </c>
      <c r="AM28" s="25" t="str">
        <f aca="false">IF(入力シート!$A32="","","")</f>
        <v/>
      </c>
      <c r="AN28" s="25" t="str">
        <f aca="false">IF(入力シート!$A32="","",入力シート!C32)</f>
        <v/>
      </c>
      <c r="AO28" s="25" t="str">
        <f aca="false">IF(入力シート!$A32="","","")</f>
        <v/>
      </c>
      <c r="AP28" s="25" t="str">
        <f aca="false">IF(入力シート!$A32="","","")</f>
        <v/>
      </c>
      <c r="AQ28" s="25" t="str">
        <f aca="false">IF(入力シート!$A32="","","")</f>
        <v/>
      </c>
    </row>
    <row r="29" customFormat="false" ht="15" hidden="false" customHeight="true" outlineLevel="0" collapsed="false">
      <c r="A29" s="25" t="str">
        <f aca="false">IF(入力シート!$A33="","",1)</f>
        <v/>
      </c>
      <c r="B29" s="25" t="str">
        <f aca="false">IF(入力シート!$A33="","",1)</f>
        <v/>
      </c>
      <c r="C29" s="25" t="str">
        <f aca="false">IF(入力シート!$A33="","",0)</f>
        <v/>
      </c>
      <c r="D29" s="25" t="str">
        <f aca="false">IF(入力シート!$A33="","",TEXT(入力シート!A33,"YYYYMMDD"))</f>
        <v/>
      </c>
      <c r="E29" s="25" t="str">
        <f aca="false">IF(入力シート!$A33="","",TEXT(入力シート!Q33,"00000000"))</f>
        <v/>
      </c>
      <c r="F29" s="25" t="str">
        <f aca="false">IF(入力シート!$A33="","",14)</f>
        <v/>
      </c>
      <c r="G29" s="25" t="str">
        <f aca="false">IF(入力シート!$A33="","",1)</f>
        <v/>
      </c>
      <c r="H29" s="25" t="str">
        <f aca="false">IF(入力シート!$A33="","",1)</f>
        <v/>
      </c>
      <c r="I29" s="25" t="str">
        <f aca="false">IF(入力シート!$A33="","",3)</f>
        <v/>
      </c>
      <c r="J29" s="25" t="str">
        <f aca="false">IF(入力シート!$A33="","",1)</f>
        <v/>
      </c>
      <c r="K29" s="25" t="str">
        <f aca="false">IF(入力シート!$A33="","",入力シート!B33)</f>
        <v/>
      </c>
      <c r="L29" s="25" t="str">
        <f aca="false">IF(入力シート!$A33="","","")</f>
        <v/>
      </c>
      <c r="M29" s="25" t="str">
        <f aca="false">IF(入力シート!$A33="","","")</f>
        <v/>
      </c>
      <c r="N29" s="25" t="str">
        <f aca="false">IF(入力シート!$A33="","",入力シート!R33)</f>
        <v/>
      </c>
      <c r="O29" s="25" t="str">
        <f aca="false">IF(入力シート!$A33="","",IF(入力シート!G33="",1,入力シート!G33))</f>
        <v/>
      </c>
      <c r="P29" s="25" t="str">
        <f aca="false">IF(入力シート!$A33="","",入力シート!D33)</f>
        <v/>
      </c>
      <c r="Q29" s="25" t="str">
        <f aca="false">IF(入力シート!$A33="","","")</f>
        <v/>
      </c>
      <c r="R29" s="25" t="str">
        <f aca="false">IF(入力シート!$A33="","",入力シート!J33)</f>
        <v/>
      </c>
      <c r="S29" s="25" t="str">
        <f aca="false">IF(入力シート!$A33="","",入力シート!L33)</f>
        <v/>
      </c>
      <c r="T29" s="25" t="str">
        <f aca="false">IF(入力シート!$A33="","",入力シート!K33)</f>
        <v/>
      </c>
      <c r="U29" s="25" t="str">
        <f aca="false">IF(入力シート!$A33="","",0)</f>
        <v/>
      </c>
      <c r="V29" s="25" t="str">
        <f aca="false">IF(入力シート!$A33="","",0)</f>
        <v/>
      </c>
      <c r="W29" s="25" t="str">
        <f aca="false">IF(入力シート!$A33="","","0000")</f>
        <v/>
      </c>
      <c r="X29" s="25" t="str">
        <f aca="false">IF(入力シート!$A33="","",入力シート!E33)</f>
        <v/>
      </c>
      <c r="Y29" s="25" t="str">
        <f aca="false">IF(入力シート!$A33="","",入力シート!F33)</f>
        <v/>
      </c>
      <c r="Z29" s="25" t="str">
        <f aca="false">IF(入力シート!$A33="","",入力シート!O33)</f>
        <v/>
      </c>
      <c r="AA29" s="25" t="str">
        <f aca="false">IF(入力シート!$A33="","","")</f>
        <v/>
      </c>
      <c r="AB29" s="25" t="str">
        <f aca="false">IF(入力シート!$A33="","",入力シート!P33)</f>
        <v/>
      </c>
      <c r="AC29" s="25" t="str">
        <f aca="false">IF(入力シート!$A33="","",入力シート!U33)</f>
        <v/>
      </c>
      <c r="AD29" s="25" t="str">
        <f aca="false">IF(入力シート!$A33="","",0)</f>
        <v/>
      </c>
      <c r="AE29" s="25" t="str">
        <f aca="false">IF(入力シート!$A33="","",入力シート!I33)</f>
        <v/>
      </c>
      <c r="AF29" s="25" t="str">
        <f aca="false">IF(入力シート!$A33="","",入力シート!M33)</f>
        <v/>
      </c>
      <c r="AG29" s="25" t="str">
        <f aca="false">IF(入力シート!$A33="","",入力シート!N33)</f>
        <v/>
      </c>
      <c r="AH29" s="25" t="str">
        <f aca="false">IF(入力シート!$A33="","","")</f>
        <v/>
      </c>
      <c r="AI29" s="25" t="str">
        <f aca="false">IF(入力シート!$A33="","","")</f>
        <v/>
      </c>
      <c r="AJ29" s="25" t="str">
        <f aca="false">IF(入力シート!$A33="","","")</f>
        <v/>
      </c>
      <c r="AK29" s="25" t="str">
        <f aca="false">IF(入力シート!$A33="","",2)</f>
        <v/>
      </c>
      <c r="AL29" s="25" t="str">
        <f aca="false">IF(入力シート!$A33="","","")</f>
        <v/>
      </c>
      <c r="AM29" s="25" t="str">
        <f aca="false">IF(入力シート!$A33="","","")</f>
        <v/>
      </c>
      <c r="AN29" s="25" t="str">
        <f aca="false">IF(入力シート!$A33="","",入力シート!C33)</f>
        <v/>
      </c>
      <c r="AO29" s="25" t="str">
        <f aca="false">IF(入力シート!$A33="","","")</f>
        <v/>
      </c>
      <c r="AP29" s="25" t="str">
        <f aca="false">IF(入力シート!$A33="","","")</f>
        <v/>
      </c>
      <c r="AQ29" s="25" t="str">
        <f aca="false">IF(入力シート!$A33="","","")</f>
        <v/>
      </c>
    </row>
    <row r="30" customFormat="false" ht="15" hidden="false" customHeight="true" outlineLevel="0" collapsed="false">
      <c r="A30" s="25" t="str">
        <f aca="false">IF(入力シート!$A34="","",1)</f>
        <v/>
      </c>
      <c r="B30" s="25" t="str">
        <f aca="false">IF(入力シート!$A34="","",1)</f>
        <v/>
      </c>
      <c r="C30" s="25" t="str">
        <f aca="false">IF(入力シート!$A34="","",0)</f>
        <v/>
      </c>
      <c r="D30" s="25" t="str">
        <f aca="false">IF(入力シート!$A34="","",TEXT(入力シート!A34,"YYYYMMDD"))</f>
        <v/>
      </c>
      <c r="E30" s="25" t="str">
        <f aca="false">IF(入力シート!$A34="","",TEXT(入力シート!Q34,"00000000"))</f>
        <v/>
      </c>
      <c r="F30" s="25" t="str">
        <f aca="false">IF(入力シート!$A34="","",14)</f>
        <v/>
      </c>
      <c r="G30" s="25" t="str">
        <f aca="false">IF(入力シート!$A34="","",1)</f>
        <v/>
      </c>
      <c r="H30" s="25" t="str">
        <f aca="false">IF(入力シート!$A34="","",1)</f>
        <v/>
      </c>
      <c r="I30" s="25" t="str">
        <f aca="false">IF(入力シート!$A34="","",3)</f>
        <v/>
      </c>
      <c r="J30" s="25" t="str">
        <f aca="false">IF(入力シート!$A34="","",1)</f>
        <v/>
      </c>
      <c r="K30" s="25" t="str">
        <f aca="false">IF(入力シート!$A34="","",入力シート!B34)</f>
        <v/>
      </c>
      <c r="L30" s="25" t="str">
        <f aca="false">IF(入力シート!$A34="","","")</f>
        <v/>
      </c>
      <c r="M30" s="25" t="str">
        <f aca="false">IF(入力シート!$A34="","","")</f>
        <v/>
      </c>
      <c r="N30" s="25" t="str">
        <f aca="false">IF(入力シート!$A34="","",入力シート!R34)</f>
        <v/>
      </c>
      <c r="O30" s="25" t="str">
        <f aca="false">IF(入力シート!$A34="","",IF(入力シート!G34="",1,入力シート!G34))</f>
        <v/>
      </c>
      <c r="P30" s="25" t="str">
        <f aca="false">IF(入力シート!$A34="","",入力シート!D34)</f>
        <v/>
      </c>
      <c r="Q30" s="25" t="str">
        <f aca="false">IF(入力シート!$A34="","","")</f>
        <v/>
      </c>
      <c r="R30" s="25" t="str">
        <f aca="false">IF(入力シート!$A34="","",入力シート!J34)</f>
        <v/>
      </c>
      <c r="S30" s="25" t="str">
        <f aca="false">IF(入力シート!$A34="","",入力シート!L34)</f>
        <v/>
      </c>
      <c r="T30" s="25" t="str">
        <f aca="false">IF(入力シート!$A34="","",入力シート!K34)</f>
        <v/>
      </c>
      <c r="U30" s="25" t="str">
        <f aca="false">IF(入力シート!$A34="","",0)</f>
        <v/>
      </c>
      <c r="V30" s="25" t="str">
        <f aca="false">IF(入力シート!$A34="","",0)</f>
        <v/>
      </c>
      <c r="W30" s="25" t="str">
        <f aca="false">IF(入力シート!$A34="","","0000")</f>
        <v/>
      </c>
      <c r="X30" s="25" t="str">
        <f aca="false">IF(入力シート!$A34="","",入力シート!E34)</f>
        <v/>
      </c>
      <c r="Y30" s="25" t="str">
        <f aca="false">IF(入力シート!$A34="","",入力シート!F34)</f>
        <v/>
      </c>
      <c r="Z30" s="25" t="str">
        <f aca="false">IF(入力シート!$A34="","",入力シート!O34)</f>
        <v/>
      </c>
      <c r="AA30" s="25" t="str">
        <f aca="false">IF(入力シート!$A34="","","")</f>
        <v/>
      </c>
      <c r="AB30" s="25" t="str">
        <f aca="false">IF(入力シート!$A34="","",入力シート!P34)</f>
        <v/>
      </c>
      <c r="AC30" s="25" t="str">
        <f aca="false">IF(入力シート!$A34="","",入力シート!U34)</f>
        <v/>
      </c>
      <c r="AD30" s="25" t="str">
        <f aca="false">IF(入力シート!$A34="","",0)</f>
        <v/>
      </c>
      <c r="AE30" s="25" t="str">
        <f aca="false">IF(入力シート!$A34="","",入力シート!I34)</f>
        <v/>
      </c>
      <c r="AF30" s="25" t="str">
        <f aca="false">IF(入力シート!$A34="","",入力シート!M34)</f>
        <v/>
      </c>
      <c r="AG30" s="25" t="str">
        <f aca="false">IF(入力シート!$A34="","",入力シート!N34)</f>
        <v/>
      </c>
      <c r="AH30" s="25" t="str">
        <f aca="false">IF(入力シート!$A34="","","")</f>
        <v/>
      </c>
      <c r="AI30" s="25" t="str">
        <f aca="false">IF(入力シート!$A34="","","")</f>
        <v/>
      </c>
      <c r="AJ30" s="25" t="str">
        <f aca="false">IF(入力シート!$A34="","","")</f>
        <v/>
      </c>
      <c r="AK30" s="25" t="str">
        <f aca="false">IF(入力シート!$A34="","",2)</f>
        <v/>
      </c>
      <c r="AL30" s="25" t="str">
        <f aca="false">IF(入力シート!$A34="","","")</f>
        <v/>
      </c>
      <c r="AM30" s="25" t="str">
        <f aca="false">IF(入力シート!$A34="","","")</f>
        <v/>
      </c>
      <c r="AN30" s="25" t="str">
        <f aca="false">IF(入力シート!$A34="","",入力シート!C34)</f>
        <v/>
      </c>
      <c r="AO30" s="25" t="str">
        <f aca="false">IF(入力シート!$A34="","","")</f>
        <v/>
      </c>
      <c r="AP30" s="25" t="str">
        <f aca="false">IF(入力シート!$A34="","","")</f>
        <v/>
      </c>
      <c r="AQ30" s="25" t="str">
        <f aca="false">IF(入力シート!$A34="","","")</f>
        <v/>
      </c>
    </row>
    <row r="31" customFormat="false" ht="15" hidden="false" customHeight="true" outlineLevel="0" collapsed="false">
      <c r="A31" s="25" t="str">
        <f aca="false">IF(入力シート!$A35="","",1)</f>
        <v/>
      </c>
      <c r="B31" s="25" t="str">
        <f aca="false">IF(入力シート!$A35="","",1)</f>
        <v/>
      </c>
      <c r="C31" s="25" t="str">
        <f aca="false">IF(入力シート!$A35="","",0)</f>
        <v/>
      </c>
      <c r="D31" s="25" t="str">
        <f aca="false">IF(入力シート!$A35="","",TEXT(入力シート!A35,"YYYYMMDD"))</f>
        <v/>
      </c>
      <c r="E31" s="25" t="str">
        <f aca="false">IF(入力シート!$A35="","",TEXT(入力シート!Q35,"00000000"))</f>
        <v/>
      </c>
      <c r="F31" s="25" t="str">
        <f aca="false">IF(入力シート!$A35="","",14)</f>
        <v/>
      </c>
      <c r="G31" s="25" t="str">
        <f aca="false">IF(入力シート!$A35="","",1)</f>
        <v/>
      </c>
      <c r="H31" s="25" t="str">
        <f aca="false">IF(入力シート!$A35="","",1)</f>
        <v/>
      </c>
      <c r="I31" s="25" t="str">
        <f aca="false">IF(入力シート!$A35="","",3)</f>
        <v/>
      </c>
      <c r="J31" s="25" t="str">
        <f aca="false">IF(入力シート!$A35="","",1)</f>
        <v/>
      </c>
      <c r="K31" s="25" t="str">
        <f aca="false">IF(入力シート!$A35="","",入力シート!B35)</f>
        <v/>
      </c>
      <c r="L31" s="25" t="str">
        <f aca="false">IF(入力シート!$A35="","","")</f>
        <v/>
      </c>
      <c r="M31" s="25" t="str">
        <f aca="false">IF(入力シート!$A35="","","")</f>
        <v/>
      </c>
      <c r="N31" s="25" t="str">
        <f aca="false">IF(入力シート!$A35="","",入力シート!R35)</f>
        <v/>
      </c>
      <c r="O31" s="25" t="str">
        <f aca="false">IF(入力シート!$A35="","",IF(入力シート!G35="",1,入力シート!G35))</f>
        <v/>
      </c>
      <c r="P31" s="25" t="str">
        <f aca="false">IF(入力シート!$A35="","",入力シート!D35)</f>
        <v/>
      </c>
      <c r="Q31" s="25" t="str">
        <f aca="false">IF(入力シート!$A35="","","")</f>
        <v/>
      </c>
      <c r="R31" s="25" t="str">
        <f aca="false">IF(入力シート!$A35="","",入力シート!J35)</f>
        <v/>
      </c>
      <c r="S31" s="25" t="str">
        <f aca="false">IF(入力シート!$A35="","",入力シート!L35)</f>
        <v/>
      </c>
      <c r="T31" s="25" t="str">
        <f aca="false">IF(入力シート!$A35="","",入力シート!K35)</f>
        <v/>
      </c>
      <c r="U31" s="25" t="str">
        <f aca="false">IF(入力シート!$A35="","",0)</f>
        <v/>
      </c>
      <c r="V31" s="25" t="str">
        <f aca="false">IF(入力シート!$A35="","",0)</f>
        <v/>
      </c>
      <c r="W31" s="25" t="str">
        <f aca="false">IF(入力シート!$A35="","","0000")</f>
        <v/>
      </c>
      <c r="X31" s="25" t="str">
        <f aca="false">IF(入力シート!$A35="","",入力シート!E35)</f>
        <v/>
      </c>
      <c r="Y31" s="25" t="str">
        <f aca="false">IF(入力シート!$A35="","",入力シート!F35)</f>
        <v/>
      </c>
      <c r="Z31" s="25" t="str">
        <f aca="false">IF(入力シート!$A35="","",入力シート!O35)</f>
        <v/>
      </c>
      <c r="AA31" s="25" t="str">
        <f aca="false">IF(入力シート!$A35="","","")</f>
        <v/>
      </c>
      <c r="AB31" s="25" t="str">
        <f aca="false">IF(入力シート!$A35="","",入力シート!P35)</f>
        <v/>
      </c>
      <c r="AC31" s="25" t="str">
        <f aca="false">IF(入力シート!$A35="","",入力シート!U35)</f>
        <v/>
      </c>
      <c r="AD31" s="25" t="str">
        <f aca="false">IF(入力シート!$A35="","",0)</f>
        <v/>
      </c>
      <c r="AE31" s="25" t="str">
        <f aca="false">IF(入力シート!$A35="","",入力シート!I35)</f>
        <v/>
      </c>
      <c r="AF31" s="25" t="str">
        <f aca="false">IF(入力シート!$A35="","",入力シート!M35)</f>
        <v/>
      </c>
      <c r="AG31" s="25" t="str">
        <f aca="false">IF(入力シート!$A35="","",入力シート!N35)</f>
        <v/>
      </c>
      <c r="AH31" s="25" t="str">
        <f aca="false">IF(入力シート!$A35="","","")</f>
        <v/>
      </c>
      <c r="AI31" s="25" t="str">
        <f aca="false">IF(入力シート!$A35="","","")</f>
        <v/>
      </c>
      <c r="AJ31" s="25" t="str">
        <f aca="false">IF(入力シート!$A35="","","")</f>
        <v/>
      </c>
      <c r="AK31" s="25" t="str">
        <f aca="false">IF(入力シート!$A35="","",2)</f>
        <v/>
      </c>
      <c r="AL31" s="25" t="str">
        <f aca="false">IF(入力シート!$A35="","","")</f>
        <v/>
      </c>
      <c r="AM31" s="25" t="str">
        <f aca="false">IF(入力シート!$A35="","","")</f>
        <v/>
      </c>
      <c r="AN31" s="25" t="str">
        <f aca="false">IF(入力シート!$A35="","",入力シート!C35)</f>
        <v/>
      </c>
      <c r="AO31" s="25" t="str">
        <f aca="false">IF(入力シート!$A35="","","")</f>
        <v/>
      </c>
      <c r="AP31" s="25" t="str">
        <f aca="false">IF(入力シート!$A35="","","")</f>
        <v/>
      </c>
      <c r="AQ31" s="25" t="str">
        <f aca="false">IF(入力シート!$A35="","","")</f>
        <v/>
      </c>
    </row>
    <row r="32" customFormat="false" ht="15" hidden="false" customHeight="true" outlineLevel="0" collapsed="false">
      <c r="A32" s="25" t="str">
        <f aca="false">IF(入力シート!$A36="","",1)</f>
        <v/>
      </c>
      <c r="B32" s="25" t="str">
        <f aca="false">IF(入力シート!$A36="","",1)</f>
        <v/>
      </c>
      <c r="C32" s="25" t="str">
        <f aca="false">IF(入力シート!$A36="","",0)</f>
        <v/>
      </c>
      <c r="D32" s="25" t="str">
        <f aca="false">IF(入力シート!$A36="","",TEXT(入力シート!A36,"YYYYMMDD"))</f>
        <v/>
      </c>
      <c r="E32" s="25" t="str">
        <f aca="false">IF(入力シート!$A36="","",TEXT(入力シート!Q36,"00000000"))</f>
        <v/>
      </c>
      <c r="F32" s="25" t="str">
        <f aca="false">IF(入力シート!$A36="","",14)</f>
        <v/>
      </c>
      <c r="G32" s="25" t="str">
        <f aca="false">IF(入力シート!$A36="","",1)</f>
        <v/>
      </c>
      <c r="H32" s="25" t="str">
        <f aca="false">IF(入力シート!$A36="","",1)</f>
        <v/>
      </c>
      <c r="I32" s="25" t="str">
        <f aca="false">IF(入力シート!$A36="","",3)</f>
        <v/>
      </c>
      <c r="J32" s="25" t="str">
        <f aca="false">IF(入力シート!$A36="","",1)</f>
        <v/>
      </c>
      <c r="K32" s="25" t="str">
        <f aca="false">IF(入力シート!$A36="","",入力シート!B36)</f>
        <v/>
      </c>
      <c r="L32" s="25" t="str">
        <f aca="false">IF(入力シート!$A36="","","")</f>
        <v/>
      </c>
      <c r="M32" s="25" t="str">
        <f aca="false">IF(入力シート!$A36="","","")</f>
        <v/>
      </c>
      <c r="N32" s="25" t="str">
        <f aca="false">IF(入力シート!$A36="","",入力シート!R36)</f>
        <v/>
      </c>
      <c r="O32" s="25" t="str">
        <f aca="false">IF(入力シート!$A36="","",IF(入力シート!G36="",1,入力シート!G36))</f>
        <v/>
      </c>
      <c r="P32" s="25" t="str">
        <f aca="false">IF(入力シート!$A36="","",入力シート!D36)</f>
        <v/>
      </c>
      <c r="Q32" s="25" t="str">
        <f aca="false">IF(入力シート!$A36="","","")</f>
        <v/>
      </c>
      <c r="R32" s="25" t="str">
        <f aca="false">IF(入力シート!$A36="","",入力シート!J36)</f>
        <v/>
      </c>
      <c r="S32" s="25" t="str">
        <f aca="false">IF(入力シート!$A36="","",入力シート!L36)</f>
        <v/>
      </c>
      <c r="T32" s="25" t="str">
        <f aca="false">IF(入力シート!$A36="","",入力シート!K36)</f>
        <v/>
      </c>
      <c r="U32" s="25" t="str">
        <f aca="false">IF(入力シート!$A36="","",0)</f>
        <v/>
      </c>
      <c r="V32" s="25" t="str">
        <f aca="false">IF(入力シート!$A36="","",0)</f>
        <v/>
      </c>
      <c r="W32" s="25" t="str">
        <f aca="false">IF(入力シート!$A36="","","0000")</f>
        <v/>
      </c>
      <c r="X32" s="25" t="str">
        <f aca="false">IF(入力シート!$A36="","",入力シート!E36)</f>
        <v/>
      </c>
      <c r="Y32" s="25" t="str">
        <f aca="false">IF(入力シート!$A36="","",入力シート!F36)</f>
        <v/>
      </c>
      <c r="Z32" s="25" t="str">
        <f aca="false">IF(入力シート!$A36="","",入力シート!O36)</f>
        <v/>
      </c>
      <c r="AA32" s="25" t="str">
        <f aca="false">IF(入力シート!$A36="","","")</f>
        <v/>
      </c>
      <c r="AB32" s="25" t="str">
        <f aca="false">IF(入力シート!$A36="","",入力シート!P36)</f>
        <v/>
      </c>
      <c r="AC32" s="25" t="str">
        <f aca="false">IF(入力シート!$A36="","",入力シート!U36)</f>
        <v/>
      </c>
      <c r="AD32" s="25" t="str">
        <f aca="false">IF(入力シート!$A36="","",0)</f>
        <v/>
      </c>
      <c r="AE32" s="25" t="str">
        <f aca="false">IF(入力シート!$A36="","",入力シート!I36)</f>
        <v/>
      </c>
      <c r="AF32" s="25" t="str">
        <f aca="false">IF(入力シート!$A36="","",入力シート!M36)</f>
        <v/>
      </c>
      <c r="AG32" s="25" t="str">
        <f aca="false">IF(入力シート!$A36="","",入力シート!N36)</f>
        <v/>
      </c>
      <c r="AH32" s="25" t="str">
        <f aca="false">IF(入力シート!$A36="","","")</f>
        <v/>
      </c>
      <c r="AI32" s="25" t="str">
        <f aca="false">IF(入力シート!$A36="","","")</f>
        <v/>
      </c>
      <c r="AJ32" s="25" t="str">
        <f aca="false">IF(入力シート!$A36="","","")</f>
        <v/>
      </c>
      <c r="AK32" s="25" t="str">
        <f aca="false">IF(入力シート!$A36="","",2)</f>
        <v/>
      </c>
      <c r="AL32" s="25" t="str">
        <f aca="false">IF(入力シート!$A36="","","")</f>
        <v/>
      </c>
      <c r="AM32" s="25" t="str">
        <f aca="false">IF(入力シート!$A36="","","")</f>
        <v/>
      </c>
      <c r="AN32" s="25" t="str">
        <f aca="false">IF(入力シート!$A36="","",入力シート!C36)</f>
        <v/>
      </c>
      <c r="AO32" s="25" t="str">
        <f aca="false">IF(入力シート!$A36="","","")</f>
        <v/>
      </c>
      <c r="AP32" s="25" t="str">
        <f aca="false">IF(入力シート!$A36="","","")</f>
        <v/>
      </c>
      <c r="AQ32" s="25" t="str">
        <f aca="false">IF(入力シート!$A36="","","")</f>
        <v/>
      </c>
    </row>
    <row r="33" customFormat="false" ht="15" hidden="false" customHeight="true" outlineLevel="0" collapsed="false">
      <c r="A33" s="25" t="str">
        <f aca="false">IF(入力シート!$A37="","",1)</f>
        <v/>
      </c>
      <c r="B33" s="25" t="str">
        <f aca="false">IF(入力シート!$A37="","",1)</f>
        <v/>
      </c>
      <c r="C33" s="25" t="str">
        <f aca="false">IF(入力シート!$A37="","",0)</f>
        <v/>
      </c>
      <c r="D33" s="25" t="str">
        <f aca="false">IF(入力シート!$A37="","",TEXT(入力シート!A37,"YYYYMMDD"))</f>
        <v/>
      </c>
      <c r="E33" s="25" t="str">
        <f aca="false">IF(入力シート!$A37="","",TEXT(入力シート!Q37,"00000000"))</f>
        <v/>
      </c>
      <c r="F33" s="25" t="str">
        <f aca="false">IF(入力シート!$A37="","",14)</f>
        <v/>
      </c>
      <c r="G33" s="25" t="str">
        <f aca="false">IF(入力シート!$A37="","",1)</f>
        <v/>
      </c>
      <c r="H33" s="25" t="str">
        <f aca="false">IF(入力シート!$A37="","",1)</f>
        <v/>
      </c>
      <c r="I33" s="25" t="str">
        <f aca="false">IF(入力シート!$A37="","",3)</f>
        <v/>
      </c>
      <c r="J33" s="25" t="str">
        <f aca="false">IF(入力シート!$A37="","",1)</f>
        <v/>
      </c>
      <c r="K33" s="25" t="str">
        <f aca="false">IF(入力シート!$A37="","",入力シート!B37)</f>
        <v/>
      </c>
      <c r="L33" s="25" t="str">
        <f aca="false">IF(入力シート!$A37="","","")</f>
        <v/>
      </c>
      <c r="M33" s="25" t="str">
        <f aca="false">IF(入力シート!$A37="","","")</f>
        <v/>
      </c>
      <c r="N33" s="25" t="str">
        <f aca="false">IF(入力シート!$A37="","",入力シート!R37)</f>
        <v/>
      </c>
      <c r="O33" s="25" t="str">
        <f aca="false">IF(入力シート!$A37="","",IF(入力シート!G37="",1,入力シート!G37))</f>
        <v/>
      </c>
      <c r="P33" s="25" t="str">
        <f aca="false">IF(入力シート!$A37="","",入力シート!D37)</f>
        <v/>
      </c>
      <c r="Q33" s="25" t="str">
        <f aca="false">IF(入力シート!$A37="","","")</f>
        <v/>
      </c>
      <c r="R33" s="25" t="str">
        <f aca="false">IF(入力シート!$A37="","",入力シート!J37)</f>
        <v/>
      </c>
      <c r="S33" s="25" t="str">
        <f aca="false">IF(入力シート!$A37="","",入力シート!L37)</f>
        <v/>
      </c>
      <c r="T33" s="25" t="str">
        <f aca="false">IF(入力シート!$A37="","",入力シート!K37)</f>
        <v/>
      </c>
      <c r="U33" s="25" t="str">
        <f aca="false">IF(入力シート!$A37="","",0)</f>
        <v/>
      </c>
      <c r="V33" s="25" t="str">
        <f aca="false">IF(入力シート!$A37="","",0)</f>
        <v/>
      </c>
      <c r="W33" s="25" t="str">
        <f aca="false">IF(入力シート!$A37="","","0000")</f>
        <v/>
      </c>
      <c r="X33" s="25" t="str">
        <f aca="false">IF(入力シート!$A37="","",入力シート!E37)</f>
        <v/>
      </c>
      <c r="Y33" s="25" t="str">
        <f aca="false">IF(入力シート!$A37="","",入力シート!F37)</f>
        <v/>
      </c>
      <c r="Z33" s="25" t="str">
        <f aca="false">IF(入力シート!$A37="","",入力シート!O37)</f>
        <v/>
      </c>
      <c r="AA33" s="25" t="str">
        <f aca="false">IF(入力シート!$A37="","","")</f>
        <v/>
      </c>
      <c r="AB33" s="25" t="str">
        <f aca="false">IF(入力シート!$A37="","",入力シート!P37)</f>
        <v/>
      </c>
      <c r="AC33" s="25" t="str">
        <f aca="false">IF(入力シート!$A37="","",入力シート!U37)</f>
        <v/>
      </c>
      <c r="AD33" s="25" t="str">
        <f aca="false">IF(入力シート!$A37="","",0)</f>
        <v/>
      </c>
      <c r="AE33" s="25" t="str">
        <f aca="false">IF(入力シート!$A37="","",入力シート!I37)</f>
        <v/>
      </c>
      <c r="AF33" s="25" t="str">
        <f aca="false">IF(入力シート!$A37="","",入力シート!M37)</f>
        <v/>
      </c>
      <c r="AG33" s="25" t="str">
        <f aca="false">IF(入力シート!$A37="","",入力シート!N37)</f>
        <v/>
      </c>
      <c r="AH33" s="25" t="str">
        <f aca="false">IF(入力シート!$A37="","","")</f>
        <v/>
      </c>
      <c r="AI33" s="25" t="str">
        <f aca="false">IF(入力シート!$A37="","","")</f>
        <v/>
      </c>
      <c r="AJ33" s="25" t="str">
        <f aca="false">IF(入力シート!$A37="","","")</f>
        <v/>
      </c>
      <c r="AK33" s="25" t="str">
        <f aca="false">IF(入力シート!$A37="","",2)</f>
        <v/>
      </c>
      <c r="AL33" s="25" t="str">
        <f aca="false">IF(入力シート!$A37="","","")</f>
        <v/>
      </c>
      <c r="AM33" s="25" t="str">
        <f aca="false">IF(入力シート!$A37="","","")</f>
        <v/>
      </c>
      <c r="AN33" s="25" t="str">
        <f aca="false">IF(入力シート!$A37="","",入力シート!C37)</f>
        <v/>
      </c>
      <c r="AO33" s="25" t="str">
        <f aca="false">IF(入力シート!$A37="","","")</f>
        <v/>
      </c>
      <c r="AP33" s="25" t="str">
        <f aca="false">IF(入力シート!$A37="","","")</f>
        <v/>
      </c>
      <c r="AQ33" s="25" t="str">
        <f aca="false">IF(入力シート!$A37="","","")</f>
        <v/>
      </c>
    </row>
    <row r="34" customFormat="false" ht="15" hidden="false" customHeight="true" outlineLevel="0" collapsed="false">
      <c r="A34" s="25" t="str">
        <f aca="false">IF(入力シート!$A38="","",1)</f>
        <v/>
      </c>
      <c r="B34" s="25" t="str">
        <f aca="false">IF(入力シート!$A38="","",1)</f>
        <v/>
      </c>
      <c r="C34" s="25" t="str">
        <f aca="false">IF(入力シート!$A38="","",0)</f>
        <v/>
      </c>
      <c r="D34" s="25" t="str">
        <f aca="false">IF(入力シート!$A38="","",TEXT(入力シート!A38,"YYYYMMDD"))</f>
        <v/>
      </c>
      <c r="E34" s="25" t="str">
        <f aca="false">IF(入力シート!$A38="","",TEXT(入力シート!Q38,"00000000"))</f>
        <v/>
      </c>
      <c r="F34" s="25" t="str">
        <f aca="false">IF(入力シート!$A38="","",14)</f>
        <v/>
      </c>
      <c r="G34" s="25" t="str">
        <f aca="false">IF(入力シート!$A38="","",1)</f>
        <v/>
      </c>
      <c r="H34" s="25" t="str">
        <f aca="false">IF(入力シート!$A38="","",1)</f>
        <v/>
      </c>
      <c r="I34" s="25" t="str">
        <f aca="false">IF(入力シート!$A38="","",3)</f>
        <v/>
      </c>
      <c r="J34" s="25" t="str">
        <f aca="false">IF(入力シート!$A38="","",1)</f>
        <v/>
      </c>
      <c r="K34" s="25" t="str">
        <f aca="false">IF(入力シート!$A38="","",入力シート!B38)</f>
        <v/>
      </c>
      <c r="L34" s="25" t="str">
        <f aca="false">IF(入力シート!$A38="","","")</f>
        <v/>
      </c>
      <c r="M34" s="25" t="str">
        <f aca="false">IF(入力シート!$A38="","","")</f>
        <v/>
      </c>
      <c r="N34" s="25" t="str">
        <f aca="false">IF(入力シート!$A38="","",入力シート!R38)</f>
        <v/>
      </c>
      <c r="O34" s="25" t="str">
        <f aca="false">IF(入力シート!$A38="","",IF(入力シート!G38="",1,入力シート!G38))</f>
        <v/>
      </c>
      <c r="P34" s="25" t="str">
        <f aca="false">IF(入力シート!$A38="","",入力シート!D38)</f>
        <v/>
      </c>
      <c r="Q34" s="25" t="str">
        <f aca="false">IF(入力シート!$A38="","","")</f>
        <v/>
      </c>
      <c r="R34" s="25" t="str">
        <f aca="false">IF(入力シート!$A38="","",入力シート!J38)</f>
        <v/>
      </c>
      <c r="S34" s="25" t="str">
        <f aca="false">IF(入力シート!$A38="","",入力シート!L38)</f>
        <v/>
      </c>
      <c r="T34" s="25" t="str">
        <f aca="false">IF(入力シート!$A38="","",入力シート!K38)</f>
        <v/>
      </c>
      <c r="U34" s="25" t="str">
        <f aca="false">IF(入力シート!$A38="","",0)</f>
        <v/>
      </c>
      <c r="V34" s="25" t="str">
        <f aca="false">IF(入力シート!$A38="","",0)</f>
        <v/>
      </c>
      <c r="W34" s="25" t="str">
        <f aca="false">IF(入力シート!$A38="","","0000")</f>
        <v/>
      </c>
      <c r="X34" s="25" t="str">
        <f aca="false">IF(入力シート!$A38="","",入力シート!E38)</f>
        <v/>
      </c>
      <c r="Y34" s="25" t="str">
        <f aca="false">IF(入力シート!$A38="","",入力シート!F38)</f>
        <v/>
      </c>
      <c r="Z34" s="25" t="str">
        <f aca="false">IF(入力シート!$A38="","",入力シート!O38)</f>
        <v/>
      </c>
      <c r="AA34" s="25" t="str">
        <f aca="false">IF(入力シート!$A38="","","")</f>
        <v/>
      </c>
      <c r="AB34" s="25" t="str">
        <f aca="false">IF(入力シート!$A38="","",入力シート!P38)</f>
        <v/>
      </c>
      <c r="AC34" s="25" t="str">
        <f aca="false">IF(入力シート!$A38="","",入力シート!U38)</f>
        <v/>
      </c>
      <c r="AD34" s="25" t="str">
        <f aca="false">IF(入力シート!$A38="","",0)</f>
        <v/>
      </c>
      <c r="AE34" s="25" t="str">
        <f aca="false">IF(入力シート!$A38="","",入力シート!I38)</f>
        <v/>
      </c>
      <c r="AF34" s="25" t="str">
        <f aca="false">IF(入力シート!$A38="","",入力シート!M38)</f>
        <v/>
      </c>
      <c r="AG34" s="25" t="str">
        <f aca="false">IF(入力シート!$A38="","",入力シート!N38)</f>
        <v/>
      </c>
      <c r="AH34" s="25" t="str">
        <f aca="false">IF(入力シート!$A38="","","")</f>
        <v/>
      </c>
      <c r="AI34" s="25" t="str">
        <f aca="false">IF(入力シート!$A38="","","")</f>
        <v/>
      </c>
      <c r="AJ34" s="25" t="str">
        <f aca="false">IF(入力シート!$A38="","","")</f>
        <v/>
      </c>
      <c r="AK34" s="25" t="str">
        <f aca="false">IF(入力シート!$A38="","",2)</f>
        <v/>
      </c>
      <c r="AL34" s="25" t="str">
        <f aca="false">IF(入力シート!$A38="","","")</f>
        <v/>
      </c>
      <c r="AM34" s="25" t="str">
        <f aca="false">IF(入力シート!$A38="","","")</f>
        <v/>
      </c>
      <c r="AN34" s="25" t="str">
        <f aca="false">IF(入力シート!$A38="","",入力シート!C38)</f>
        <v/>
      </c>
      <c r="AO34" s="25" t="str">
        <f aca="false">IF(入力シート!$A38="","","")</f>
        <v/>
      </c>
      <c r="AP34" s="25" t="str">
        <f aca="false">IF(入力シート!$A38="","","")</f>
        <v/>
      </c>
      <c r="AQ34" s="25" t="str">
        <f aca="false">IF(入力シート!$A38="","","")</f>
        <v/>
      </c>
    </row>
    <row r="35" customFormat="false" ht="15" hidden="false" customHeight="true" outlineLevel="0" collapsed="false">
      <c r="A35" s="25" t="str">
        <f aca="false">IF(入力シート!$A39="","",1)</f>
        <v/>
      </c>
      <c r="B35" s="25" t="str">
        <f aca="false">IF(入力シート!$A39="","",1)</f>
        <v/>
      </c>
      <c r="C35" s="25" t="str">
        <f aca="false">IF(入力シート!$A39="","",0)</f>
        <v/>
      </c>
      <c r="D35" s="25" t="str">
        <f aca="false">IF(入力シート!$A39="","",TEXT(入力シート!A39,"YYYYMMDD"))</f>
        <v/>
      </c>
      <c r="E35" s="25" t="str">
        <f aca="false">IF(入力シート!$A39="","",TEXT(入力シート!Q39,"00000000"))</f>
        <v/>
      </c>
      <c r="F35" s="25" t="str">
        <f aca="false">IF(入力シート!$A39="","",14)</f>
        <v/>
      </c>
      <c r="G35" s="25" t="str">
        <f aca="false">IF(入力シート!$A39="","",1)</f>
        <v/>
      </c>
      <c r="H35" s="25" t="str">
        <f aca="false">IF(入力シート!$A39="","",1)</f>
        <v/>
      </c>
      <c r="I35" s="25" t="str">
        <f aca="false">IF(入力シート!$A39="","",3)</f>
        <v/>
      </c>
      <c r="J35" s="25" t="str">
        <f aca="false">IF(入力シート!$A39="","",1)</f>
        <v/>
      </c>
      <c r="K35" s="25" t="str">
        <f aca="false">IF(入力シート!$A39="","",入力シート!B39)</f>
        <v/>
      </c>
      <c r="L35" s="25" t="str">
        <f aca="false">IF(入力シート!$A39="","","")</f>
        <v/>
      </c>
      <c r="M35" s="25" t="str">
        <f aca="false">IF(入力シート!$A39="","","")</f>
        <v/>
      </c>
      <c r="N35" s="25" t="str">
        <f aca="false">IF(入力シート!$A39="","",入力シート!R39)</f>
        <v/>
      </c>
      <c r="O35" s="25" t="str">
        <f aca="false">IF(入力シート!$A39="","",IF(入力シート!G39="",1,入力シート!G39))</f>
        <v/>
      </c>
      <c r="P35" s="25" t="str">
        <f aca="false">IF(入力シート!$A39="","",入力シート!D39)</f>
        <v/>
      </c>
      <c r="Q35" s="25" t="str">
        <f aca="false">IF(入力シート!$A39="","","")</f>
        <v/>
      </c>
      <c r="R35" s="25" t="str">
        <f aca="false">IF(入力シート!$A39="","",入力シート!J39)</f>
        <v/>
      </c>
      <c r="S35" s="25" t="str">
        <f aca="false">IF(入力シート!$A39="","",入力シート!L39)</f>
        <v/>
      </c>
      <c r="T35" s="25" t="str">
        <f aca="false">IF(入力シート!$A39="","",入力シート!K39)</f>
        <v/>
      </c>
      <c r="U35" s="25" t="str">
        <f aca="false">IF(入力シート!$A39="","",0)</f>
        <v/>
      </c>
      <c r="V35" s="25" t="str">
        <f aca="false">IF(入力シート!$A39="","",0)</f>
        <v/>
      </c>
      <c r="W35" s="25" t="str">
        <f aca="false">IF(入力シート!$A39="","","0000")</f>
        <v/>
      </c>
      <c r="X35" s="25" t="str">
        <f aca="false">IF(入力シート!$A39="","",入力シート!E39)</f>
        <v/>
      </c>
      <c r="Y35" s="25" t="str">
        <f aca="false">IF(入力シート!$A39="","",入力シート!F39)</f>
        <v/>
      </c>
      <c r="Z35" s="25" t="str">
        <f aca="false">IF(入力シート!$A39="","",入力シート!O39)</f>
        <v/>
      </c>
      <c r="AA35" s="25" t="str">
        <f aca="false">IF(入力シート!$A39="","","")</f>
        <v/>
      </c>
      <c r="AB35" s="25" t="str">
        <f aca="false">IF(入力シート!$A39="","",入力シート!P39)</f>
        <v/>
      </c>
      <c r="AC35" s="25" t="str">
        <f aca="false">IF(入力シート!$A39="","",入力シート!U39)</f>
        <v/>
      </c>
      <c r="AD35" s="25" t="str">
        <f aca="false">IF(入力シート!$A39="","",0)</f>
        <v/>
      </c>
      <c r="AE35" s="25" t="str">
        <f aca="false">IF(入力シート!$A39="","",入力シート!I39)</f>
        <v/>
      </c>
      <c r="AF35" s="25" t="str">
        <f aca="false">IF(入力シート!$A39="","",入力シート!M39)</f>
        <v/>
      </c>
      <c r="AG35" s="25" t="str">
        <f aca="false">IF(入力シート!$A39="","",入力シート!N39)</f>
        <v/>
      </c>
      <c r="AH35" s="25" t="str">
        <f aca="false">IF(入力シート!$A39="","","")</f>
        <v/>
      </c>
      <c r="AI35" s="25" t="str">
        <f aca="false">IF(入力シート!$A39="","","")</f>
        <v/>
      </c>
      <c r="AJ35" s="25" t="str">
        <f aca="false">IF(入力シート!$A39="","","")</f>
        <v/>
      </c>
      <c r="AK35" s="25" t="str">
        <f aca="false">IF(入力シート!$A39="","",2)</f>
        <v/>
      </c>
      <c r="AL35" s="25" t="str">
        <f aca="false">IF(入力シート!$A39="","","")</f>
        <v/>
      </c>
      <c r="AM35" s="25" t="str">
        <f aca="false">IF(入力シート!$A39="","","")</f>
        <v/>
      </c>
      <c r="AN35" s="25" t="str">
        <f aca="false">IF(入力シート!$A39="","",入力シート!C39)</f>
        <v/>
      </c>
      <c r="AO35" s="25" t="str">
        <f aca="false">IF(入力シート!$A39="","","")</f>
        <v/>
      </c>
      <c r="AP35" s="25" t="str">
        <f aca="false">IF(入力シート!$A39="","","")</f>
        <v/>
      </c>
      <c r="AQ35" s="25" t="str">
        <f aca="false">IF(入力シート!$A39="","","")</f>
        <v/>
      </c>
    </row>
    <row r="36" customFormat="false" ht="15" hidden="false" customHeight="true" outlineLevel="0" collapsed="false">
      <c r="A36" s="25" t="str">
        <f aca="false">IF(入力シート!$A40="","",1)</f>
        <v/>
      </c>
      <c r="B36" s="25" t="str">
        <f aca="false">IF(入力シート!$A40="","",1)</f>
        <v/>
      </c>
      <c r="C36" s="25" t="str">
        <f aca="false">IF(入力シート!$A40="","",0)</f>
        <v/>
      </c>
      <c r="D36" s="25" t="str">
        <f aca="false">IF(入力シート!$A40="","",TEXT(入力シート!A40,"YYYYMMDD"))</f>
        <v/>
      </c>
      <c r="E36" s="25" t="str">
        <f aca="false">IF(入力シート!$A40="","",TEXT(入力シート!Q40,"00000000"))</f>
        <v/>
      </c>
      <c r="F36" s="25" t="str">
        <f aca="false">IF(入力シート!$A40="","",14)</f>
        <v/>
      </c>
      <c r="G36" s="25" t="str">
        <f aca="false">IF(入力シート!$A40="","",1)</f>
        <v/>
      </c>
      <c r="H36" s="25" t="str">
        <f aca="false">IF(入力シート!$A40="","",1)</f>
        <v/>
      </c>
      <c r="I36" s="25" t="str">
        <f aca="false">IF(入力シート!$A40="","",3)</f>
        <v/>
      </c>
      <c r="J36" s="25" t="str">
        <f aca="false">IF(入力シート!$A40="","",1)</f>
        <v/>
      </c>
      <c r="K36" s="25" t="str">
        <f aca="false">IF(入力シート!$A40="","",入力シート!B40)</f>
        <v/>
      </c>
      <c r="L36" s="25" t="str">
        <f aca="false">IF(入力シート!$A40="","","")</f>
        <v/>
      </c>
      <c r="M36" s="25" t="str">
        <f aca="false">IF(入力シート!$A40="","","")</f>
        <v/>
      </c>
      <c r="N36" s="25" t="str">
        <f aca="false">IF(入力シート!$A40="","",入力シート!R40)</f>
        <v/>
      </c>
      <c r="O36" s="25" t="str">
        <f aca="false">IF(入力シート!$A40="","",IF(入力シート!G40="",1,入力シート!G40))</f>
        <v/>
      </c>
      <c r="P36" s="25" t="str">
        <f aca="false">IF(入力シート!$A40="","",入力シート!D40)</f>
        <v/>
      </c>
      <c r="Q36" s="25" t="str">
        <f aca="false">IF(入力シート!$A40="","","")</f>
        <v/>
      </c>
      <c r="R36" s="25" t="str">
        <f aca="false">IF(入力シート!$A40="","",入力シート!J40)</f>
        <v/>
      </c>
      <c r="S36" s="25" t="str">
        <f aca="false">IF(入力シート!$A40="","",入力シート!L40)</f>
        <v/>
      </c>
      <c r="T36" s="25" t="str">
        <f aca="false">IF(入力シート!$A40="","",入力シート!K40)</f>
        <v/>
      </c>
      <c r="U36" s="25" t="str">
        <f aca="false">IF(入力シート!$A40="","",0)</f>
        <v/>
      </c>
      <c r="V36" s="25" t="str">
        <f aca="false">IF(入力シート!$A40="","",0)</f>
        <v/>
      </c>
      <c r="W36" s="25" t="str">
        <f aca="false">IF(入力シート!$A40="","","0000")</f>
        <v/>
      </c>
      <c r="X36" s="25" t="str">
        <f aca="false">IF(入力シート!$A40="","",入力シート!E40)</f>
        <v/>
      </c>
      <c r="Y36" s="25" t="str">
        <f aca="false">IF(入力シート!$A40="","",入力シート!F40)</f>
        <v/>
      </c>
      <c r="Z36" s="25" t="str">
        <f aca="false">IF(入力シート!$A40="","",入力シート!O40)</f>
        <v/>
      </c>
      <c r="AA36" s="25" t="str">
        <f aca="false">IF(入力シート!$A40="","","")</f>
        <v/>
      </c>
      <c r="AB36" s="25" t="str">
        <f aca="false">IF(入力シート!$A40="","",入力シート!P40)</f>
        <v/>
      </c>
      <c r="AC36" s="25" t="str">
        <f aca="false">IF(入力シート!$A40="","",入力シート!U40)</f>
        <v/>
      </c>
      <c r="AD36" s="25" t="str">
        <f aca="false">IF(入力シート!$A40="","",0)</f>
        <v/>
      </c>
      <c r="AE36" s="25" t="str">
        <f aca="false">IF(入力シート!$A40="","",入力シート!I40)</f>
        <v/>
      </c>
      <c r="AF36" s="25" t="str">
        <f aca="false">IF(入力シート!$A40="","",入力シート!M40)</f>
        <v/>
      </c>
      <c r="AG36" s="25" t="str">
        <f aca="false">IF(入力シート!$A40="","",入力シート!N40)</f>
        <v/>
      </c>
      <c r="AH36" s="25" t="str">
        <f aca="false">IF(入力シート!$A40="","","")</f>
        <v/>
      </c>
      <c r="AI36" s="25" t="str">
        <f aca="false">IF(入力シート!$A40="","","")</f>
        <v/>
      </c>
      <c r="AJ36" s="25" t="str">
        <f aca="false">IF(入力シート!$A40="","","")</f>
        <v/>
      </c>
      <c r="AK36" s="25" t="str">
        <f aca="false">IF(入力シート!$A40="","",2)</f>
        <v/>
      </c>
      <c r="AL36" s="25" t="str">
        <f aca="false">IF(入力シート!$A40="","","")</f>
        <v/>
      </c>
      <c r="AM36" s="25" t="str">
        <f aca="false">IF(入力シート!$A40="","","")</f>
        <v/>
      </c>
      <c r="AN36" s="25" t="str">
        <f aca="false">IF(入力シート!$A40="","",入力シート!C40)</f>
        <v/>
      </c>
      <c r="AO36" s="25" t="str">
        <f aca="false">IF(入力シート!$A40="","","")</f>
        <v/>
      </c>
      <c r="AP36" s="25" t="str">
        <f aca="false">IF(入力シート!$A40="","","")</f>
        <v/>
      </c>
      <c r="AQ36" s="25" t="str">
        <f aca="false">IF(入力シート!$A40="","","")</f>
        <v/>
      </c>
    </row>
    <row r="37" customFormat="false" ht="15" hidden="false" customHeight="true" outlineLevel="0" collapsed="false">
      <c r="A37" s="25" t="str">
        <f aca="false">IF(入力シート!$A41="","",1)</f>
        <v/>
      </c>
      <c r="B37" s="25" t="str">
        <f aca="false">IF(入力シート!$A41="","",1)</f>
        <v/>
      </c>
      <c r="C37" s="25" t="str">
        <f aca="false">IF(入力シート!$A41="","",0)</f>
        <v/>
      </c>
      <c r="D37" s="25" t="str">
        <f aca="false">IF(入力シート!$A41="","",TEXT(入力シート!A41,"YYYYMMDD"))</f>
        <v/>
      </c>
      <c r="E37" s="25" t="str">
        <f aca="false">IF(入力シート!$A41="","",TEXT(入力シート!Q41,"00000000"))</f>
        <v/>
      </c>
      <c r="F37" s="25" t="str">
        <f aca="false">IF(入力シート!$A41="","",14)</f>
        <v/>
      </c>
      <c r="G37" s="25" t="str">
        <f aca="false">IF(入力シート!$A41="","",1)</f>
        <v/>
      </c>
      <c r="H37" s="25" t="str">
        <f aca="false">IF(入力シート!$A41="","",1)</f>
        <v/>
      </c>
      <c r="I37" s="25" t="str">
        <f aca="false">IF(入力シート!$A41="","",3)</f>
        <v/>
      </c>
      <c r="J37" s="25" t="str">
        <f aca="false">IF(入力シート!$A41="","",1)</f>
        <v/>
      </c>
      <c r="K37" s="25" t="str">
        <f aca="false">IF(入力シート!$A41="","",入力シート!B41)</f>
        <v/>
      </c>
      <c r="L37" s="25" t="str">
        <f aca="false">IF(入力シート!$A41="","","")</f>
        <v/>
      </c>
      <c r="M37" s="25" t="str">
        <f aca="false">IF(入力シート!$A41="","","")</f>
        <v/>
      </c>
      <c r="N37" s="25" t="str">
        <f aca="false">IF(入力シート!$A41="","",入力シート!R41)</f>
        <v/>
      </c>
      <c r="O37" s="25" t="str">
        <f aca="false">IF(入力シート!$A41="","",IF(入力シート!G41="",1,入力シート!G41))</f>
        <v/>
      </c>
      <c r="P37" s="25" t="str">
        <f aca="false">IF(入力シート!$A41="","",入力シート!D41)</f>
        <v/>
      </c>
      <c r="Q37" s="25" t="str">
        <f aca="false">IF(入力シート!$A41="","","")</f>
        <v/>
      </c>
      <c r="R37" s="25" t="str">
        <f aca="false">IF(入力シート!$A41="","",入力シート!J41)</f>
        <v/>
      </c>
      <c r="S37" s="25" t="str">
        <f aca="false">IF(入力シート!$A41="","",入力シート!L41)</f>
        <v/>
      </c>
      <c r="T37" s="25" t="str">
        <f aca="false">IF(入力シート!$A41="","",入力シート!K41)</f>
        <v/>
      </c>
      <c r="U37" s="25" t="str">
        <f aca="false">IF(入力シート!$A41="","",0)</f>
        <v/>
      </c>
      <c r="V37" s="25" t="str">
        <f aca="false">IF(入力シート!$A41="","",0)</f>
        <v/>
      </c>
      <c r="W37" s="25" t="str">
        <f aca="false">IF(入力シート!$A41="","","0000")</f>
        <v/>
      </c>
      <c r="X37" s="25" t="str">
        <f aca="false">IF(入力シート!$A41="","",入力シート!E41)</f>
        <v/>
      </c>
      <c r="Y37" s="25" t="str">
        <f aca="false">IF(入力シート!$A41="","",入力シート!F41)</f>
        <v/>
      </c>
      <c r="Z37" s="25" t="str">
        <f aca="false">IF(入力シート!$A41="","",入力シート!O41)</f>
        <v/>
      </c>
      <c r="AA37" s="25" t="str">
        <f aca="false">IF(入力シート!$A41="","","")</f>
        <v/>
      </c>
      <c r="AB37" s="25" t="str">
        <f aca="false">IF(入力シート!$A41="","",入力シート!P41)</f>
        <v/>
      </c>
      <c r="AC37" s="25" t="str">
        <f aca="false">IF(入力シート!$A41="","",入力シート!U41)</f>
        <v/>
      </c>
      <c r="AD37" s="25" t="str">
        <f aca="false">IF(入力シート!$A41="","",0)</f>
        <v/>
      </c>
      <c r="AE37" s="25" t="str">
        <f aca="false">IF(入力シート!$A41="","",入力シート!I41)</f>
        <v/>
      </c>
      <c r="AF37" s="25" t="str">
        <f aca="false">IF(入力シート!$A41="","",入力シート!M41)</f>
        <v/>
      </c>
      <c r="AG37" s="25" t="str">
        <f aca="false">IF(入力シート!$A41="","",入力シート!N41)</f>
        <v/>
      </c>
      <c r="AH37" s="25" t="str">
        <f aca="false">IF(入力シート!$A41="","","")</f>
        <v/>
      </c>
      <c r="AI37" s="25" t="str">
        <f aca="false">IF(入力シート!$A41="","","")</f>
        <v/>
      </c>
      <c r="AJ37" s="25" t="str">
        <f aca="false">IF(入力シート!$A41="","","")</f>
        <v/>
      </c>
      <c r="AK37" s="25" t="str">
        <f aca="false">IF(入力シート!$A41="","",2)</f>
        <v/>
      </c>
      <c r="AL37" s="25" t="str">
        <f aca="false">IF(入力シート!$A41="","","")</f>
        <v/>
      </c>
      <c r="AM37" s="25" t="str">
        <f aca="false">IF(入力シート!$A41="","","")</f>
        <v/>
      </c>
      <c r="AN37" s="25" t="str">
        <f aca="false">IF(入力シート!$A41="","",入力シート!C41)</f>
        <v/>
      </c>
      <c r="AO37" s="25" t="str">
        <f aca="false">IF(入力シート!$A41="","","")</f>
        <v/>
      </c>
      <c r="AP37" s="25" t="str">
        <f aca="false">IF(入力シート!$A41="","","")</f>
        <v/>
      </c>
      <c r="AQ37" s="25" t="str">
        <f aca="false">IF(入力シート!$A41="","","")</f>
        <v/>
      </c>
    </row>
    <row r="38" customFormat="false" ht="15" hidden="false" customHeight="true" outlineLevel="0" collapsed="false">
      <c r="A38" s="25" t="str">
        <f aca="false">IF(入力シート!$A42="","",1)</f>
        <v/>
      </c>
      <c r="B38" s="25" t="str">
        <f aca="false">IF(入力シート!$A42="","",1)</f>
        <v/>
      </c>
      <c r="C38" s="25" t="str">
        <f aca="false">IF(入力シート!$A42="","",0)</f>
        <v/>
      </c>
      <c r="D38" s="25" t="str">
        <f aca="false">IF(入力シート!$A42="","",TEXT(入力シート!A42,"YYYYMMDD"))</f>
        <v/>
      </c>
      <c r="E38" s="25" t="str">
        <f aca="false">IF(入力シート!$A42="","",TEXT(入力シート!Q42,"00000000"))</f>
        <v/>
      </c>
      <c r="F38" s="25" t="str">
        <f aca="false">IF(入力シート!$A42="","",14)</f>
        <v/>
      </c>
      <c r="G38" s="25" t="str">
        <f aca="false">IF(入力シート!$A42="","",1)</f>
        <v/>
      </c>
      <c r="H38" s="25" t="str">
        <f aca="false">IF(入力シート!$A42="","",1)</f>
        <v/>
      </c>
      <c r="I38" s="25" t="str">
        <f aca="false">IF(入力シート!$A42="","",3)</f>
        <v/>
      </c>
      <c r="J38" s="25" t="str">
        <f aca="false">IF(入力シート!$A42="","",1)</f>
        <v/>
      </c>
      <c r="K38" s="25" t="str">
        <f aca="false">IF(入力シート!$A42="","",入力シート!B42)</f>
        <v/>
      </c>
      <c r="L38" s="25" t="str">
        <f aca="false">IF(入力シート!$A42="","","")</f>
        <v/>
      </c>
      <c r="M38" s="25" t="str">
        <f aca="false">IF(入力シート!$A42="","","")</f>
        <v/>
      </c>
      <c r="N38" s="25" t="str">
        <f aca="false">IF(入力シート!$A42="","",入力シート!R42)</f>
        <v/>
      </c>
      <c r="O38" s="25" t="str">
        <f aca="false">IF(入力シート!$A42="","",IF(入力シート!G42="",1,入力シート!G42))</f>
        <v/>
      </c>
      <c r="P38" s="25" t="str">
        <f aca="false">IF(入力シート!$A42="","",入力シート!D42)</f>
        <v/>
      </c>
      <c r="Q38" s="25" t="str">
        <f aca="false">IF(入力シート!$A42="","","")</f>
        <v/>
      </c>
      <c r="R38" s="25" t="str">
        <f aca="false">IF(入力シート!$A42="","",入力シート!J42)</f>
        <v/>
      </c>
      <c r="S38" s="25" t="str">
        <f aca="false">IF(入力シート!$A42="","",入力シート!L42)</f>
        <v/>
      </c>
      <c r="T38" s="25" t="str">
        <f aca="false">IF(入力シート!$A42="","",入力シート!K42)</f>
        <v/>
      </c>
      <c r="U38" s="25" t="str">
        <f aca="false">IF(入力シート!$A42="","",0)</f>
        <v/>
      </c>
      <c r="V38" s="25" t="str">
        <f aca="false">IF(入力シート!$A42="","",0)</f>
        <v/>
      </c>
      <c r="W38" s="25" t="str">
        <f aca="false">IF(入力シート!$A42="","","0000")</f>
        <v/>
      </c>
      <c r="X38" s="25" t="str">
        <f aca="false">IF(入力シート!$A42="","",入力シート!E42)</f>
        <v/>
      </c>
      <c r="Y38" s="25" t="str">
        <f aca="false">IF(入力シート!$A42="","",入力シート!F42)</f>
        <v/>
      </c>
      <c r="Z38" s="25" t="str">
        <f aca="false">IF(入力シート!$A42="","",入力シート!O42)</f>
        <v/>
      </c>
      <c r="AA38" s="25" t="str">
        <f aca="false">IF(入力シート!$A42="","","")</f>
        <v/>
      </c>
      <c r="AB38" s="25" t="str">
        <f aca="false">IF(入力シート!$A42="","",入力シート!P42)</f>
        <v/>
      </c>
      <c r="AC38" s="25" t="str">
        <f aca="false">IF(入力シート!$A42="","",入力シート!U42)</f>
        <v/>
      </c>
      <c r="AD38" s="25" t="str">
        <f aca="false">IF(入力シート!$A42="","",0)</f>
        <v/>
      </c>
      <c r="AE38" s="25" t="str">
        <f aca="false">IF(入力シート!$A42="","",入力シート!I42)</f>
        <v/>
      </c>
      <c r="AF38" s="25" t="str">
        <f aca="false">IF(入力シート!$A42="","",入力シート!M42)</f>
        <v/>
      </c>
      <c r="AG38" s="25" t="str">
        <f aca="false">IF(入力シート!$A42="","",入力シート!N42)</f>
        <v/>
      </c>
      <c r="AH38" s="25" t="str">
        <f aca="false">IF(入力シート!$A42="","","")</f>
        <v/>
      </c>
      <c r="AI38" s="25" t="str">
        <f aca="false">IF(入力シート!$A42="","","")</f>
        <v/>
      </c>
      <c r="AJ38" s="25" t="str">
        <f aca="false">IF(入力シート!$A42="","","")</f>
        <v/>
      </c>
      <c r="AK38" s="25" t="str">
        <f aca="false">IF(入力シート!$A42="","",2)</f>
        <v/>
      </c>
      <c r="AL38" s="25" t="str">
        <f aca="false">IF(入力シート!$A42="","","")</f>
        <v/>
      </c>
      <c r="AM38" s="25" t="str">
        <f aca="false">IF(入力シート!$A42="","","")</f>
        <v/>
      </c>
      <c r="AN38" s="25" t="str">
        <f aca="false">IF(入力シート!$A42="","",入力シート!C42)</f>
        <v/>
      </c>
      <c r="AO38" s="25" t="str">
        <f aca="false">IF(入力シート!$A42="","","")</f>
        <v/>
      </c>
      <c r="AP38" s="25" t="str">
        <f aca="false">IF(入力シート!$A42="","","")</f>
        <v/>
      </c>
      <c r="AQ38" s="25" t="str">
        <f aca="false">IF(入力シート!$A42="","","")</f>
        <v/>
      </c>
    </row>
    <row r="39" customFormat="false" ht="15" hidden="false" customHeight="true" outlineLevel="0" collapsed="false">
      <c r="A39" s="25" t="str">
        <f aca="false">IF(入力シート!$A43="","",1)</f>
        <v/>
      </c>
      <c r="B39" s="25" t="str">
        <f aca="false">IF(入力シート!$A43="","",1)</f>
        <v/>
      </c>
      <c r="C39" s="25" t="str">
        <f aca="false">IF(入力シート!$A43="","",0)</f>
        <v/>
      </c>
      <c r="D39" s="25" t="str">
        <f aca="false">IF(入力シート!$A43="","",TEXT(入力シート!A43,"YYYYMMDD"))</f>
        <v/>
      </c>
      <c r="E39" s="25" t="str">
        <f aca="false">IF(入力シート!$A43="","",TEXT(入力シート!Q43,"00000000"))</f>
        <v/>
      </c>
      <c r="F39" s="25" t="str">
        <f aca="false">IF(入力シート!$A43="","",14)</f>
        <v/>
      </c>
      <c r="G39" s="25" t="str">
        <f aca="false">IF(入力シート!$A43="","",1)</f>
        <v/>
      </c>
      <c r="H39" s="25" t="str">
        <f aca="false">IF(入力シート!$A43="","",1)</f>
        <v/>
      </c>
      <c r="I39" s="25" t="str">
        <f aca="false">IF(入力シート!$A43="","",3)</f>
        <v/>
      </c>
      <c r="J39" s="25" t="str">
        <f aca="false">IF(入力シート!$A43="","",1)</f>
        <v/>
      </c>
      <c r="K39" s="25" t="str">
        <f aca="false">IF(入力シート!$A43="","",入力シート!B43)</f>
        <v/>
      </c>
      <c r="L39" s="25" t="str">
        <f aca="false">IF(入力シート!$A43="","","")</f>
        <v/>
      </c>
      <c r="M39" s="25" t="str">
        <f aca="false">IF(入力シート!$A43="","","")</f>
        <v/>
      </c>
      <c r="N39" s="25" t="str">
        <f aca="false">IF(入力シート!$A43="","",入力シート!R43)</f>
        <v/>
      </c>
      <c r="O39" s="25" t="str">
        <f aca="false">IF(入力シート!$A43="","",IF(入力シート!G43="",1,入力シート!G43))</f>
        <v/>
      </c>
      <c r="P39" s="25" t="str">
        <f aca="false">IF(入力シート!$A43="","",入力シート!D43)</f>
        <v/>
      </c>
      <c r="Q39" s="25" t="str">
        <f aca="false">IF(入力シート!$A43="","","")</f>
        <v/>
      </c>
      <c r="R39" s="25" t="str">
        <f aca="false">IF(入力シート!$A43="","",入力シート!J43)</f>
        <v/>
      </c>
      <c r="S39" s="25" t="str">
        <f aca="false">IF(入力シート!$A43="","",入力シート!L43)</f>
        <v/>
      </c>
      <c r="T39" s="25" t="str">
        <f aca="false">IF(入力シート!$A43="","",入力シート!K43)</f>
        <v/>
      </c>
      <c r="U39" s="25" t="str">
        <f aca="false">IF(入力シート!$A43="","",0)</f>
        <v/>
      </c>
      <c r="V39" s="25" t="str">
        <f aca="false">IF(入力シート!$A43="","",0)</f>
        <v/>
      </c>
      <c r="W39" s="25" t="str">
        <f aca="false">IF(入力シート!$A43="","","0000")</f>
        <v/>
      </c>
      <c r="X39" s="25" t="str">
        <f aca="false">IF(入力シート!$A43="","",入力シート!E43)</f>
        <v/>
      </c>
      <c r="Y39" s="25" t="str">
        <f aca="false">IF(入力シート!$A43="","",入力シート!F43)</f>
        <v/>
      </c>
      <c r="Z39" s="25" t="str">
        <f aca="false">IF(入力シート!$A43="","",入力シート!O43)</f>
        <v/>
      </c>
      <c r="AA39" s="25" t="str">
        <f aca="false">IF(入力シート!$A43="","","")</f>
        <v/>
      </c>
      <c r="AB39" s="25" t="str">
        <f aca="false">IF(入力シート!$A43="","",入力シート!P43)</f>
        <v/>
      </c>
      <c r="AC39" s="25" t="str">
        <f aca="false">IF(入力シート!$A43="","",入力シート!U43)</f>
        <v/>
      </c>
      <c r="AD39" s="25" t="str">
        <f aca="false">IF(入力シート!$A43="","",0)</f>
        <v/>
      </c>
      <c r="AE39" s="25" t="str">
        <f aca="false">IF(入力シート!$A43="","",入力シート!I43)</f>
        <v/>
      </c>
      <c r="AF39" s="25" t="str">
        <f aca="false">IF(入力シート!$A43="","",入力シート!M43)</f>
        <v/>
      </c>
      <c r="AG39" s="25" t="str">
        <f aca="false">IF(入力シート!$A43="","",入力シート!N43)</f>
        <v/>
      </c>
      <c r="AH39" s="25" t="str">
        <f aca="false">IF(入力シート!$A43="","","")</f>
        <v/>
      </c>
      <c r="AI39" s="25" t="str">
        <f aca="false">IF(入力シート!$A43="","","")</f>
        <v/>
      </c>
      <c r="AJ39" s="25" t="str">
        <f aca="false">IF(入力シート!$A43="","","")</f>
        <v/>
      </c>
      <c r="AK39" s="25" t="str">
        <f aca="false">IF(入力シート!$A43="","",2)</f>
        <v/>
      </c>
      <c r="AL39" s="25" t="str">
        <f aca="false">IF(入力シート!$A43="","","")</f>
        <v/>
      </c>
      <c r="AM39" s="25" t="str">
        <f aca="false">IF(入力シート!$A43="","","")</f>
        <v/>
      </c>
      <c r="AN39" s="25" t="str">
        <f aca="false">IF(入力シート!$A43="","",入力シート!C43)</f>
        <v/>
      </c>
      <c r="AO39" s="25" t="str">
        <f aca="false">IF(入力シート!$A43="","","")</f>
        <v/>
      </c>
      <c r="AP39" s="25" t="str">
        <f aca="false">IF(入力シート!$A43="","","")</f>
        <v/>
      </c>
      <c r="AQ39" s="25" t="str">
        <f aca="false">IF(入力シート!$A43="","","")</f>
        <v/>
      </c>
    </row>
    <row r="40" customFormat="false" ht="15" hidden="false" customHeight="true" outlineLevel="0" collapsed="false">
      <c r="A40" s="25" t="str">
        <f aca="false">IF(入力シート!$A44="","",1)</f>
        <v/>
      </c>
      <c r="B40" s="25" t="str">
        <f aca="false">IF(入力シート!$A44="","",1)</f>
        <v/>
      </c>
      <c r="C40" s="25" t="str">
        <f aca="false">IF(入力シート!$A44="","",0)</f>
        <v/>
      </c>
      <c r="D40" s="25" t="str">
        <f aca="false">IF(入力シート!$A44="","",TEXT(入力シート!A44,"YYYYMMDD"))</f>
        <v/>
      </c>
      <c r="E40" s="25" t="str">
        <f aca="false">IF(入力シート!$A44="","",TEXT(入力シート!Q44,"00000000"))</f>
        <v/>
      </c>
      <c r="F40" s="25" t="str">
        <f aca="false">IF(入力シート!$A44="","",14)</f>
        <v/>
      </c>
      <c r="G40" s="25" t="str">
        <f aca="false">IF(入力シート!$A44="","",1)</f>
        <v/>
      </c>
      <c r="H40" s="25" t="str">
        <f aca="false">IF(入力シート!$A44="","",1)</f>
        <v/>
      </c>
      <c r="I40" s="25" t="str">
        <f aca="false">IF(入力シート!$A44="","",3)</f>
        <v/>
      </c>
      <c r="J40" s="25" t="str">
        <f aca="false">IF(入力シート!$A44="","",1)</f>
        <v/>
      </c>
      <c r="K40" s="25" t="str">
        <f aca="false">IF(入力シート!$A44="","",入力シート!B44)</f>
        <v/>
      </c>
      <c r="L40" s="25" t="str">
        <f aca="false">IF(入力シート!$A44="","","")</f>
        <v/>
      </c>
      <c r="M40" s="25" t="str">
        <f aca="false">IF(入力シート!$A44="","","")</f>
        <v/>
      </c>
      <c r="N40" s="25" t="str">
        <f aca="false">IF(入力シート!$A44="","",入力シート!R44)</f>
        <v/>
      </c>
      <c r="O40" s="25" t="str">
        <f aca="false">IF(入力シート!$A44="","",IF(入力シート!G44="",1,入力シート!G44))</f>
        <v/>
      </c>
      <c r="P40" s="25" t="str">
        <f aca="false">IF(入力シート!$A44="","",入力シート!D44)</f>
        <v/>
      </c>
      <c r="Q40" s="25" t="str">
        <f aca="false">IF(入力シート!$A44="","","")</f>
        <v/>
      </c>
      <c r="R40" s="25" t="str">
        <f aca="false">IF(入力シート!$A44="","",入力シート!J44)</f>
        <v/>
      </c>
      <c r="S40" s="25" t="str">
        <f aca="false">IF(入力シート!$A44="","",入力シート!L44)</f>
        <v/>
      </c>
      <c r="T40" s="25" t="str">
        <f aca="false">IF(入力シート!$A44="","",入力シート!K44)</f>
        <v/>
      </c>
      <c r="U40" s="25" t="str">
        <f aca="false">IF(入力シート!$A44="","",0)</f>
        <v/>
      </c>
      <c r="V40" s="25" t="str">
        <f aca="false">IF(入力シート!$A44="","",0)</f>
        <v/>
      </c>
      <c r="W40" s="25" t="str">
        <f aca="false">IF(入力シート!$A44="","","0000")</f>
        <v/>
      </c>
      <c r="X40" s="25" t="str">
        <f aca="false">IF(入力シート!$A44="","",入力シート!E44)</f>
        <v/>
      </c>
      <c r="Y40" s="25" t="str">
        <f aca="false">IF(入力シート!$A44="","",入力シート!F44)</f>
        <v/>
      </c>
      <c r="Z40" s="25" t="str">
        <f aca="false">IF(入力シート!$A44="","",入力シート!O44)</f>
        <v/>
      </c>
      <c r="AA40" s="25" t="str">
        <f aca="false">IF(入力シート!$A44="","","")</f>
        <v/>
      </c>
      <c r="AB40" s="25" t="str">
        <f aca="false">IF(入力シート!$A44="","",入力シート!P44)</f>
        <v/>
      </c>
      <c r="AC40" s="25" t="str">
        <f aca="false">IF(入力シート!$A44="","",入力シート!U44)</f>
        <v/>
      </c>
      <c r="AD40" s="25" t="str">
        <f aca="false">IF(入力シート!$A44="","",0)</f>
        <v/>
      </c>
      <c r="AE40" s="25" t="str">
        <f aca="false">IF(入力シート!$A44="","",入力シート!I44)</f>
        <v/>
      </c>
      <c r="AF40" s="25" t="str">
        <f aca="false">IF(入力シート!$A44="","",入力シート!M44)</f>
        <v/>
      </c>
      <c r="AG40" s="25" t="str">
        <f aca="false">IF(入力シート!$A44="","",入力シート!N44)</f>
        <v/>
      </c>
      <c r="AH40" s="25" t="str">
        <f aca="false">IF(入力シート!$A44="","","")</f>
        <v/>
      </c>
      <c r="AI40" s="25" t="str">
        <f aca="false">IF(入力シート!$A44="","","")</f>
        <v/>
      </c>
      <c r="AJ40" s="25" t="str">
        <f aca="false">IF(入力シート!$A44="","","")</f>
        <v/>
      </c>
      <c r="AK40" s="25" t="str">
        <f aca="false">IF(入力シート!$A44="","",2)</f>
        <v/>
      </c>
      <c r="AL40" s="25" t="str">
        <f aca="false">IF(入力シート!$A44="","","")</f>
        <v/>
      </c>
      <c r="AM40" s="25" t="str">
        <f aca="false">IF(入力シート!$A44="","","")</f>
        <v/>
      </c>
      <c r="AN40" s="25" t="str">
        <f aca="false">IF(入力シート!$A44="","",入力シート!C44)</f>
        <v/>
      </c>
      <c r="AO40" s="25" t="str">
        <f aca="false">IF(入力シート!$A44="","","")</f>
        <v/>
      </c>
      <c r="AP40" s="25" t="str">
        <f aca="false">IF(入力シート!$A44="","","")</f>
        <v/>
      </c>
      <c r="AQ40" s="25" t="str">
        <f aca="false">IF(入力シート!$A44="","","")</f>
        <v/>
      </c>
    </row>
    <row r="41" customFormat="false" ht="15" hidden="false" customHeight="true" outlineLevel="0" collapsed="false">
      <c r="A41" s="25" t="str">
        <f aca="false">IF(入力シート!$A45="","",1)</f>
        <v/>
      </c>
      <c r="B41" s="25" t="str">
        <f aca="false">IF(入力シート!$A45="","",1)</f>
        <v/>
      </c>
      <c r="C41" s="25" t="str">
        <f aca="false">IF(入力シート!$A45="","",0)</f>
        <v/>
      </c>
      <c r="D41" s="25" t="str">
        <f aca="false">IF(入力シート!$A45="","",TEXT(入力シート!A45,"YYYYMMDD"))</f>
        <v/>
      </c>
      <c r="E41" s="25" t="str">
        <f aca="false">IF(入力シート!$A45="","",TEXT(入力シート!Q45,"00000000"))</f>
        <v/>
      </c>
      <c r="F41" s="25" t="str">
        <f aca="false">IF(入力シート!$A45="","",14)</f>
        <v/>
      </c>
      <c r="G41" s="25" t="str">
        <f aca="false">IF(入力シート!$A45="","",1)</f>
        <v/>
      </c>
      <c r="H41" s="25" t="str">
        <f aca="false">IF(入力シート!$A45="","",1)</f>
        <v/>
      </c>
      <c r="I41" s="25" t="str">
        <f aca="false">IF(入力シート!$A45="","",3)</f>
        <v/>
      </c>
      <c r="J41" s="25" t="str">
        <f aca="false">IF(入力シート!$A45="","",1)</f>
        <v/>
      </c>
      <c r="K41" s="25" t="str">
        <f aca="false">IF(入力シート!$A45="","",入力シート!B45)</f>
        <v/>
      </c>
      <c r="L41" s="25" t="str">
        <f aca="false">IF(入力シート!$A45="","","")</f>
        <v/>
      </c>
      <c r="M41" s="25" t="str">
        <f aca="false">IF(入力シート!$A45="","","")</f>
        <v/>
      </c>
      <c r="N41" s="25" t="str">
        <f aca="false">IF(入力シート!$A45="","",入力シート!R45)</f>
        <v/>
      </c>
      <c r="O41" s="25" t="str">
        <f aca="false">IF(入力シート!$A45="","",IF(入力シート!G45="",1,入力シート!G45))</f>
        <v/>
      </c>
      <c r="P41" s="25" t="str">
        <f aca="false">IF(入力シート!$A45="","",入力シート!D45)</f>
        <v/>
      </c>
      <c r="Q41" s="25" t="str">
        <f aca="false">IF(入力シート!$A45="","","")</f>
        <v/>
      </c>
      <c r="R41" s="25" t="str">
        <f aca="false">IF(入力シート!$A45="","",入力シート!J45)</f>
        <v/>
      </c>
      <c r="S41" s="25" t="str">
        <f aca="false">IF(入力シート!$A45="","",入力シート!L45)</f>
        <v/>
      </c>
      <c r="T41" s="25" t="str">
        <f aca="false">IF(入力シート!$A45="","",入力シート!K45)</f>
        <v/>
      </c>
      <c r="U41" s="25" t="str">
        <f aca="false">IF(入力シート!$A45="","",0)</f>
        <v/>
      </c>
      <c r="V41" s="25" t="str">
        <f aca="false">IF(入力シート!$A45="","",0)</f>
        <v/>
      </c>
      <c r="W41" s="25" t="str">
        <f aca="false">IF(入力シート!$A45="","","0000")</f>
        <v/>
      </c>
      <c r="X41" s="25" t="str">
        <f aca="false">IF(入力シート!$A45="","",入力シート!E45)</f>
        <v/>
      </c>
      <c r="Y41" s="25" t="str">
        <f aca="false">IF(入力シート!$A45="","",入力シート!F45)</f>
        <v/>
      </c>
      <c r="Z41" s="25" t="str">
        <f aca="false">IF(入力シート!$A45="","",入力シート!O45)</f>
        <v/>
      </c>
      <c r="AA41" s="25" t="str">
        <f aca="false">IF(入力シート!$A45="","","")</f>
        <v/>
      </c>
      <c r="AB41" s="25" t="str">
        <f aca="false">IF(入力シート!$A45="","",入力シート!P45)</f>
        <v/>
      </c>
      <c r="AC41" s="25" t="str">
        <f aca="false">IF(入力シート!$A45="","",入力シート!U45)</f>
        <v/>
      </c>
      <c r="AD41" s="25" t="str">
        <f aca="false">IF(入力シート!$A45="","",0)</f>
        <v/>
      </c>
      <c r="AE41" s="25" t="str">
        <f aca="false">IF(入力シート!$A45="","",入力シート!I45)</f>
        <v/>
      </c>
      <c r="AF41" s="25" t="str">
        <f aca="false">IF(入力シート!$A45="","",入力シート!M45)</f>
        <v/>
      </c>
      <c r="AG41" s="25" t="str">
        <f aca="false">IF(入力シート!$A45="","",入力シート!N45)</f>
        <v/>
      </c>
      <c r="AH41" s="25" t="str">
        <f aca="false">IF(入力シート!$A45="","","")</f>
        <v/>
      </c>
      <c r="AI41" s="25" t="str">
        <f aca="false">IF(入力シート!$A45="","","")</f>
        <v/>
      </c>
      <c r="AJ41" s="25" t="str">
        <f aca="false">IF(入力シート!$A45="","","")</f>
        <v/>
      </c>
      <c r="AK41" s="25" t="str">
        <f aca="false">IF(入力シート!$A45="","",2)</f>
        <v/>
      </c>
      <c r="AL41" s="25" t="str">
        <f aca="false">IF(入力シート!$A45="","","")</f>
        <v/>
      </c>
      <c r="AM41" s="25" t="str">
        <f aca="false">IF(入力シート!$A45="","","")</f>
        <v/>
      </c>
      <c r="AN41" s="25" t="str">
        <f aca="false">IF(入力シート!$A45="","",入力シート!C45)</f>
        <v/>
      </c>
      <c r="AO41" s="25" t="str">
        <f aca="false">IF(入力シート!$A45="","","")</f>
        <v/>
      </c>
      <c r="AP41" s="25" t="str">
        <f aca="false">IF(入力シート!$A45="","","")</f>
        <v/>
      </c>
      <c r="AQ41" s="25" t="str">
        <f aca="false">IF(入力シート!$A45="","","")</f>
        <v/>
      </c>
    </row>
    <row r="42" customFormat="false" ht="15" hidden="false" customHeight="true" outlineLevel="0" collapsed="false">
      <c r="A42" s="25" t="str">
        <f aca="false">IF(入力シート!$A46="","",1)</f>
        <v/>
      </c>
      <c r="B42" s="25" t="str">
        <f aca="false">IF(入力シート!$A46="","",1)</f>
        <v/>
      </c>
      <c r="C42" s="25" t="str">
        <f aca="false">IF(入力シート!$A46="","",0)</f>
        <v/>
      </c>
      <c r="D42" s="25" t="str">
        <f aca="false">IF(入力シート!$A46="","",TEXT(入力シート!A46,"YYYYMMDD"))</f>
        <v/>
      </c>
      <c r="E42" s="25" t="str">
        <f aca="false">IF(入力シート!$A46="","",TEXT(入力シート!Q46,"00000000"))</f>
        <v/>
      </c>
      <c r="F42" s="25" t="str">
        <f aca="false">IF(入力シート!$A46="","",14)</f>
        <v/>
      </c>
      <c r="G42" s="25" t="str">
        <f aca="false">IF(入力シート!$A46="","",1)</f>
        <v/>
      </c>
      <c r="H42" s="25" t="str">
        <f aca="false">IF(入力シート!$A46="","",1)</f>
        <v/>
      </c>
      <c r="I42" s="25" t="str">
        <f aca="false">IF(入力シート!$A46="","",3)</f>
        <v/>
      </c>
      <c r="J42" s="25" t="str">
        <f aca="false">IF(入力シート!$A46="","",1)</f>
        <v/>
      </c>
      <c r="K42" s="25" t="str">
        <f aca="false">IF(入力シート!$A46="","",入力シート!B46)</f>
        <v/>
      </c>
      <c r="L42" s="25" t="str">
        <f aca="false">IF(入力シート!$A46="","","")</f>
        <v/>
      </c>
      <c r="M42" s="25" t="str">
        <f aca="false">IF(入力シート!$A46="","","")</f>
        <v/>
      </c>
      <c r="N42" s="25" t="str">
        <f aca="false">IF(入力シート!$A46="","",入力シート!R46)</f>
        <v/>
      </c>
      <c r="O42" s="25" t="str">
        <f aca="false">IF(入力シート!$A46="","",IF(入力シート!G46="",1,入力シート!G46))</f>
        <v/>
      </c>
      <c r="P42" s="25" t="str">
        <f aca="false">IF(入力シート!$A46="","",入力シート!D46)</f>
        <v/>
      </c>
      <c r="Q42" s="25" t="str">
        <f aca="false">IF(入力シート!$A46="","","")</f>
        <v/>
      </c>
      <c r="R42" s="25" t="str">
        <f aca="false">IF(入力シート!$A46="","",入力シート!J46)</f>
        <v/>
      </c>
      <c r="S42" s="25" t="str">
        <f aca="false">IF(入力シート!$A46="","",入力シート!L46)</f>
        <v/>
      </c>
      <c r="T42" s="25" t="str">
        <f aca="false">IF(入力シート!$A46="","",入力シート!K46)</f>
        <v/>
      </c>
      <c r="U42" s="25" t="str">
        <f aca="false">IF(入力シート!$A46="","",0)</f>
        <v/>
      </c>
      <c r="V42" s="25" t="str">
        <f aca="false">IF(入力シート!$A46="","",0)</f>
        <v/>
      </c>
      <c r="W42" s="25" t="str">
        <f aca="false">IF(入力シート!$A46="","","0000")</f>
        <v/>
      </c>
      <c r="X42" s="25" t="str">
        <f aca="false">IF(入力シート!$A46="","",入力シート!E46)</f>
        <v/>
      </c>
      <c r="Y42" s="25" t="str">
        <f aca="false">IF(入力シート!$A46="","",入力シート!F46)</f>
        <v/>
      </c>
      <c r="Z42" s="25" t="str">
        <f aca="false">IF(入力シート!$A46="","",入力シート!O46)</f>
        <v/>
      </c>
      <c r="AA42" s="25" t="str">
        <f aca="false">IF(入力シート!$A46="","","")</f>
        <v/>
      </c>
      <c r="AB42" s="25" t="str">
        <f aca="false">IF(入力シート!$A46="","",入力シート!P46)</f>
        <v/>
      </c>
      <c r="AC42" s="25" t="str">
        <f aca="false">IF(入力シート!$A46="","",入力シート!U46)</f>
        <v/>
      </c>
      <c r="AD42" s="25" t="str">
        <f aca="false">IF(入力シート!$A46="","",0)</f>
        <v/>
      </c>
      <c r="AE42" s="25" t="str">
        <f aca="false">IF(入力シート!$A46="","",入力シート!I46)</f>
        <v/>
      </c>
      <c r="AF42" s="25" t="str">
        <f aca="false">IF(入力シート!$A46="","",入力シート!M46)</f>
        <v/>
      </c>
      <c r="AG42" s="25" t="str">
        <f aca="false">IF(入力シート!$A46="","",入力シート!N46)</f>
        <v/>
      </c>
      <c r="AH42" s="25" t="str">
        <f aca="false">IF(入力シート!$A46="","","")</f>
        <v/>
      </c>
      <c r="AI42" s="25" t="str">
        <f aca="false">IF(入力シート!$A46="","","")</f>
        <v/>
      </c>
      <c r="AJ42" s="25" t="str">
        <f aca="false">IF(入力シート!$A46="","","")</f>
        <v/>
      </c>
      <c r="AK42" s="25" t="str">
        <f aca="false">IF(入力シート!$A46="","",2)</f>
        <v/>
      </c>
      <c r="AL42" s="25" t="str">
        <f aca="false">IF(入力シート!$A46="","","")</f>
        <v/>
      </c>
      <c r="AM42" s="25" t="str">
        <f aca="false">IF(入力シート!$A46="","","")</f>
        <v/>
      </c>
      <c r="AN42" s="25" t="str">
        <f aca="false">IF(入力シート!$A46="","",入力シート!C46)</f>
        <v/>
      </c>
      <c r="AO42" s="25" t="str">
        <f aca="false">IF(入力シート!$A46="","","")</f>
        <v/>
      </c>
      <c r="AP42" s="25" t="str">
        <f aca="false">IF(入力シート!$A46="","","")</f>
        <v/>
      </c>
      <c r="AQ42" s="25" t="str">
        <f aca="false">IF(入力シート!$A46="","","")</f>
        <v/>
      </c>
    </row>
    <row r="43" customFormat="false" ht="15" hidden="false" customHeight="true" outlineLevel="0" collapsed="false">
      <c r="A43" s="25" t="str">
        <f aca="false">IF(入力シート!$A47="","",1)</f>
        <v/>
      </c>
      <c r="B43" s="25" t="str">
        <f aca="false">IF(入力シート!$A47="","",1)</f>
        <v/>
      </c>
      <c r="C43" s="25" t="str">
        <f aca="false">IF(入力シート!$A47="","",0)</f>
        <v/>
      </c>
      <c r="D43" s="25" t="str">
        <f aca="false">IF(入力シート!$A47="","",TEXT(入力シート!A47,"YYYYMMDD"))</f>
        <v/>
      </c>
      <c r="E43" s="25" t="str">
        <f aca="false">IF(入力シート!$A47="","",TEXT(入力シート!Q47,"00000000"))</f>
        <v/>
      </c>
      <c r="F43" s="25" t="str">
        <f aca="false">IF(入力シート!$A47="","",14)</f>
        <v/>
      </c>
      <c r="G43" s="25" t="str">
        <f aca="false">IF(入力シート!$A47="","",1)</f>
        <v/>
      </c>
      <c r="H43" s="25" t="str">
        <f aca="false">IF(入力シート!$A47="","",1)</f>
        <v/>
      </c>
      <c r="I43" s="25" t="str">
        <f aca="false">IF(入力シート!$A47="","",3)</f>
        <v/>
      </c>
      <c r="J43" s="25" t="str">
        <f aca="false">IF(入力シート!$A47="","",1)</f>
        <v/>
      </c>
      <c r="K43" s="25" t="str">
        <f aca="false">IF(入力シート!$A47="","",入力シート!B47)</f>
        <v/>
      </c>
      <c r="L43" s="25" t="str">
        <f aca="false">IF(入力シート!$A47="","","")</f>
        <v/>
      </c>
      <c r="M43" s="25" t="str">
        <f aca="false">IF(入力シート!$A47="","","")</f>
        <v/>
      </c>
      <c r="N43" s="25" t="str">
        <f aca="false">IF(入力シート!$A47="","",入力シート!R47)</f>
        <v/>
      </c>
      <c r="O43" s="25" t="str">
        <f aca="false">IF(入力シート!$A47="","",IF(入力シート!G47="",1,入力シート!G47))</f>
        <v/>
      </c>
      <c r="P43" s="25" t="str">
        <f aca="false">IF(入力シート!$A47="","",入力シート!D47)</f>
        <v/>
      </c>
      <c r="Q43" s="25" t="str">
        <f aca="false">IF(入力シート!$A47="","","")</f>
        <v/>
      </c>
      <c r="R43" s="25" t="str">
        <f aca="false">IF(入力シート!$A47="","",入力シート!J47)</f>
        <v/>
      </c>
      <c r="S43" s="25" t="str">
        <f aca="false">IF(入力シート!$A47="","",入力シート!L47)</f>
        <v/>
      </c>
      <c r="T43" s="25" t="str">
        <f aca="false">IF(入力シート!$A47="","",入力シート!K47)</f>
        <v/>
      </c>
      <c r="U43" s="25" t="str">
        <f aca="false">IF(入力シート!$A47="","",0)</f>
        <v/>
      </c>
      <c r="V43" s="25" t="str">
        <f aca="false">IF(入力シート!$A47="","",0)</f>
        <v/>
      </c>
      <c r="W43" s="25" t="str">
        <f aca="false">IF(入力シート!$A47="","","0000")</f>
        <v/>
      </c>
      <c r="X43" s="25" t="str">
        <f aca="false">IF(入力シート!$A47="","",入力シート!E47)</f>
        <v/>
      </c>
      <c r="Y43" s="25" t="str">
        <f aca="false">IF(入力シート!$A47="","",入力シート!F47)</f>
        <v/>
      </c>
      <c r="Z43" s="25" t="str">
        <f aca="false">IF(入力シート!$A47="","",入力シート!O47)</f>
        <v/>
      </c>
      <c r="AA43" s="25" t="str">
        <f aca="false">IF(入力シート!$A47="","","")</f>
        <v/>
      </c>
      <c r="AB43" s="25" t="str">
        <f aca="false">IF(入力シート!$A47="","",入力シート!P47)</f>
        <v/>
      </c>
      <c r="AC43" s="25" t="str">
        <f aca="false">IF(入力シート!$A47="","",入力シート!U47)</f>
        <v/>
      </c>
      <c r="AD43" s="25" t="str">
        <f aca="false">IF(入力シート!$A47="","",0)</f>
        <v/>
      </c>
      <c r="AE43" s="25" t="str">
        <f aca="false">IF(入力シート!$A47="","",入力シート!I47)</f>
        <v/>
      </c>
      <c r="AF43" s="25" t="str">
        <f aca="false">IF(入力シート!$A47="","",入力シート!M47)</f>
        <v/>
      </c>
      <c r="AG43" s="25" t="str">
        <f aca="false">IF(入力シート!$A47="","",入力シート!N47)</f>
        <v/>
      </c>
      <c r="AH43" s="25" t="str">
        <f aca="false">IF(入力シート!$A47="","","")</f>
        <v/>
      </c>
      <c r="AI43" s="25" t="str">
        <f aca="false">IF(入力シート!$A47="","","")</f>
        <v/>
      </c>
      <c r="AJ43" s="25" t="str">
        <f aca="false">IF(入力シート!$A47="","","")</f>
        <v/>
      </c>
      <c r="AK43" s="25" t="str">
        <f aca="false">IF(入力シート!$A47="","",2)</f>
        <v/>
      </c>
      <c r="AL43" s="25" t="str">
        <f aca="false">IF(入力シート!$A47="","","")</f>
        <v/>
      </c>
      <c r="AM43" s="25" t="str">
        <f aca="false">IF(入力シート!$A47="","","")</f>
        <v/>
      </c>
      <c r="AN43" s="25" t="str">
        <f aca="false">IF(入力シート!$A47="","",入力シート!C47)</f>
        <v/>
      </c>
      <c r="AO43" s="25" t="str">
        <f aca="false">IF(入力シート!$A47="","","")</f>
        <v/>
      </c>
      <c r="AP43" s="25" t="str">
        <f aca="false">IF(入力シート!$A47="","","")</f>
        <v/>
      </c>
      <c r="AQ43" s="25" t="str">
        <f aca="false">IF(入力シート!$A47="","","")</f>
        <v/>
      </c>
    </row>
    <row r="44" customFormat="false" ht="15" hidden="false" customHeight="true" outlineLevel="0" collapsed="false">
      <c r="A44" s="25" t="str">
        <f aca="false">IF(入力シート!$A48="","",1)</f>
        <v/>
      </c>
      <c r="B44" s="25" t="str">
        <f aca="false">IF(入力シート!$A48="","",1)</f>
        <v/>
      </c>
      <c r="C44" s="25" t="str">
        <f aca="false">IF(入力シート!$A48="","",0)</f>
        <v/>
      </c>
      <c r="D44" s="25" t="str">
        <f aca="false">IF(入力シート!$A48="","",TEXT(入力シート!A48,"YYYYMMDD"))</f>
        <v/>
      </c>
      <c r="E44" s="25" t="str">
        <f aca="false">IF(入力シート!$A48="","",TEXT(入力シート!Q48,"00000000"))</f>
        <v/>
      </c>
      <c r="F44" s="25" t="str">
        <f aca="false">IF(入力シート!$A48="","",14)</f>
        <v/>
      </c>
      <c r="G44" s="25" t="str">
        <f aca="false">IF(入力シート!$A48="","",1)</f>
        <v/>
      </c>
      <c r="H44" s="25" t="str">
        <f aca="false">IF(入力シート!$A48="","",1)</f>
        <v/>
      </c>
      <c r="I44" s="25" t="str">
        <f aca="false">IF(入力シート!$A48="","",3)</f>
        <v/>
      </c>
      <c r="J44" s="25" t="str">
        <f aca="false">IF(入力シート!$A48="","",1)</f>
        <v/>
      </c>
      <c r="K44" s="25" t="str">
        <f aca="false">IF(入力シート!$A48="","",入力シート!B48)</f>
        <v/>
      </c>
      <c r="L44" s="25" t="str">
        <f aca="false">IF(入力シート!$A48="","","")</f>
        <v/>
      </c>
      <c r="M44" s="25" t="str">
        <f aca="false">IF(入力シート!$A48="","","")</f>
        <v/>
      </c>
      <c r="N44" s="25" t="str">
        <f aca="false">IF(入力シート!$A48="","",入力シート!R48)</f>
        <v/>
      </c>
      <c r="O44" s="25" t="str">
        <f aca="false">IF(入力シート!$A48="","",IF(入力シート!G48="",1,入力シート!G48))</f>
        <v/>
      </c>
      <c r="P44" s="25" t="str">
        <f aca="false">IF(入力シート!$A48="","",入力シート!D48)</f>
        <v/>
      </c>
      <c r="Q44" s="25" t="str">
        <f aca="false">IF(入力シート!$A48="","","")</f>
        <v/>
      </c>
      <c r="R44" s="25" t="str">
        <f aca="false">IF(入力シート!$A48="","",入力シート!J48)</f>
        <v/>
      </c>
      <c r="S44" s="25" t="str">
        <f aca="false">IF(入力シート!$A48="","",入力シート!L48)</f>
        <v/>
      </c>
      <c r="T44" s="25" t="str">
        <f aca="false">IF(入力シート!$A48="","",入力シート!K48)</f>
        <v/>
      </c>
      <c r="U44" s="25" t="str">
        <f aca="false">IF(入力シート!$A48="","",0)</f>
        <v/>
      </c>
      <c r="V44" s="25" t="str">
        <f aca="false">IF(入力シート!$A48="","",0)</f>
        <v/>
      </c>
      <c r="W44" s="25" t="str">
        <f aca="false">IF(入力シート!$A48="","","0000")</f>
        <v/>
      </c>
      <c r="X44" s="25" t="str">
        <f aca="false">IF(入力シート!$A48="","",入力シート!E48)</f>
        <v/>
      </c>
      <c r="Y44" s="25" t="str">
        <f aca="false">IF(入力シート!$A48="","",入力シート!F48)</f>
        <v/>
      </c>
      <c r="Z44" s="25" t="str">
        <f aca="false">IF(入力シート!$A48="","",入力シート!O48)</f>
        <v/>
      </c>
      <c r="AA44" s="25" t="str">
        <f aca="false">IF(入力シート!$A48="","","")</f>
        <v/>
      </c>
      <c r="AB44" s="25" t="str">
        <f aca="false">IF(入力シート!$A48="","",入力シート!P48)</f>
        <v/>
      </c>
      <c r="AC44" s="25" t="str">
        <f aca="false">IF(入力シート!$A48="","",入力シート!U48)</f>
        <v/>
      </c>
      <c r="AD44" s="25" t="str">
        <f aca="false">IF(入力シート!$A48="","",0)</f>
        <v/>
      </c>
      <c r="AE44" s="25" t="str">
        <f aca="false">IF(入力シート!$A48="","",入力シート!I48)</f>
        <v/>
      </c>
      <c r="AF44" s="25" t="str">
        <f aca="false">IF(入力シート!$A48="","",入力シート!M48)</f>
        <v/>
      </c>
      <c r="AG44" s="25" t="str">
        <f aca="false">IF(入力シート!$A48="","",入力シート!N48)</f>
        <v/>
      </c>
      <c r="AH44" s="25" t="str">
        <f aca="false">IF(入力シート!$A48="","","")</f>
        <v/>
      </c>
      <c r="AI44" s="25" t="str">
        <f aca="false">IF(入力シート!$A48="","","")</f>
        <v/>
      </c>
      <c r="AJ44" s="25" t="str">
        <f aca="false">IF(入力シート!$A48="","","")</f>
        <v/>
      </c>
      <c r="AK44" s="25" t="str">
        <f aca="false">IF(入力シート!$A48="","",2)</f>
        <v/>
      </c>
      <c r="AL44" s="25" t="str">
        <f aca="false">IF(入力シート!$A48="","","")</f>
        <v/>
      </c>
      <c r="AM44" s="25" t="str">
        <f aca="false">IF(入力シート!$A48="","","")</f>
        <v/>
      </c>
      <c r="AN44" s="25" t="str">
        <f aca="false">IF(入力シート!$A48="","",入力シート!C48)</f>
        <v/>
      </c>
      <c r="AO44" s="25" t="str">
        <f aca="false">IF(入力シート!$A48="","","")</f>
        <v/>
      </c>
      <c r="AP44" s="25" t="str">
        <f aca="false">IF(入力シート!$A48="","","")</f>
        <v/>
      </c>
      <c r="AQ44" s="25" t="str">
        <f aca="false">IF(入力シート!$A48="","","")</f>
        <v/>
      </c>
    </row>
    <row r="45" customFormat="false" ht="15" hidden="false" customHeight="true" outlineLevel="0" collapsed="false">
      <c r="A45" s="25" t="str">
        <f aca="false">IF(入力シート!$A49="","",1)</f>
        <v/>
      </c>
      <c r="B45" s="25" t="str">
        <f aca="false">IF(入力シート!$A49="","",1)</f>
        <v/>
      </c>
      <c r="C45" s="25" t="str">
        <f aca="false">IF(入力シート!$A49="","",0)</f>
        <v/>
      </c>
      <c r="D45" s="25" t="str">
        <f aca="false">IF(入力シート!$A49="","",TEXT(入力シート!A49,"YYYYMMDD"))</f>
        <v/>
      </c>
      <c r="E45" s="25" t="str">
        <f aca="false">IF(入力シート!$A49="","",TEXT(入力シート!Q49,"00000000"))</f>
        <v/>
      </c>
      <c r="F45" s="25" t="str">
        <f aca="false">IF(入力シート!$A49="","",14)</f>
        <v/>
      </c>
      <c r="G45" s="25" t="str">
        <f aca="false">IF(入力シート!$A49="","",1)</f>
        <v/>
      </c>
      <c r="H45" s="25" t="str">
        <f aca="false">IF(入力シート!$A49="","",1)</f>
        <v/>
      </c>
      <c r="I45" s="25" t="str">
        <f aca="false">IF(入力シート!$A49="","",3)</f>
        <v/>
      </c>
      <c r="J45" s="25" t="str">
        <f aca="false">IF(入力シート!$A49="","",1)</f>
        <v/>
      </c>
      <c r="K45" s="25" t="str">
        <f aca="false">IF(入力シート!$A49="","",入力シート!B49)</f>
        <v/>
      </c>
      <c r="L45" s="25" t="str">
        <f aca="false">IF(入力シート!$A49="","","")</f>
        <v/>
      </c>
      <c r="M45" s="25" t="str">
        <f aca="false">IF(入力シート!$A49="","","")</f>
        <v/>
      </c>
      <c r="N45" s="25" t="str">
        <f aca="false">IF(入力シート!$A49="","",入力シート!R49)</f>
        <v/>
      </c>
      <c r="O45" s="25" t="str">
        <f aca="false">IF(入力シート!$A49="","",IF(入力シート!G49="",1,入力シート!G49))</f>
        <v/>
      </c>
      <c r="P45" s="25" t="str">
        <f aca="false">IF(入力シート!$A49="","",入力シート!D49)</f>
        <v/>
      </c>
      <c r="Q45" s="25" t="str">
        <f aca="false">IF(入力シート!$A49="","","")</f>
        <v/>
      </c>
      <c r="R45" s="25" t="str">
        <f aca="false">IF(入力シート!$A49="","",入力シート!J49)</f>
        <v/>
      </c>
      <c r="S45" s="25" t="str">
        <f aca="false">IF(入力シート!$A49="","",入力シート!L49)</f>
        <v/>
      </c>
      <c r="T45" s="25" t="str">
        <f aca="false">IF(入力シート!$A49="","",入力シート!K49)</f>
        <v/>
      </c>
      <c r="U45" s="25" t="str">
        <f aca="false">IF(入力シート!$A49="","",0)</f>
        <v/>
      </c>
      <c r="V45" s="25" t="str">
        <f aca="false">IF(入力シート!$A49="","",0)</f>
        <v/>
      </c>
      <c r="W45" s="25" t="str">
        <f aca="false">IF(入力シート!$A49="","","0000")</f>
        <v/>
      </c>
      <c r="X45" s="25" t="str">
        <f aca="false">IF(入力シート!$A49="","",入力シート!E49)</f>
        <v/>
      </c>
      <c r="Y45" s="25" t="str">
        <f aca="false">IF(入力シート!$A49="","",入力シート!F49)</f>
        <v/>
      </c>
      <c r="Z45" s="25" t="str">
        <f aca="false">IF(入力シート!$A49="","",入力シート!O49)</f>
        <v/>
      </c>
      <c r="AA45" s="25" t="str">
        <f aca="false">IF(入力シート!$A49="","","")</f>
        <v/>
      </c>
      <c r="AB45" s="25" t="str">
        <f aca="false">IF(入力シート!$A49="","",入力シート!P49)</f>
        <v/>
      </c>
      <c r="AC45" s="25" t="str">
        <f aca="false">IF(入力シート!$A49="","",入力シート!U49)</f>
        <v/>
      </c>
      <c r="AD45" s="25" t="str">
        <f aca="false">IF(入力シート!$A49="","",0)</f>
        <v/>
      </c>
      <c r="AE45" s="25" t="str">
        <f aca="false">IF(入力シート!$A49="","",入力シート!I49)</f>
        <v/>
      </c>
      <c r="AF45" s="25" t="str">
        <f aca="false">IF(入力シート!$A49="","",入力シート!M49)</f>
        <v/>
      </c>
      <c r="AG45" s="25" t="str">
        <f aca="false">IF(入力シート!$A49="","",入力シート!N49)</f>
        <v/>
      </c>
      <c r="AH45" s="25" t="str">
        <f aca="false">IF(入力シート!$A49="","","")</f>
        <v/>
      </c>
      <c r="AI45" s="25" t="str">
        <f aca="false">IF(入力シート!$A49="","","")</f>
        <v/>
      </c>
      <c r="AJ45" s="25" t="str">
        <f aca="false">IF(入力シート!$A49="","","")</f>
        <v/>
      </c>
      <c r="AK45" s="25" t="str">
        <f aca="false">IF(入力シート!$A49="","",2)</f>
        <v/>
      </c>
      <c r="AL45" s="25" t="str">
        <f aca="false">IF(入力シート!$A49="","","")</f>
        <v/>
      </c>
      <c r="AM45" s="25" t="str">
        <f aca="false">IF(入力シート!$A49="","","")</f>
        <v/>
      </c>
      <c r="AN45" s="25" t="str">
        <f aca="false">IF(入力シート!$A49="","",入力シート!C49)</f>
        <v/>
      </c>
      <c r="AO45" s="25" t="str">
        <f aca="false">IF(入力シート!$A49="","","")</f>
        <v/>
      </c>
      <c r="AP45" s="25" t="str">
        <f aca="false">IF(入力シート!$A49="","","")</f>
        <v/>
      </c>
      <c r="AQ45" s="25" t="str">
        <f aca="false">IF(入力シート!$A49="","","")</f>
        <v/>
      </c>
    </row>
    <row r="46" customFormat="false" ht="15" hidden="false" customHeight="true" outlineLevel="0" collapsed="false">
      <c r="A46" s="25" t="str">
        <f aca="false">IF(入力シート!$A50="","",1)</f>
        <v/>
      </c>
      <c r="B46" s="25" t="str">
        <f aca="false">IF(入力シート!$A50="","",1)</f>
        <v/>
      </c>
      <c r="C46" s="25" t="str">
        <f aca="false">IF(入力シート!$A50="","",0)</f>
        <v/>
      </c>
      <c r="D46" s="25" t="str">
        <f aca="false">IF(入力シート!$A50="","",TEXT(入力シート!A50,"YYYYMMDD"))</f>
        <v/>
      </c>
      <c r="E46" s="25" t="str">
        <f aca="false">IF(入力シート!$A50="","",TEXT(入力シート!Q50,"00000000"))</f>
        <v/>
      </c>
      <c r="F46" s="25" t="str">
        <f aca="false">IF(入力シート!$A50="","",14)</f>
        <v/>
      </c>
      <c r="G46" s="25" t="str">
        <f aca="false">IF(入力シート!$A50="","",1)</f>
        <v/>
      </c>
      <c r="H46" s="25" t="str">
        <f aca="false">IF(入力シート!$A50="","",1)</f>
        <v/>
      </c>
      <c r="I46" s="25" t="str">
        <f aca="false">IF(入力シート!$A50="","",3)</f>
        <v/>
      </c>
      <c r="J46" s="25" t="str">
        <f aca="false">IF(入力シート!$A50="","",1)</f>
        <v/>
      </c>
      <c r="K46" s="25" t="str">
        <f aca="false">IF(入力シート!$A50="","",入力シート!B50)</f>
        <v/>
      </c>
      <c r="L46" s="25" t="str">
        <f aca="false">IF(入力シート!$A50="","","")</f>
        <v/>
      </c>
      <c r="M46" s="25" t="str">
        <f aca="false">IF(入力シート!$A50="","","")</f>
        <v/>
      </c>
      <c r="N46" s="25" t="str">
        <f aca="false">IF(入力シート!$A50="","",入力シート!R50)</f>
        <v/>
      </c>
      <c r="O46" s="25" t="str">
        <f aca="false">IF(入力シート!$A50="","",IF(入力シート!G50="",1,入力シート!G50))</f>
        <v/>
      </c>
      <c r="P46" s="25" t="str">
        <f aca="false">IF(入力シート!$A50="","",入力シート!D50)</f>
        <v/>
      </c>
      <c r="Q46" s="25" t="str">
        <f aca="false">IF(入力シート!$A50="","","")</f>
        <v/>
      </c>
      <c r="R46" s="25" t="str">
        <f aca="false">IF(入力シート!$A50="","",入力シート!J50)</f>
        <v/>
      </c>
      <c r="S46" s="25" t="str">
        <f aca="false">IF(入力シート!$A50="","",入力シート!L50)</f>
        <v/>
      </c>
      <c r="T46" s="25" t="str">
        <f aca="false">IF(入力シート!$A50="","",入力シート!K50)</f>
        <v/>
      </c>
      <c r="U46" s="25" t="str">
        <f aca="false">IF(入力シート!$A50="","",0)</f>
        <v/>
      </c>
      <c r="V46" s="25" t="str">
        <f aca="false">IF(入力シート!$A50="","",0)</f>
        <v/>
      </c>
      <c r="W46" s="25" t="str">
        <f aca="false">IF(入力シート!$A50="","","0000")</f>
        <v/>
      </c>
      <c r="X46" s="25" t="str">
        <f aca="false">IF(入力シート!$A50="","",入力シート!E50)</f>
        <v/>
      </c>
      <c r="Y46" s="25" t="str">
        <f aca="false">IF(入力シート!$A50="","",入力シート!F50)</f>
        <v/>
      </c>
      <c r="Z46" s="25" t="str">
        <f aca="false">IF(入力シート!$A50="","",入力シート!O50)</f>
        <v/>
      </c>
      <c r="AA46" s="25" t="str">
        <f aca="false">IF(入力シート!$A50="","","")</f>
        <v/>
      </c>
      <c r="AB46" s="25" t="str">
        <f aca="false">IF(入力シート!$A50="","",入力シート!P50)</f>
        <v/>
      </c>
      <c r="AC46" s="25" t="str">
        <f aca="false">IF(入力シート!$A50="","",入力シート!U50)</f>
        <v/>
      </c>
      <c r="AD46" s="25" t="str">
        <f aca="false">IF(入力シート!$A50="","",0)</f>
        <v/>
      </c>
      <c r="AE46" s="25" t="str">
        <f aca="false">IF(入力シート!$A50="","",入力シート!I50)</f>
        <v/>
      </c>
      <c r="AF46" s="25" t="str">
        <f aca="false">IF(入力シート!$A50="","",入力シート!M50)</f>
        <v/>
      </c>
      <c r="AG46" s="25" t="str">
        <f aca="false">IF(入力シート!$A50="","",入力シート!N50)</f>
        <v/>
      </c>
      <c r="AH46" s="25" t="str">
        <f aca="false">IF(入力シート!$A50="","","")</f>
        <v/>
      </c>
      <c r="AI46" s="25" t="str">
        <f aca="false">IF(入力シート!$A50="","","")</f>
        <v/>
      </c>
      <c r="AJ46" s="25" t="str">
        <f aca="false">IF(入力シート!$A50="","","")</f>
        <v/>
      </c>
      <c r="AK46" s="25" t="str">
        <f aca="false">IF(入力シート!$A50="","",2)</f>
        <v/>
      </c>
      <c r="AL46" s="25" t="str">
        <f aca="false">IF(入力シート!$A50="","","")</f>
        <v/>
      </c>
      <c r="AM46" s="25" t="str">
        <f aca="false">IF(入力シート!$A50="","","")</f>
        <v/>
      </c>
      <c r="AN46" s="25" t="str">
        <f aca="false">IF(入力シート!$A50="","",入力シート!C50)</f>
        <v/>
      </c>
      <c r="AO46" s="25" t="str">
        <f aca="false">IF(入力シート!$A50="","","")</f>
        <v/>
      </c>
      <c r="AP46" s="25" t="str">
        <f aca="false">IF(入力シート!$A50="","","")</f>
        <v/>
      </c>
      <c r="AQ46" s="25" t="str">
        <f aca="false">IF(入力シート!$A50="","","")</f>
        <v/>
      </c>
    </row>
    <row r="47" customFormat="false" ht="15" hidden="false" customHeight="true" outlineLevel="0" collapsed="false">
      <c r="A47" s="25" t="str">
        <f aca="false">IF(入力シート!$A51="","",1)</f>
        <v/>
      </c>
      <c r="B47" s="25" t="str">
        <f aca="false">IF(入力シート!$A51="","",1)</f>
        <v/>
      </c>
      <c r="C47" s="25" t="str">
        <f aca="false">IF(入力シート!$A51="","",0)</f>
        <v/>
      </c>
      <c r="D47" s="25" t="str">
        <f aca="false">IF(入力シート!$A51="","",TEXT(入力シート!A51,"YYYYMMDD"))</f>
        <v/>
      </c>
      <c r="E47" s="25" t="str">
        <f aca="false">IF(入力シート!$A51="","",TEXT(入力シート!Q51,"00000000"))</f>
        <v/>
      </c>
      <c r="F47" s="25" t="str">
        <f aca="false">IF(入力シート!$A51="","",14)</f>
        <v/>
      </c>
      <c r="G47" s="25" t="str">
        <f aca="false">IF(入力シート!$A51="","",1)</f>
        <v/>
      </c>
      <c r="H47" s="25" t="str">
        <f aca="false">IF(入力シート!$A51="","",1)</f>
        <v/>
      </c>
      <c r="I47" s="25" t="str">
        <f aca="false">IF(入力シート!$A51="","",3)</f>
        <v/>
      </c>
      <c r="J47" s="25" t="str">
        <f aca="false">IF(入力シート!$A51="","",1)</f>
        <v/>
      </c>
      <c r="K47" s="25" t="str">
        <f aca="false">IF(入力シート!$A51="","",入力シート!B51)</f>
        <v/>
      </c>
      <c r="L47" s="25" t="str">
        <f aca="false">IF(入力シート!$A51="","","")</f>
        <v/>
      </c>
      <c r="M47" s="25" t="str">
        <f aca="false">IF(入力シート!$A51="","","")</f>
        <v/>
      </c>
      <c r="N47" s="25" t="str">
        <f aca="false">IF(入力シート!$A51="","",入力シート!R51)</f>
        <v/>
      </c>
      <c r="O47" s="25" t="str">
        <f aca="false">IF(入力シート!$A51="","",IF(入力シート!G51="",1,入力シート!G51))</f>
        <v/>
      </c>
      <c r="P47" s="25" t="str">
        <f aca="false">IF(入力シート!$A51="","",入力シート!D51)</f>
        <v/>
      </c>
      <c r="Q47" s="25" t="str">
        <f aca="false">IF(入力シート!$A51="","","")</f>
        <v/>
      </c>
      <c r="R47" s="25" t="str">
        <f aca="false">IF(入力シート!$A51="","",入力シート!J51)</f>
        <v/>
      </c>
      <c r="S47" s="25" t="str">
        <f aca="false">IF(入力シート!$A51="","",入力シート!L51)</f>
        <v/>
      </c>
      <c r="T47" s="25" t="str">
        <f aca="false">IF(入力シート!$A51="","",入力シート!K51)</f>
        <v/>
      </c>
      <c r="U47" s="25" t="str">
        <f aca="false">IF(入力シート!$A51="","",0)</f>
        <v/>
      </c>
      <c r="V47" s="25" t="str">
        <f aca="false">IF(入力シート!$A51="","",0)</f>
        <v/>
      </c>
      <c r="W47" s="25" t="str">
        <f aca="false">IF(入力シート!$A51="","","0000")</f>
        <v/>
      </c>
      <c r="X47" s="25" t="str">
        <f aca="false">IF(入力シート!$A51="","",入力シート!E51)</f>
        <v/>
      </c>
      <c r="Y47" s="25" t="str">
        <f aca="false">IF(入力シート!$A51="","",入力シート!F51)</f>
        <v/>
      </c>
      <c r="Z47" s="25" t="str">
        <f aca="false">IF(入力シート!$A51="","",入力シート!O51)</f>
        <v/>
      </c>
      <c r="AA47" s="25" t="str">
        <f aca="false">IF(入力シート!$A51="","","")</f>
        <v/>
      </c>
      <c r="AB47" s="25" t="str">
        <f aca="false">IF(入力シート!$A51="","",入力シート!P51)</f>
        <v/>
      </c>
      <c r="AC47" s="25" t="str">
        <f aca="false">IF(入力シート!$A51="","",入力シート!U51)</f>
        <v/>
      </c>
      <c r="AD47" s="25" t="str">
        <f aca="false">IF(入力シート!$A51="","",0)</f>
        <v/>
      </c>
      <c r="AE47" s="25" t="str">
        <f aca="false">IF(入力シート!$A51="","",入力シート!I51)</f>
        <v/>
      </c>
      <c r="AF47" s="25" t="str">
        <f aca="false">IF(入力シート!$A51="","",入力シート!M51)</f>
        <v/>
      </c>
      <c r="AG47" s="25" t="str">
        <f aca="false">IF(入力シート!$A51="","",入力シート!N51)</f>
        <v/>
      </c>
      <c r="AH47" s="25" t="str">
        <f aca="false">IF(入力シート!$A51="","","")</f>
        <v/>
      </c>
      <c r="AI47" s="25" t="str">
        <f aca="false">IF(入力シート!$A51="","","")</f>
        <v/>
      </c>
      <c r="AJ47" s="25" t="str">
        <f aca="false">IF(入力シート!$A51="","","")</f>
        <v/>
      </c>
      <c r="AK47" s="25" t="str">
        <f aca="false">IF(入力シート!$A51="","",2)</f>
        <v/>
      </c>
      <c r="AL47" s="25" t="str">
        <f aca="false">IF(入力シート!$A51="","","")</f>
        <v/>
      </c>
      <c r="AM47" s="25" t="str">
        <f aca="false">IF(入力シート!$A51="","","")</f>
        <v/>
      </c>
      <c r="AN47" s="25" t="str">
        <f aca="false">IF(入力シート!$A51="","",入力シート!C51)</f>
        <v/>
      </c>
      <c r="AO47" s="25" t="str">
        <f aca="false">IF(入力シート!$A51="","","")</f>
        <v/>
      </c>
      <c r="AP47" s="25" t="str">
        <f aca="false">IF(入力シート!$A51="","","")</f>
        <v/>
      </c>
      <c r="AQ47" s="25" t="str">
        <f aca="false">IF(入力シート!$A51="","","")</f>
        <v/>
      </c>
    </row>
    <row r="48" customFormat="false" ht="15" hidden="false" customHeight="true" outlineLevel="0" collapsed="false">
      <c r="A48" s="25" t="str">
        <f aca="false">IF(入力シート!$A52="","",1)</f>
        <v/>
      </c>
      <c r="B48" s="25" t="str">
        <f aca="false">IF(入力シート!$A52="","",1)</f>
        <v/>
      </c>
      <c r="C48" s="25" t="str">
        <f aca="false">IF(入力シート!$A52="","",0)</f>
        <v/>
      </c>
      <c r="D48" s="25" t="str">
        <f aca="false">IF(入力シート!$A52="","",TEXT(入力シート!A52,"YYYYMMDD"))</f>
        <v/>
      </c>
      <c r="E48" s="25" t="str">
        <f aca="false">IF(入力シート!$A52="","",TEXT(入力シート!Q52,"00000000"))</f>
        <v/>
      </c>
      <c r="F48" s="25" t="str">
        <f aca="false">IF(入力シート!$A52="","",14)</f>
        <v/>
      </c>
      <c r="G48" s="25" t="str">
        <f aca="false">IF(入力シート!$A52="","",1)</f>
        <v/>
      </c>
      <c r="H48" s="25" t="str">
        <f aca="false">IF(入力シート!$A52="","",1)</f>
        <v/>
      </c>
      <c r="I48" s="25" t="str">
        <f aca="false">IF(入力シート!$A52="","",3)</f>
        <v/>
      </c>
      <c r="J48" s="25" t="str">
        <f aca="false">IF(入力シート!$A52="","",1)</f>
        <v/>
      </c>
      <c r="K48" s="25" t="str">
        <f aca="false">IF(入力シート!$A52="","",入力シート!B52)</f>
        <v/>
      </c>
      <c r="L48" s="25" t="str">
        <f aca="false">IF(入力シート!$A52="","","")</f>
        <v/>
      </c>
      <c r="M48" s="25" t="str">
        <f aca="false">IF(入力シート!$A52="","","")</f>
        <v/>
      </c>
      <c r="N48" s="25" t="str">
        <f aca="false">IF(入力シート!$A52="","",入力シート!R52)</f>
        <v/>
      </c>
      <c r="O48" s="25" t="str">
        <f aca="false">IF(入力シート!$A52="","",IF(入力シート!G52="",1,入力シート!G52))</f>
        <v/>
      </c>
      <c r="P48" s="25" t="str">
        <f aca="false">IF(入力シート!$A52="","",入力シート!D52)</f>
        <v/>
      </c>
      <c r="Q48" s="25" t="str">
        <f aca="false">IF(入力シート!$A52="","","")</f>
        <v/>
      </c>
      <c r="R48" s="25" t="str">
        <f aca="false">IF(入力シート!$A52="","",入力シート!J52)</f>
        <v/>
      </c>
      <c r="S48" s="25" t="str">
        <f aca="false">IF(入力シート!$A52="","",入力シート!L52)</f>
        <v/>
      </c>
      <c r="T48" s="25" t="str">
        <f aca="false">IF(入力シート!$A52="","",入力シート!K52)</f>
        <v/>
      </c>
      <c r="U48" s="25" t="str">
        <f aca="false">IF(入力シート!$A52="","",0)</f>
        <v/>
      </c>
      <c r="V48" s="25" t="str">
        <f aca="false">IF(入力シート!$A52="","",0)</f>
        <v/>
      </c>
      <c r="W48" s="25" t="str">
        <f aca="false">IF(入力シート!$A52="","","0000")</f>
        <v/>
      </c>
      <c r="X48" s="25" t="str">
        <f aca="false">IF(入力シート!$A52="","",入力シート!E52)</f>
        <v/>
      </c>
      <c r="Y48" s="25" t="str">
        <f aca="false">IF(入力シート!$A52="","",入力シート!F52)</f>
        <v/>
      </c>
      <c r="Z48" s="25" t="str">
        <f aca="false">IF(入力シート!$A52="","",入力シート!O52)</f>
        <v/>
      </c>
      <c r="AA48" s="25" t="str">
        <f aca="false">IF(入力シート!$A52="","","")</f>
        <v/>
      </c>
      <c r="AB48" s="25" t="str">
        <f aca="false">IF(入力シート!$A52="","",入力シート!P52)</f>
        <v/>
      </c>
      <c r="AC48" s="25" t="str">
        <f aca="false">IF(入力シート!$A52="","",入力シート!U52)</f>
        <v/>
      </c>
      <c r="AD48" s="25" t="str">
        <f aca="false">IF(入力シート!$A52="","",0)</f>
        <v/>
      </c>
      <c r="AE48" s="25" t="str">
        <f aca="false">IF(入力シート!$A52="","",入力シート!I52)</f>
        <v/>
      </c>
      <c r="AF48" s="25" t="str">
        <f aca="false">IF(入力シート!$A52="","",入力シート!M52)</f>
        <v/>
      </c>
      <c r="AG48" s="25" t="str">
        <f aca="false">IF(入力シート!$A52="","",入力シート!N52)</f>
        <v/>
      </c>
      <c r="AH48" s="25" t="str">
        <f aca="false">IF(入力シート!$A52="","","")</f>
        <v/>
      </c>
      <c r="AI48" s="25" t="str">
        <f aca="false">IF(入力シート!$A52="","","")</f>
        <v/>
      </c>
      <c r="AJ48" s="25" t="str">
        <f aca="false">IF(入力シート!$A52="","","")</f>
        <v/>
      </c>
      <c r="AK48" s="25" t="str">
        <f aca="false">IF(入力シート!$A52="","",2)</f>
        <v/>
      </c>
      <c r="AL48" s="25" t="str">
        <f aca="false">IF(入力シート!$A52="","","")</f>
        <v/>
      </c>
      <c r="AM48" s="25" t="str">
        <f aca="false">IF(入力シート!$A52="","","")</f>
        <v/>
      </c>
      <c r="AN48" s="25" t="str">
        <f aca="false">IF(入力シート!$A52="","",入力シート!C52)</f>
        <v/>
      </c>
      <c r="AO48" s="25" t="str">
        <f aca="false">IF(入力シート!$A52="","","")</f>
        <v/>
      </c>
      <c r="AP48" s="25" t="str">
        <f aca="false">IF(入力シート!$A52="","","")</f>
        <v/>
      </c>
      <c r="AQ48" s="25" t="str">
        <f aca="false">IF(入力シート!$A52="","","")</f>
        <v/>
      </c>
    </row>
    <row r="49" customFormat="false" ht="15" hidden="false" customHeight="true" outlineLevel="0" collapsed="false">
      <c r="A49" s="25" t="str">
        <f aca="false">IF(入力シート!$A53="","",1)</f>
        <v/>
      </c>
      <c r="B49" s="25" t="str">
        <f aca="false">IF(入力シート!$A53="","",1)</f>
        <v/>
      </c>
      <c r="C49" s="25" t="str">
        <f aca="false">IF(入力シート!$A53="","",0)</f>
        <v/>
      </c>
      <c r="D49" s="25" t="str">
        <f aca="false">IF(入力シート!$A53="","",TEXT(入力シート!A53,"YYYYMMDD"))</f>
        <v/>
      </c>
      <c r="E49" s="25" t="str">
        <f aca="false">IF(入力シート!$A53="","",TEXT(入力シート!Q53,"00000000"))</f>
        <v/>
      </c>
      <c r="F49" s="25" t="str">
        <f aca="false">IF(入力シート!$A53="","",14)</f>
        <v/>
      </c>
      <c r="G49" s="25" t="str">
        <f aca="false">IF(入力シート!$A53="","",1)</f>
        <v/>
      </c>
      <c r="H49" s="25" t="str">
        <f aca="false">IF(入力シート!$A53="","",1)</f>
        <v/>
      </c>
      <c r="I49" s="25" t="str">
        <f aca="false">IF(入力シート!$A53="","",3)</f>
        <v/>
      </c>
      <c r="J49" s="25" t="str">
        <f aca="false">IF(入力シート!$A53="","",1)</f>
        <v/>
      </c>
      <c r="K49" s="25" t="str">
        <f aca="false">IF(入力シート!$A53="","",入力シート!B53)</f>
        <v/>
      </c>
      <c r="L49" s="25" t="str">
        <f aca="false">IF(入力シート!$A53="","","")</f>
        <v/>
      </c>
      <c r="M49" s="25" t="str">
        <f aca="false">IF(入力シート!$A53="","","")</f>
        <v/>
      </c>
      <c r="N49" s="25" t="str">
        <f aca="false">IF(入力シート!$A53="","",入力シート!R53)</f>
        <v/>
      </c>
      <c r="O49" s="25" t="str">
        <f aca="false">IF(入力シート!$A53="","",IF(入力シート!G53="",1,入力シート!G53))</f>
        <v/>
      </c>
      <c r="P49" s="25" t="str">
        <f aca="false">IF(入力シート!$A53="","",入力シート!D53)</f>
        <v/>
      </c>
      <c r="Q49" s="25" t="str">
        <f aca="false">IF(入力シート!$A53="","","")</f>
        <v/>
      </c>
      <c r="R49" s="25" t="str">
        <f aca="false">IF(入力シート!$A53="","",入力シート!J53)</f>
        <v/>
      </c>
      <c r="S49" s="25" t="str">
        <f aca="false">IF(入力シート!$A53="","",入力シート!L53)</f>
        <v/>
      </c>
      <c r="T49" s="25" t="str">
        <f aca="false">IF(入力シート!$A53="","",入力シート!K53)</f>
        <v/>
      </c>
      <c r="U49" s="25" t="str">
        <f aca="false">IF(入力シート!$A53="","",0)</f>
        <v/>
      </c>
      <c r="V49" s="25" t="str">
        <f aca="false">IF(入力シート!$A53="","",0)</f>
        <v/>
      </c>
      <c r="W49" s="25" t="str">
        <f aca="false">IF(入力シート!$A53="","","0000")</f>
        <v/>
      </c>
      <c r="X49" s="25" t="str">
        <f aca="false">IF(入力シート!$A53="","",入力シート!E53)</f>
        <v/>
      </c>
      <c r="Y49" s="25" t="str">
        <f aca="false">IF(入力シート!$A53="","",入力シート!F53)</f>
        <v/>
      </c>
      <c r="Z49" s="25" t="str">
        <f aca="false">IF(入力シート!$A53="","",入力シート!O53)</f>
        <v/>
      </c>
      <c r="AA49" s="25" t="str">
        <f aca="false">IF(入力シート!$A53="","","")</f>
        <v/>
      </c>
      <c r="AB49" s="25" t="str">
        <f aca="false">IF(入力シート!$A53="","",入力シート!P53)</f>
        <v/>
      </c>
      <c r="AC49" s="25" t="str">
        <f aca="false">IF(入力シート!$A53="","",入力シート!U53)</f>
        <v/>
      </c>
      <c r="AD49" s="25" t="str">
        <f aca="false">IF(入力シート!$A53="","",0)</f>
        <v/>
      </c>
      <c r="AE49" s="25" t="str">
        <f aca="false">IF(入力シート!$A53="","",入力シート!I53)</f>
        <v/>
      </c>
      <c r="AF49" s="25" t="str">
        <f aca="false">IF(入力シート!$A53="","",入力シート!M53)</f>
        <v/>
      </c>
      <c r="AG49" s="25" t="str">
        <f aca="false">IF(入力シート!$A53="","",入力シート!N53)</f>
        <v/>
      </c>
      <c r="AH49" s="25" t="str">
        <f aca="false">IF(入力シート!$A53="","","")</f>
        <v/>
      </c>
      <c r="AI49" s="25" t="str">
        <f aca="false">IF(入力シート!$A53="","","")</f>
        <v/>
      </c>
      <c r="AJ49" s="25" t="str">
        <f aca="false">IF(入力シート!$A53="","","")</f>
        <v/>
      </c>
      <c r="AK49" s="25" t="str">
        <f aca="false">IF(入力シート!$A53="","",2)</f>
        <v/>
      </c>
      <c r="AL49" s="25" t="str">
        <f aca="false">IF(入力シート!$A53="","","")</f>
        <v/>
      </c>
      <c r="AM49" s="25" t="str">
        <f aca="false">IF(入力シート!$A53="","","")</f>
        <v/>
      </c>
      <c r="AN49" s="25" t="str">
        <f aca="false">IF(入力シート!$A53="","",入力シート!C53)</f>
        <v/>
      </c>
      <c r="AO49" s="25" t="str">
        <f aca="false">IF(入力シート!$A53="","","")</f>
        <v/>
      </c>
      <c r="AP49" s="25" t="str">
        <f aca="false">IF(入力シート!$A53="","","")</f>
        <v/>
      </c>
      <c r="AQ49" s="25" t="str">
        <f aca="false">IF(入力シート!$A53="","","")</f>
        <v/>
      </c>
    </row>
    <row r="50" customFormat="false" ht="15" hidden="false" customHeight="true" outlineLevel="0" collapsed="false">
      <c r="A50" s="25" t="str">
        <f aca="false">IF(入力シート!$A54="","",1)</f>
        <v/>
      </c>
      <c r="B50" s="25" t="str">
        <f aca="false">IF(入力シート!$A54="","",1)</f>
        <v/>
      </c>
      <c r="C50" s="25" t="str">
        <f aca="false">IF(入力シート!$A54="","",0)</f>
        <v/>
      </c>
      <c r="D50" s="25" t="str">
        <f aca="false">IF(入力シート!$A54="","",TEXT(入力シート!A54,"YYYYMMDD"))</f>
        <v/>
      </c>
      <c r="E50" s="25" t="str">
        <f aca="false">IF(入力シート!$A54="","",TEXT(入力シート!Q54,"00000000"))</f>
        <v/>
      </c>
      <c r="F50" s="25" t="str">
        <f aca="false">IF(入力シート!$A54="","",14)</f>
        <v/>
      </c>
      <c r="G50" s="25" t="str">
        <f aca="false">IF(入力シート!$A54="","",1)</f>
        <v/>
      </c>
      <c r="H50" s="25" t="str">
        <f aca="false">IF(入力シート!$A54="","",1)</f>
        <v/>
      </c>
      <c r="I50" s="25" t="str">
        <f aca="false">IF(入力シート!$A54="","",3)</f>
        <v/>
      </c>
      <c r="J50" s="25" t="str">
        <f aca="false">IF(入力シート!$A54="","",1)</f>
        <v/>
      </c>
      <c r="K50" s="25" t="str">
        <f aca="false">IF(入力シート!$A54="","",入力シート!B54)</f>
        <v/>
      </c>
      <c r="L50" s="25" t="str">
        <f aca="false">IF(入力シート!$A54="","","")</f>
        <v/>
      </c>
      <c r="M50" s="25" t="str">
        <f aca="false">IF(入力シート!$A54="","","")</f>
        <v/>
      </c>
      <c r="N50" s="25" t="str">
        <f aca="false">IF(入力シート!$A54="","",入力シート!R54)</f>
        <v/>
      </c>
      <c r="O50" s="25" t="str">
        <f aca="false">IF(入力シート!$A54="","",IF(入力シート!G54="",1,入力シート!G54))</f>
        <v/>
      </c>
      <c r="P50" s="25" t="str">
        <f aca="false">IF(入力シート!$A54="","",入力シート!D54)</f>
        <v/>
      </c>
      <c r="Q50" s="25" t="str">
        <f aca="false">IF(入力シート!$A54="","","")</f>
        <v/>
      </c>
      <c r="R50" s="25" t="str">
        <f aca="false">IF(入力シート!$A54="","",入力シート!J54)</f>
        <v/>
      </c>
      <c r="S50" s="25" t="str">
        <f aca="false">IF(入力シート!$A54="","",入力シート!L54)</f>
        <v/>
      </c>
      <c r="T50" s="25" t="str">
        <f aca="false">IF(入力シート!$A54="","",入力シート!K54)</f>
        <v/>
      </c>
      <c r="U50" s="25" t="str">
        <f aca="false">IF(入力シート!$A54="","",0)</f>
        <v/>
      </c>
      <c r="V50" s="25" t="str">
        <f aca="false">IF(入力シート!$A54="","",0)</f>
        <v/>
      </c>
      <c r="W50" s="25" t="str">
        <f aca="false">IF(入力シート!$A54="","","0000")</f>
        <v/>
      </c>
      <c r="X50" s="25" t="str">
        <f aca="false">IF(入力シート!$A54="","",入力シート!E54)</f>
        <v/>
      </c>
      <c r="Y50" s="25" t="str">
        <f aca="false">IF(入力シート!$A54="","",入力シート!F54)</f>
        <v/>
      </c>
      <c r="Z50" s="25" t="str">
        <f aca="false">IF(入力シート!$A54="","",入力シート!O54)</f>
        <v/>
      </c>
      <c r="AA50" s="25" t="str">
        <f aca="false">IF(入力シート!$A54="","","")</f>
        <v/>
      </c>
      <c r="AB50" s="25" t="str">
        <f aca="false">IF(入力シート!$A54="","",入力シート!P54)</f>
        <v/>
      </c>
      <c r="AC50" s="25" t="str">
        <f aca="false">IF(入力シート!$A54="","",入力シート!U54)</f>
        <v/>
      </c>
      <c r="AD50" s="25" t="str">
        <f aca="false">IF(入力シート!$A54="","",0)</f>
        <v/>
      </c>
      <c r="AE50" s="25" t="str">
        <f aca="false">IF(入力シート!$A54="","",入力シート!I54)</f>
        <v/>
      </c>
      <c r="AF50" s="25" t="str">
        <f aca="false">IF(入力シート!$A54="","",入力シート!M54)</f>
        <v/>
      </c>
      <c r="AG50" s="25" t="str">
        <f aca="false">IF(入力シート!$A54="","",入力シート!N54)</f>
        <v/>
      </c>
      <c r="AH50" s="25" t="str">
        <f aca="false">IF(入力シート!$A54="","","")</f>
        <v/>
      </c>
      <c r="AI50" s="25" t="str">
        <f aca="false">IF(入力シート!$A54="","","")</f>
        <v/>
      </c>
      <c r="AJ50" s="25" t="str">
        <f aca="false">IF(入力シート!$A54="","","")</f>
        <v/>
      </c>
      <c r="AK50" s="25" t="str">
        <f aca="false">IF(入力シート!$A54="","",2)</f>
        <v/>
      </c>
      <c r="AL50" s="25" t="str">
        <f aca="false">IF(入力シート!$A54="","","")</f>
        <v/>
      </c>
      <c r="AM50" s="25" t="str">
        <f aca="false">IF(入力シート!$A54="","","")</f>
        <v/>
      </c>
      <c r="AN50" s="25" t="str">
        <f aca="false">IF(入力シート!$A54="","",入力シート!C54)</f>
        <v/>
      </c>
      <c r="AO50" s="25" t="str">
        <f aca="false">IF(入力シート!$A54="","","")</f>
        <v/>
      </c>
      <c r="AP50" s="25" t="str">
        <f aca="false">IF(入力シート!$A54="","","")</f>
        <v/>
      </c>
      <c r="AQ50" s="25" t="str">
        <f aca="false">IF(入力シート!$A54="","","")</f>
        <v/>
      </c>
    </row>
    <row r="51" customFormat="false" ht="15" hidden="false" customHeight="true" outlineLevel="0" collapsed="false">
      <c r="A51" s="25" t="str">
        <f aca="false">IF(入力シート!$A55="","",1)</f>
        <v/>
      </c>
      <c r="B51" s="25" t="str">
        <f aca="false">IF(入力シート!$A55="","",1)</f>
        <v/>
      </c>
      <c r="C51" s="25" t="str">
        <f aca="false">IF(入力シート!$A55="","",0)</f>
        <v/>
      </c>
      <c r="D51" s="25" t="str">
        <f aca="false">IF(入力シート!$A55="","",TEXT(入力シート!A55,"YYYYMMDD"))</f>
        <v/>
      </c>
      <c r="E51" s="25" t="str">
        <f aca="false">IF(入力シート!$A55="","",TEXT(入力シート!Q55,"00000000"))</f>
        <v/>
      </c>
      <c r="F51" s="25" t="str">
        <f aca="false">IF(入力シート!$A55="","",14)</f>
        <v/>
      </c>
      <c r="G51" s="25" t="str">
        <f aca="false">IF(入力シート!$A55="","",1)</f>
        <v/>
      </c>
      <c r="H51" s="25" t="str">
        <f aca="false">IF(入力シート!$A55="","",1)</f>
        <v/>
      </c>
      <c r="I51" s="25" t="str">
        <f aca="false">IF(入力シート!$A55="","",3)</f>
        <v/>
      </c>
      <c r="J51" s="25" t="str">
        <f aca="false">IF(入力シート!$A55="","",1)</f>
        <v/>
      </c>
      <c r="K51" s="25" t="str">
        <f aca="false">IF(入力シート!$A55="","",入力シート!B55)</f>
        <v/>
      </c>
      <c r="L51" s="25" t="str">
        <f aca="false">IF(入力シート!$A55="","","")</f>
        <v/>
      </c>
      <c r="M51" s="25" t="str">
        <f aca="false">IF(入力シート!$A55="","","")</f>
        <v/>
      </c>
      <c r="N51" s="25" t="str">
        <f aca="false">IF(入力シート!$A55="","",入力シート!R55)</f>
        <v/>
      </c>
      <c r="O51" s="25" t="str">
        <f aca="false">IF(入力シート!$A55="","",IF(入力シート!G55="",1,入力シート!G55))</f>
        <v/>
      </c>
      <c r="P51" s="25" t="str">
        <f aca="false">IF(入力シート!$A55="","",入力シート!D55)</f>
        <v/>
      </c>
      <c r="Q51" s="25" t="str">
        <f aca="false">IF(入力シート!$A55="","","")</f>
        <v/>
      </c>
      <c r="R51" s="25" t="str">
        <f aca="false">IF(入力シート!$A55="","",入力シート!J55)</f>
        <v/>
      </c>
      <c r="S51" s="25" t="str">
        <f aca="false">IF(入力シート!$A55="","",入力シート!L55)</f>
        <v/>
      </c>
      <c r="T51" s="25" t="str">
        <f aca="false">IF(入力シート!$A55="","",入力シート!K55)</f>
        <v/>
      </c>
      <c r="U51" s="25" t="str">
        <f aca="false">IF(入力シート!$A55="","",0)</f>
        <v/>
      </c>
      <c r="V51" s="25" t="str">
        <f aca="false">IF(入力シート!$A55="","",0)</f>
        <v/>
      </c>
      <c r="W51" s="25" t="str">
        <f aca="false">IF(入力シート!$A55="","","0000")</f>
        <v/>
      </c>
      <c r="X51" s="25" t="str">
        <f aca="false">IF(入力シート!$A55="","",入力シート!E55)</f>
        <v/>
      </c>
      <c r="Y51" s="25" t="str">
        <f aca="false">IF(入力シート!$A55="","",入力シート!F55)</f>
        <v/>
      </c>
      <c r="Z51" s="25" t="str">
        <f aca="false">IF(入力シート!$A55="","",入力シート!O55)</f>
        <v/>
      </c>
      <c r="AA51" s="25" t="str">
        <f aca="false">IF(入力シート!$A55="","","")</f>
        <v/>
      </c>
      <c r="AB51" s="25" t="str">
        <f aca="false">IF(入力シート!$A55="","",入力シート!P55)</f>
        <v/>
      </c>
      <c r="AC51" s="25" t="str">
        <f aca="false">IF(入力シート!$A55="","",入力シート!U55)</f>
        <v/>
      </c>
      <c r="AD51" s="25" t="str">
        <f aca="false">IF(入力シート!$A55="","",0)</f>
        <v/>
      </c>
      <c r="AE51" s="25" t="str">
        <f aca="false">IF(入力シート!$A55="","",入力シート!I55)</f>
        <v/>
      </c>
      <c r="AF51" s="25" t="str">
        <f aca="false">IF(入力シート!$A55="","",入力シート!M55)</f>
        <v/>
      </c>
      <c r="AG51" s="25" t="str">
        <f aca="false">IF(入力シート!$A55="","",入力シート!N55)</f>
        <v/>
      </c>
      <c r="AH51" s="25" t="str">
        <f aca="false">IF(入力シート!$A55="","","")</f>
        <v/>
      </c>
      <c r="AI51" s="25" t="str">
        <f aca="false">IF(入力シート!$A55="","","")</f>
        <v/>
      </c>
      <c r="AJ51" s="25" t="str">
        <f aca="false">IF(入力シート!$A55="","","")</f>
        <v/>
      </c>
      <c r="AK51" s="25" t="str">
        <f aca="false">IF(入力シート!$A55="","",2)</f>
        <v/>
      </c>
      <c r="AL51" s="25" t="str">
        <f aca="false">IF(入力シート!$A55="","","")</f>
        <v/>
      </c>
      <c r="AM51" s="25" t="str">
        <f aca="false">IF(入力シート!$A55="","","")</f>
        <v/>
      </c>
      <c r="AN51" s="25" t="str">
        <f aca="false">IF(入力シート!$A55="","",入力シート!C55)</f>
        <v/>
      </c>
      <c r="AO51" s="25" t="str">
        <f aca="false">IF(入力シート!$A55="","","")</f>
        <v/>
      </c>
      <c r="AP51" s="25" t="str">
        <f aca="false">IF(入力シート!$A55="","","")</f>
        <v/>
      </c>
      <c r="AQ51" s="25" t="str">
        <f aca="false">IF(入力シート!$A55="","","")</f>
        <v/>
      </c>
    </row>
    <row r="52" customFormat="false" ht="15" hidden="false" customHeight="true" outlineLevel="0" collapsed="false">
      <c r="A52" s="25" t="str">
        <f aca="false">IF(入力シート!$A56="","",1)</f>
        <v/>
      </c>
      <c r="B52" s="25" t="str">
        <f aca="false">IF(入力シート!$A56="","",1)</f>
        <v/>
      </c>
      <c r="C52" s="25" t="str">
        <f aca="false">IF(入力シート!$A56="","",0)</f>
        <v/>
      </c>
      <c r="D52" s="25" t="str">
        <f aca="false">IF(入力シート!$A56="","",TEXT(入力シート!A56,"YYYYMMDD"))</f>
        <v/>
      </c>
      <c r="E52" s="25" t="str">
        <f aca="false">IF(入力シート!$A56="","",TEXT(入力シート!Q56,"00000000"))</f>
        <v/>
      </c>
      <c r="F52" s="25" t="str">
        <f aca="false">IF(入力シート!$A56="","",14)</f>
        <v/>
      </c>
      <c r="G52" s="25" t="str">
        <f aca="false">IF(入力シート!$A56="","",1)</f>
        <v/>
      </c>
      <c r="H52" s="25" t="str">
        <f aca="false">IF(入力シート!$A56="","",1)</f>
        <v/>
      </c>
      <c r="I52" s="25" t="str">
        <f aca="false">IF(入力シート!$A56="","",3)</f>
        <v/>
      </c>
      <c r="J52" s="25" t="str">
        <f aca="false">IF(入力シート!$A56="","",1)</f>
        <v/>
      </c>
      <c r="K52" s="25" t="str">
        <f aca="false">IF(入力シート!$A56="","",入力シート!B56)</f>
        <v/>
      </c>
      <c r="L52" s="25" t="str">
        <f aca="false">IF(入力シート!$A56="","","")</f>
        <v/>
      </c>
      <c r="M52" s="25" t="str">
        <f aca="false">IF(入力シート!$A56="","","")</f>
        <v/>
      </c>
      <c r="N52" s="25" t="str">
        <f aca="false">IF(入力シート!$A56="","",入力シート!R56)</f>
        <v/>
      </c>
      <c r="O52" s="25" t="str">
        <f aca="false">IF(入力シート!$A56="","",IF(入力シート!G56="",1,入力シート!G56))</f>
        <v/>
      </c>
      <c r="P52" s="25" t="str">
        <f aca="false">IF(入力シート!$A56="","",入力シート!D56)</f>
        <v/>
      </c>
      <c r="Q52" s="25" t="str">
        <f aca="false">IF(入力シート!$A56="","","")</f>
        <v/>
      </c>
      <c r="R52" s="25" t="str">
        <f aca="false">IF(入力シート!$A56="","",入力シート!J56)</f>
        <v/>
      </c>
      <c r="S52" s="25" t="str">
        <f aca="false">IF(入力シート!$A56="","",入力シート!L56)</f>
        <v/>
      </c>
      <c r="T52" s="25" t="str">
        <f aca="false">IF(入力シート!$A56="","",入力シート!K56)</f>
        <v/>
      </c>
      <c r="U52" s="25" t="str">
        <f aca="false">IF(入力シート!$A56="","",0)</f>
        <v/>
      </c>
      <c r="V52" s="25" t="str">
        <f aca="false">IF(入力シート!$A56="","",0)</f>
        <v/>
      </c>
      <c r="W52" s="25" t="str">
        <f aca="false">IF(入力シート!$A56="","","0000")</f>
        <v/>
      </c>
      <c r="X52" s="25" t="str">
        <f aca="false">IF(入力シート!$A56="","",入力シート!E56)</f>
        <v/>
      </c>
      <c r="Y52" s="25" t="str">
        <f aca="false">IF(入力シート!$A56="","",入力シート!F56)</f>
        <v/>
      </c>
      <c r="Z52" s="25" t="str">
        <f aca="false">IF(入力シート!$A56="","",入力シート!O56)</f>
        <v/>
      </c>
      <c r="AA52" s="25" t="str">
        <f aca="false">IF(入力シート!$A56="","","")</f>
        <v/>
      </c>
      <c r="AB52" s="25" t="str">
        <f aca="false">IF(入力シート!$A56="","",入力シート!P56)</f>
        <v/>
      </c>
      <c r="AC52" s="25" t="str">
        <f aca="false">IF(入力シート!$A56="","",入力シート!U56)</f>
        <v/>
      </c>
      <c r="AD52" s="25" t="str">
        <f aca="false">IF(入力シート!$A56="","",0)</f>
        <v/>
      </c>
      <c r="AE52" s="25" t="str">
        <f aca="false">IF(入力シート!$A56="","",入力シート!I56)</f>
        <v/>
      </c>
      <c r="AF52" s="25" t="str">
        <f aca="false">IF(入力シート!$A56="","",入力シート!M56)</f>
        <v/>
      </c>
      <c r="AG52" s="25" t="str">
        <f aca="false">IF(入力シート!$A56="","",入力シート!N56)</f>
        <v/>
      </c>
      <c r="AH52" s="25" t="str">
        <f aca="false">IF(入力シート!$A56="","","")</f>
        <v/>
      </c>
      <c r="AI52" s="25" t="str">
        <f aca="false">IF(入力シート!$A56="","","")</f>
        <v/>
      </c>
      <c r="AJ52" s="25" t="str">
        <f aca="false">IF(入力シート!$A56="","","")</f>
        <v/>
      </c>
      <c r="AK52" s="25" t="str">
        <f aca="false">IF(入力シート!$A56="","",2)</f>
        <v/>
      </c>
      <c r="AL52" s="25" t="str">
        <f aca="false">IF(入力シート!$A56="","","")</f>
        <v/>
      </c>
      <c r="AM52" s="25" t="str">
        <f aca="false">IF(入力シート!$A56="","","")</f>
        <v/>
      </c>
      <c r="AN52" s="25" t="str">
        <f aca="false">IF(入力シート!$A56="","",入力シート!C56)</f>
        <v/>
      </c>
      <c r="AO52" s="25" t="str">
        <f aca="false">IF(入力シート!$A56="","","")</f>
        <v/>
      </c>
      <c r="AP52" s="25" t="str">
        <f aca="false">IF(入力シート!$A56="","","")</f>
        <v/>
      </c>
      <c r="AQ52" s="25" t="str">
        <f aca="false">IF(入力シート!$A56="","","")</f>
        <v/>
      </c>
    </row>
    <row r="53" customFormat="false" ht="15" hidden="false" customHeight="true" outlineLevel="0" collapsed="false">
      <c r="A53" s="25" t="str">
        <f aca="false">IF(入力シート!$A57="","",1)</f>
        <v/>
      </c>
      <c r="B53" s="25" t="str">
        <f aca="false">IF(入力シート!$A57="","",1)</f>
        <v/>
      </c>
      <c r="C53" s="25" t="str">
        <f aca="false">IF(入力シート!$A57="","",0)</f>
        <v/>
      </c>
      <c r="D53" s="25" t="str">
        <f aca="false">IF(入力シート!$A57="","",TEXT(入力シート!A57,"YYYYMMDD"))</f>
        <v/>
      </c>
      <c r="E53" s="25" t="str">
        <f aca="false">IF(入力シート!$A57="","",TEXT(入力シート!Q57,"00000000"))</f>
        <v/>
      </c>
      <c r="F53" s="25" t="str">
        <f aca="false">IF(入力シート!$A57="","",14)</f>
        <v/>
      </c>
      <c r="G53" s="25" t="str">
        <f aca="false">IF(入力シート!$A57="","",1)</f>
        <v/>
      </c>
      <c r="H53" s="25" t="str">
        <f aca="false">IF(入力シート!$A57="","",1)</f>
        <v/>
      </c>
      <c r="I53" s="25" t="str">
        <f aca="false">IF(入力シート!$A57="","",3)</f>
        <v/>
      </c>
      <c r="J53" s="25" t="str">
        <f aca="false">IF(入力シート!$A57="","",1)</f>
        <v/>
      </c>
      <c r="K53" s="25" t="str">
        <f aca="false">IF(入力シート!$A57="","",入力シート!B57)</f>
        <v/>
      </c>
      <c r="L53" s="25" t="str">
        <f aca="false">IF(入力シート!$A57="","","")</f>
        <v/>
      </c>
      <c r="M53" s="25" t="str">
        <f aca="false">IF(入力シート!$A57="","","")</f>
        <v/>
      </c>
      <c r="N53" s="25" t="str">
        <f aca="false">IF(入力シート!$A57="","",入力シート!R57)</f>
        <v/>
      </c>
      <c r="O53" s="25" t="str">
        <f aca="false">IF(入力シート!$A57="","",IF(入力シート!G57="",1,入力シート!G57))</f>
        <v/>
      </c>
      <c r="P53" s="25" t="str">
        <f aca="false">IF(入力シート!$A57="","",入力シート!D57)</f>
        <v/>
      </c>
      <c r="Q53" s="25" t="str">
        <f aca="false">IF(入力シート!$A57="","","")</f>
        <v/>
      </c>
      <c r="R53" s="25" t="str">
        <f aca="false">IF(入力シート!$A57="","",入力シート!J57)</f>
        <v/>
      </c>
      <c r="S53" s="25" t="str">
        <f aca="false">IF(入力シート!$A57="","",入力シート!L57)</f>
        <v/>
      </c>
      <c r="T53" s="25" t="str">
        <f aca="false">IF(入力シート!$A57="","",入力シート!K57)</f>
        <v/>
      </c>
      <c r="U53" s="25" t="str">
        <f aca="false">IF(入力シート!$A57="","",0)</f>
        <v/>
      </c>
      <c r="V53" s="25" t="str">
        <f aca="false">IF(入力シート!$A57="","",0)</f>
        <v/>
      </c>
      <c r="W53" s="25" t="str">
        <f aca="false">IF(入力シート!$A57="","","0000")</f>
        <v/>
      </c>
      <c r="X53" s="25" t="str">
        <f aca="false">IF(入力シート!$A57="","",入力シート!E57)</f>
        <v/>
      </c>
      <c r="Y53" s="25" t="str">
        <f aca="false">IF(入力シート!$A57="","",入力シート!F57)</f>
        <v/>
      </c>
      <c r="Z53" s="25" t="str">
        <f aca="false">IF(入力シート!$A57="","",入力シート!O57)</f>
        <v/>
      </c>
      <c r="AA53" s="25" t="str">
        <f aca="false">IF(入力シート!$A57="","","")</f>
        <v/>
      </c>
      <c r="AB53" s="25" t="str">
        <f aca="false">IF(入力シート!$A57="","",入力シート!P57)</f>
        <v/>
      </c>
      <c r="AC53" s="25" t="str">
        <f aca="false">IF(入力シート!$A57="","",入力シート!U57)</f>
        <v/>
      </c>
      <c r="AD53" s="25" t="str">
        <f aca="false">IF(入力シート!$A57="","",0)</f>
        <v/>
      </c>
      <c r="AE53" s="25" t="str">
        <f aca="false">IF(入力シート!$A57="","",入力シート!I57)</f>
        <v/>
      </c>
      <c r="AF53" s="25" t="str">
        <f aca="false">IF(入力シート!$A57="","",入力シート!M57)</f>
        <v/>
      </c>
      <c r="AG53" s="25" t="str">
        <f aca="false">IF(入力シート!$A57="","",入力シート!N57)</f>
        <v/>
      </c>
      <c r="AH53" s="25" t="str">
        <f aca="false">IF(入力シート!$A57="","","")</f>
        <v/>
      </c>
      <c r="AI53" s="25" t="str">
        <f aca="false">IF(入力シート!$A57="","","")</f>
        <v/>
      </c>
      <c r="AJ53" s="25" t="str">
        <f aca="false">IF(入力シート!$A57="","","")</f>
        <v/>
      </c>
      <c r="AK53" s="25" t="str">
        <f aca="false">IF(入力シート!$A57="","",2)</f>
        <v/>
      </c>
      <c r="AL53" s="25" t="str">
        <f aca="false">IF(入力シート!$A57="","","")</f>
        <v/>
      </c>
      <c r="AM53" s="25" t="str">
        <f aca="false">IF(入力シート!$A57="","","")</f>
        <v/>
      </c>
      <c r="AN53" s="25" t="str">
        <f aca="false">IF(入力シート!$A57="","",入力シート!C57)</f>
        <v/>
      </c>
      <c r="AO53" s="25" t="str">
        <f aca="false">IF(入力シート!$A57="","","")</f>
        <v/>
      </c>
      <c r="AP53" s="25" t="str">
        <f aca="false">IF(入力シート!$A57="","","")</f>
        <v/>
      </c>
      <c r="AQ53" s="25" t="str">
        <f aca="false">IF(入力シート!$A57="","","")</f>
        <v/>
      </c>
    </row>
    <row r="54" customFormat="false" ht="15" hidden="false" customHeight="true" outlineLevel="0" collapsed="false">
      <c r="A54" s="25" t="str">
        <f aca="false">IF(入力シート!$A58="","",1)</f>
        <v/>
      </c>
      <c r="B54" s="25" t="str">
        <f aca="false">IF(入力シート!$A58="","",1)</f>
        <v/>
      </c>
      <c r="C54" s="25" t="str">
        <f aca="false">IF(入力シート!$A58="","",0)</f>
        <v/>
      </c>
      <c r="D54" s="25" t="str">
        <f aca="false">IF(入力シート!$A58="","",TEXT(入力シート!A58,"YYYYMMDD"))</f>
        <v/>
      </c>
      <c r="E54" s="25" t="str">
        <f aca="false">IF(入力シート!$A58="","",TEXT(入力シート!Q58,"00000000"))</f>
        <v/>
      </c>
      <c r="F54" s="25" t="str">
        <f aca="false">IF(入力シート!$A58="","",14)</f>
        <v/>
      </c>
      <c r="G54" s="25" t="str">
        <f aca="false">IF(入力シート!$A58="","",1)</f>
        <v/>
      </c>
      <c r="H54" s="25" t="str">
        <f aca="false">IF(入力シート!$A58="","",1)</f>
        <v/>
      </c>
      <c r="I54" s="25" t="str">
        <f aca="false">IF(入力シート!$A58="","",3)</f>
        <v/>
      </c>
      <c r="J54" s="25" t="str">
        <f aca="false">IF(入力シート!$A58="","",1)</f>
        <v/>
      </c>
      <c r="K54" s="25" t="str">
        <f aca="false">IF(入力シート!$A58="","",入力シート!B58)</f>
        <v/>
      </c>
      <c r="L54" s="25" t="str">
        <f aca="false">IF(入力シート!$A58="","","")</f>
        <v/>
      </c>
      <c r="M54" s="25" t="str">
        <f aca="false">IF(入力シート!$A58="","","")</f>
        <v/>
      </c>
      <c r="N54" s="25" t="str">
        <f aca="false">IF(入力シート!$A58="","",入力シート!R58)</f>
        <v/>
      </c>
      <c r="O54" s="25" t="str">
        <f aca="false">IF(入力シート!$A58="","",IF(入力シート!G58="",1,入力シート!G58))</f>
        <v/>
      </c>
      <c r="P54" s="25" t="str">
        <f aca="false">IF(入力シート!$A58="","",入力シート!D58)</f>
        <v/>
      </c>
      <c r="Q54" s="25" t="str">
        <f aca="false">IF(入力シート!$A58="","","")</f>
        <v/>
      </c>
      <c r="R54" s="25" t="str">
        <f aca="false">IF(入力シート!$A58="","",入力シート!J58)</f>
        <v/>
      </c>
      <c r="S54" s="25" t="str">
        <f aca="false">IF(入力シート!$A58="","",入力シート!L58)</f>
        <v/>
      </c>
      <c r="T54" s="25" t="str">
        <f aca="false">IF(入力シート!$A58="","",入力シート!K58)</f>
        <v/>
      </c>
      <c r="U54" s="25" t="str">
        <f aca="false">IF(入力シート!$A58="","",0)</f>
        <v/>
      </c>
      <c r="V54" s="25" t="str">
        <f aca="false">IF(入力シート!$A58="","",0)</f>
        <v/>
      </c>
      <c r="W54" s="25" t="str">
        <f aca="false">IF(入力シート!$A58="","","0000")</f>
        <v/>
      </c>
      <c r="X54" s="25" t="str">
        <f aca="false">IF(入力シート!$A58="","",入力シート!E58)</f>
        <v/>
      </c>
      <c r="Y54" s="25" t="str">
        <f aca="false">IF(入力シート!$A58="","",入力シート!F58)</f>
        <v/>
      </c>
      <c r="Z54" s="25" t="str">
        <f aca="false">IF(入力シート!$A58="","",入力シート!O58)</f>
        <v/>
      </c>
      <c r="AA54" s="25" t="str">
        <f aca="false">IF(入力シート!$A58="","","")</f>
        <v/>
      </c>
      <c r="AB54" s="25" t="str">
        <f aca="false">IF(入力シート!$A58="","",入力シート!P58)</f>
        <v/>
      </c>
      <c r="AC54" s="25" t="str">
        <f aca="false">IF(入力シート!$A58="","",入力シート!U58)</f>
        <v/>
      </c>
      <c r="AD54" s="25" t="str">
        <f aca="false">IF(入力シート!$A58="","",0)</f>
        <v/>
      </c>
      <c r="AE54" s="25" t="str">
        <f aca="false">IF(入力シート!$A58="","",入力シート!I58)</f>
        <v/>
      </c>
      <c r="AF54" s="25" t="str">
        <f aca="false">IF(入力シート!$A58="","",入力シート!M58)</f>
        <v/>
      </c>
      <c r="AG54" s="25" t="str">
        <f aca="false">IF(入力シート!$A58="","",入力シート!N58)</f>
        <v/>
      </c>
      <c r="AH54" s="25" t="str">
        <f aca="false">IF(入力シート!$A58="","","")</f>
        <v/>
      </c>
      <c r="AI54" s="25" t="str">
        <f aca="false">IF(入力シート!$A58="","","")</f>
        <v/>
      </c>
      <c r="AJ54" s="25" t="str">
        <f aca="false">IF(入力シート!$A58="","","")</f>
        <v/>
      </c>
      <c r="AK54" s="25" t="str">
        <f aca="false">IF(入力シート!$A58="","",2)</f>
        <v/>
      </c>
      <c r="AL54" s="25" t="str">
        <f aca="false">IF(入力シート!$A58="","","")</f>
        <v/>
      </c>
      <c r="AM54" s="25" t="str">
        <f aca="false">IF(入力シート!$A58="","","")</f>
        <v/>
      </c>
      <c r="AN54" s="25" t="str">
        <f aca="false">IF(入力シート!$A58="","",入力シート!C58)</f>
        <v/>
      </c>
      <c r="AO54" s="25" t="str">
        <f aca="false">IF(入力シート!$A58="","","")</f>
        <v/>
      </c>
      <c r="AP54" s="25" t="str">
        <f aca="false">IF(入力シート!$A58="","","")</f>
        <v/>
      </c>
      <c r="AQ54" s="25" t="str">
        <f aca="false">IF(入力シート!$A58="","","")</f>
        <v/>
      </c>
    </row>
    <row r="55" customFormat="false" ht="15" hidden="false" customHeight="true" outlineLevel="0" collapsed="false">
      <c r="A55" s="25" t="str">
        <f aca="false">IF(入力シート!$A59="","",1)</f>
        <v/>
      </c>
      <c r="B55" s="25" t="str">
        <f aca="false">IF(入力シート!$A59="","",1)</f>
        <v/>
      </c>
      <c r="C55" s="25" t="str">
        <f aca="false">IF(入力シート!$A59="","",0)</f>
        <v/>
      </c>
      <c r="D55" s="25" t="str">
        <f aca="false">IF(入力シート!$A59="","",TEXT(入力シート!A59,"YYYYMMDD"))</f>
        <v/>
      </c>
      <c r="E55" s="25" t="str">
        <f aca="false">IF(入力シート!$A59="","",TEXT(入力シート!Q59,"00000000"))</f>
        <v/>
      </c>
      <c r="F55" s="25" t="str">
        <f aca="false">IF(入力シート!$A59="","",14)</f>
        <v/>
      </c>
      <c r="G55" s="25" t="str">
        <f aca="false">IF(入力シート!$A59="","",1)</f>
        <v/>
      </c>
      <c r="H55" s="25" t="str">
        <f aca="false">IF(入力シート!$A59="","",1)</f>
        <v/>
      </c>
      <c r="I55" s="25" t="str">
        <f aca="false">IF(入力シート!$A59="","",3)</f>
        <v/>
      </c>
      <c r="J55" s="25" t="str">
        <f aca="false">IF(入力シート!$A59="","",1)</f>
        <v/>
      </c>
      <c r="K55" s="25" t="str">
        <f aca="false">IF(入力シート!$A59="","",入力シート!B59)</f>
        <v/>
      </c>
      <c r="L55" s="25" t="str">
        <f aca="false">IF(入力シート!$A59="","","")</f>
        <v/>
      </c>
      <c r="M55" s="25" t="str">
        <f aca="false">IF(入力シート!$A59="","","")</f>
        <v/>
      </c>
      <c r="N55" s="25" t="str">
        <f aca="false">IF(入力シート!$A59="","",入力シート!R59)</f>
        <v/>
      </c>
      <c r="O55" s="25" t="str">
        <f aca="false">IF(入力シート!$A59="","",IF(入力シート!G59="",1,入力シート!G59))</f>
        <v/>
      </c>
      <c r="P55" s="25" t="str">
        <f aca="false">IF(入力シート!$A59="","",入力シート!D59)</f>
        <v/>
      </c>
      <c r="Q55" s="25" t="str">
        <f aca="false">IF(入力シート!$A59="","","")</f>
        <v/>
      </c>
      <c r="R55" s="25" t="str">
        <f aca="false">IF(入力シート!$A59="","",入力シート!J59)</f>
        <v/>
      </c>
      <c r="S55" s="25" t="str">
        <f aca="false">IF(入力シート!$A59="","",入力シート!L59)</f>
        <v/>
      </c>
      <c r="T55" s="25" t="str">
        <f aca="false">IF(入力シート!$A59="","",入力シート!K59)</f>
        <v/>
      </c>
      <c r="U55" s="25" t="str">
        <f aca="false">IF(入力シート!$A59="","",0)</f>
        <v/>
      </c>
      <c r="V55" s="25" t="str">
        <f aca="false">IF(入力シート!$A59="","",0)</f>
        <v/>
      </c>
      <c r="W55" s="25" t="str">
        <f aca="false">IF(入力シート!$A59="","","0000")</f>
        <v/>
      </c>
      <c r="X55" s="25" t="str">
        <f aca="false">IF(入力シート!$A59="","",入力シート!E59)</f>
        <v/>
      </c>
      <c r="Y55" s="25" t="str">
        <f aca="false">IF(入力シート!$A59="","",入力シート!F59)</f>
        <v/>
      </c>
      <c r="Z55" s="25" t="str">
        <f aca="false">IF(入力シート!$A59="","",入力シート!O59)</f>
        <v/>
      </c>
      <c r="AA55" s="25" t="str">
        <f aca="false">IF(入力シート!$A59="","","")</f>
        <v/>
      </c>
      <c r="AB55" s="25" t="str">
        <f aca="false">IF(入力シート!$A59="","",入力シート!P59)</f>
        <v/>
      </c>
      <c r="AC55" s="25" t="str">
        <f aca="false">IF(入力シート!$A59="","",入力シート!U59)</f>
        <v/>
      </c>
      <c r="AD55" s="25" t="str">
        <f aca="false">IF(入力シート!$A59="","",0)</f>
        <v/>
      </c>
      <c r="AE55" s="25" t="str">
        <f aca="false">IF(入力シート!$A59="","",入力シート!I59)</f>
        <v/>
      </c>
      <c r="AF55" s="25" t="str">
        <f aca="false">IF(入力シート!$A59="","",入力シート!M59)</f>
        <v/>
      </c>
      <c r="AG55" s="25" t="str">
        <f aca="false">IF(入力シート!$A59="","",入力シート!N59)</f>
        <v/>
      </c>
      <c r="AH55" s="25" t="str">
        <f aca="false">IF(入力シート!$A59="","","")</f>
        <v/>
      </c>
      <c r="AI55" s="25" t="str">
        <f aca="false">IF(入力シート!$A59="","","")</f>
        <v/>
      </c>
      <c r="AJ55" s="25" t="str">
        <f aca="false">IF(入力シート!$A59="","","")</f>
        <v/>
      </c>
      <c r="AK55" s="25" t="str">
        <f aca="false">IF(入力シート!$A59="","",2)</f>
        <v/>
      </c>
      <c r="AL55" s="25" t="str">
        <f aca="false">IF(入力シート!$A59="","","")</f>
        <v/>
      </c>
      <c r="AM55" s="25" t="str">
        <f aca="false">IF(入力シート!$A59="","","")</f>
        <v/>
      </c>
      <c r="AN55" s="25" t="str">
        <f aca="false">IF(入力シート!$A59="","",入力シート!C59)</f>
        <v/>
      </c>
      <c r="AO55" s="25" t="str">
        <f aca="false">IF(入力シート!$A59="","","")</f>
        <v/>
      </c>
      <c r="AP55" s="25" t="str">
        <f aca="false">IF(入力シート!$A59="","","")</f>
        <v/>
      </c>
      <c r="AQ55" s="25" t="str">
        <f aca="false">IF(入力シート!$A59="","","")</f>
        <v/>
      </c>
    </row>
    <row r="56" customFormat="false" ht="15" hidden="false" customHeight="true" outlineLevel="0" collapsed="false">
      <c r="A56" s="25" t="str">
        <f aca="false">IF(入力シート!$A60="","",1)</f>
        <v/>
      </c>
      <c r="B56" s="25" t="str">
        <f aca="false">IF(入力シート!$A60="","",1)</f>
        <v/>
      </c>
      <c r="C56" s="25" t="str">
        <f aca="false">IF(入力シート!$A60="","",0)</f>
        <v/>
      </c>
      <c r="D56" s="25" t="str">
        <f aca="false">IF(入力シート!$A60="","",TEXT(入力シート!A60,"YYYYMMDD"))</f>
        <v/>
      </c>
      <c r="E56" s="25" t="str">
        <f aca="false">IF(入力シート!$A60="","",TEXT(入力シート!Q60,"00000000"))</f>
        <v/>
      </c>
      <c r="F56" s="25" t="str">
        <f aca="false">IF(入力シート!$A60="","",14)</f>
        <v/>
      </c>
      <c r="G56" s="25" t="str">
        <f aca="false">IF(入力シート!$A60="","",1)</f>
        <v/>
      </c>
      <c r="H56" s="25" t="str">
        <f aca="false">IF(入力シート!$A60="","",1)</f>
        <v/>
      </c>
      <c r="I56" s="25" t="str">
        <f aca="false">IF(入力シート!$A60="","",3)</f>
        <v/>
      </c>
      <c r="J56" s="25" t="str">
        <f aca="false">IF(入力シート!$A60="","",1)</f>
        <v/>
      </c>
      <c r="K56" s="25" t="str">
        <f aca="false">IF(入力シート!$A60="","",入力シート!B60)</f>
        <v/>
      </c>
      <c r="L56" s="25" t="str">
        <f aca="false">IF(入力シート!$A60="","","")</f>
        <v/>
      </c>
      <c r="M56" s="25" t="str">
        <f aca="false">IF(入力シート!$A60="","","")</f>
        <v/>
      </c>
      <c r="N56" s="25" t="str">
        <f aca="false">IF(入力シート!$A60="","",入力シート!R60)</f>
        <v/>
      </c>
      <c r="O56" s="25" t="str">
        <f aca="false">IF(入力シート!$A60="","",IF(入力シート!G60="",1,入力シート!G60))</f>
        <v/>
      </c>
      <c r="P56" s="25" t="str">
        <f aca="false">IF(入力シート!$A60="","",入力シート!D60)</f>
        <v/>
      </c>
      <c r="Q56" s="25" t="str">
        <f aca="false">IF(入力シート!$A60="","","")</f>
        <v/>
      </c>
      <c r="R56" s="25" t="str">
        <f aca="false">IF(入力シート!$A60="","",入力シート!J60)</f>
        <v/>
      </c>
      <c r="S56" s="25" t="str">
        <f aca="false">IF(入力シート!$A60="","",入力シート!L60)</f>
        <v/>
      </c>
      <c r="T56" s="25" t="str">
        <f aca="false">IF(入力シート!$A60="","",入力シート!K60)</f>
        <v/>
      </c>
      <c r="U56" s="25" t="str">
        <f aca="false">IF(入力シート!$A60="","",0)</f>
        <v/>
      </c>
      <c r="V56" s="25" t="str">
        <f aca="false">IF(入力シート!$A60="","",0)</f>
        <v/>
      </c>
      <c r="W56" s="25" t="str">
        <f aca="false">IF(入力シート!$A60="","","0000")</f>
        <v/>
      </c>
      <c r="X56" s="25" t="str">
        <f aca="false">IF(入力シート!$A60="","",入力シート!E60)</f>
        <v/>
      </c>
      <c r="Y56" s="25" t="str">
        <f aca="false">IF(入力シート!$A60="","",入力シート!F60)</f>
        <v/>
      </c>
      <c r="Z56" s="25" t="str">
        <f aca="false">IF(入力シート!$A60="","",入力シート!O60)</f>
        <v/>
      </c>
      <c r="AA56" s="25" t="str">
        <f aca="false">IF(入力シート!$A60="","","")</f>
        <v/>
      </c>
      <c r="AB56" s="25" t="str">
        <f aca="false">IF(入力シート!$A60="","",入力シート!P60)</f>
        <v/>
      </c>
      <c r="AC56" s="25" t="str">
        <f aca="false">IF(入力シート!$A60="","",入力シート!U60)</f>
        <v/>
      </c>
      <c r="AD56" s="25" t="str">
        <f aca="false">IF(入力シート!$A60="","",0)</f>
        <v/>
      </c>
      <c r="AE56" s="25" t="str">
        <f aca="false">IF(入力シート!$A60="","",入力シート!I60)</f>
        <v/>
      </c>
      <c r="AF56" s="25" t="str">
        <f aca="false">IF(入力シート!$A60="","",入力シート!M60)</f>
        <v/>
      </c>
      <c r="AG56" s="25" t="str">
        <f aca="false">IF(入力シート!$A60="","",入力シート!N60)</f>
        <v/>
      </c>
      <c r="AH56" s="25" t="str">
        <f aca="false">IF(入力シート!$A60="","","")</f>
        <v/>
      </c>
      <c r="AI56" s="25" t="str">
        <f aca="false">IF(入力シート!$A60="","","")</f>
        <v/>
      </c>
      <c r="AJ56" s="25" t="str">
        <f aca="false">IF(入力シート!$A60="","","")</f>
        <v/>
      </c>
      <c r="AK56" s="25" t="str">
        <f aca="false">IF(入力シート!$A60="","",2)</f>
        <v/>
      </c>
      <c r="AL56" s="25" t="str">
        <f aca="false">IF(入力シート!$A60="","","")</f>
        <v/>
      </c>
      <c r="AM56" s="25" t="str">
        <f aca="false">IF(入力シート!$A60="","","")</f>
        <v/>
      </c>
      <c r="AN56" s="25" t="str">
        <f aca="false">IF(入力シート!$A60="","",入力シート!C60)</f>
        <v/>
      </c>
      <c r="AO56" s="25" t="str">
        <f aca="false">IF(入力シート!$A60="","","")</f>
        <v/>
      </c>
      <c r="AP56" s="25" t="str">
        <f aca="false">IF(入力シート!$A60="","","")</f>
        <v/>
      </c>
      <c r="AQ56" s="25" t="str">
        <f aca="false">IF(入力シート!$A60="","","")</f>
        <v/>
      </c>
    </row>
    <row r="57" customFormat="false" ht="15" hidden="false" customHeight="true" outlineLevel="0" collapsed="false">
      <c r="A57" s="25" t="str">
        <f aca="false">IF(入力シート!$A61="","",1)</f>
        <v/>
      </c>
      <c r="B57" s="25" t="str">
        <f aca="false">IF(入力シート!$A61="","",1)</f>
        <v/>
      </c>
      <c r="C57" s="25" t="str">
        <f aca="false">IF(入力シート!$A61="","",0)</f>
        <v/>
      </c>
      <c r="D57" s="25" t="str">
        <f aca="false">IF(入力シート!$A61="","",TEXT(入力シート!A61,"YYYYMMDD"))</f>
        <v/>
      </c>
      <c r="E57" s="25" t="str">
        <f aca="false">IF(入力シート!$A61="","",TEXT(入力シート!Q61,"00000000"))</f>
        <v/>
      </c>
      <c r="F57" s="25" t="str">
        <f aca="false">IF(入力シート!$A61="","",14)</f>
        <v/>
      </c>
      <c r="G57" s="25" t="str">
        <f aca="false">IF(入力シート!$A61="","",1)</f>
        <v/>
      </c>
      <c r="H57" s="25" t="str">
        <f aca="false">IF(入力シート!$A61="","",1)</f>
        <v/>
      </c>
      <c r="I57" s="25" t="str">
        <f aca="false">IF(入力シート!$A61="","",3)</f>
        <v/>
      </c>
      <c r="J57" s="25" t="str">
        <f aca="false">IF(入力シート!$A61="","",1)</f>
        <v/>
      </c>
      <c r="K57" s="25" t="str">
        <f aca="false">IF(入力シート!$A61="","",入力シート!B61)</f>
        <v/>
      </c>
      <c r="L57" s="25" t="str">
        <f aca="false">IF(入力シート!$A61="","","")</f>
        <v/>
      </c>
      <c r="M57" s="25" t="str">
        <f aca="false">IF(入力シート!$A61="","","")</f>
        <v/>
      </c>
      <c r="N57" s="25" t="str">
        <f aca="false">IF(入力シート!$A61="","",入力シート!R61)</f>
        <v/>
      </c>
      <c r="O57" s="25" t="str">
        <f aca="false">IF(入力シート!$A61="","",IF(入力シート!G61="",1,入力シート!G61))</f>
        <v/>
      </c>
      <c r="P57" s="25" t="str">
        <f aca="false">IF(入力シート!$A61="","",入力シート!D61)</f>
        <v/>
      </c>
      <c r="Q57" s="25" t="str">
        <f aca="false">IF(入力シート!$A61="","","")</f>
        <v/>
      </c>
      <c r="R57" s="25" t="str">
        <f aca="false">IF(入力シート!$A61="","",入力シート!J61)</f>
        <v/>
      </c>
      <c r="S57" s="25" t="str">
        <f aca="false">IF(入力シート!$A61="","",入力シート!L61)</f>
        <v/>
      </c>
      <c r="T57" s="25" t="str">
        <f aca="false">IF(入力シート!$A61="","",入力シート!K61)</f>
        <v/>
      </c>
      <c r="U57" s="25" t="str">
        <f aca="false">IF(入力シート!$A61="","",0)</f>
        <v/>
      </c>
      <c r="V57" s="25" t="str">
        <f aca="false">IF(入力シート!$A61="","",0)</f>
        <v/>
      </c>
      <c r="W57" s="25" t="str">
        <f aca="false">IF(入力シート!$A61="","","0000")</f>
        <v/>
      </c>
      <c r="X57" s="25" t="str">
        <f aca="false">IF(入力シート!$A61="","",入力シート!E61)</f>
        <v/>
      </c>
      <c r="Y57" s="25" t="str">
        <f aca="false">IF(入力シート!$A61="","",入力シート!F61)</f>
        <v/>
      </c>
      <c r="Z57" s="25" t="str">
        <f aca="false">IF(入力シート!$A61="","",入力シート!O61)</f>
        <v/>
      </c>
      <c r="AA57" s="25" t="str">
        <f aca="false">IF(入力シート!$A61="","","")</f>
        <v/>
      </c>
      <c r="AB57" s="25" t="str">
        <f aca="false">IF(入力シート!$A61="","",入力シート!P61)</f>
        <v/>
      </c>
      <c r="AC57" s="25" t="str">
        <f aca="false">IF(入力シート!$A61="","",入力シート!U61)</f>
        <v/>
      </c>
      <c r="AD57" s="25" t="str">
        <f aca="false">IF(入力シート!$A61="","",0)</f>
        <v/>
      </c>
      <c r="AE57" s="25" t="str">
        <f aca="false">IF(入力シート!$A61="","",入力シート!I61)</f>
        <v/>
      </c>
      <c r="AF57" s="25" t="str">
        <f aca="false">IF(入力シート!$A61="","",入力シート!M61)</f>
        <v/>
      </c>
      <c r="AG57" s="25" t="str">
        <f aca="false">IF(入力シート!$A61="","",入力シート!N61)</f>
        <v/>
      </c>
      <c r="AH57" s="25" t="str">
        <f aca="false">IF(入力シート!$A61="","","")</f>
        <v/>
      </c>
      <c r="AI57" s="25" t="str">
        <f aca="false">IF(入力シート!$A61="","","")</f>
        <v/>
      </c>
      <c r="AJ57" s="25" t="str">
        <f aca="false">IF(入力シート!$A61="","","")</f>
        <v/>
      </c>
      <c r="AK57" s="25" t="str">
        <f aca="false">IF(入力シート!$A61="","",2)</f>
        <v/>
      </c>
      <c r="AL57" s="25" t="str">
        <f aca="false">IF(入力シート!$A61="","","")</f>
        <v/>
      </c>
      <c r="AM57" s="25" t="str">
        <f aca="false">IF(入力シート!$A61="","","")</f>
        <v/>
      </c>
      <c r="AN57" s="25" t="str">
        <f aca="false">IF(入力シート!$A61="","",入力シート!C61)</f>
        <v/>
      </c>
      <c r="AO57" s="25" t="str">
        <f aca="false">IF(入力シート!$A61="","","")</f>
        <v/>
      </c>
      <c r="AP57" s="25" t="str">
        <f aca="false">IF(入力シート!$A61="","","")</f>
        <v/>
      </c>
      <c r="AQ57" s="25" t="str">
        <f aca="false">IF(入力シート!$A61="","","")</f>
        <v/>
      </c>
    </row>
    <row r="58" customFormat="false" ht="15" hidden="false" customHeight="true" outlineLevel="0" collapsed="false">
      <c r="A58" s="25" t="str">
        <f aca="false">IF(入力シート!$A62="","",1)</f>
        <v/>
      </c>
      <c r="B58" s="25" t="str">
        <f aca="false">IF(入力シート!$A62="","",1)</f>
        <v/>
      </c>
      <c r="C58" s="25" t="str">
        <f aca="false">IF(入力シート!$A62="","",0)</f>
        <v/>
      </c>
      <c r="D58" s="25" t="str">
        <f aca="false">IF(入力シート!$A62="","",TEXT(入力シート!A62,"YYYYMMDD"))</f>
        <v/>
      </c>
      <c r="E58" s="25" t="str">
        <f aca="false">IF(入力シート!$A62="","",TEXT(入力シート!Q62,"00000000"))</f>
        <v/>
      </c>
      <c r="F58" s="25" t="str">
        <f aca="false">IF(入力シート!$A62="","",14)</f>
        <v/>
      </c>
      <c r="G58" s="25" t="str">
        <f aca="false">IF(入力シート!$A62="","",1)</f>
        <v/>
      </c>
      <c r="H58" s="25" t="str">
        <f aca="false">IF(入力シート!$A62="","",1)</f>
        <v/>
      </c>
      <c r="I58" s="25" t="str">
        <f aca="false">IF(入力シート!$A62="","",3)</f>
        <v/>
      </c>
      <c r="J58" s="25" t="str">
        <f aca="false">IF(入力シート!$A62="","",1)</f>
        <v/>
      </c>
      <c r="K58" s="25" t="str">
        <f aca="false">IF(入力シート!$A62="","",入力シート!B62)</f>
        <v/>
      </c>
      <c r="L58" s="25" t="str">
        <f aca="false">IF(入力シート!$A62="","","")</f>
        <v/>
      </c>
      <c r="M58" s="25" t="str">
        <f aca="false">IF(入力シート!$A62="","","")</f>
        <v/>
      </c>
      <c r="N58" s="25" t="str">
        <f aca="false">IF(入力シート!$A62="","",入力シート!R62)</f>
        <v/>
      </c>
      <c r="O58" s="25" t="str">
        <f aca="false">IF(入力シート!$A62="","",IF(入力シート!G62="",1,入力シート!G62))</f>
        <v/>
      </c>
      <c r="P58" s="25" t="str">
        <f aca="false">IF(入力シート!$A62="","",入力シート!D62)</f>
        <v/>
      </c>
      <c r="Q58" s="25" t="str">
        <f aca="false">IF(入力シート!$A62="","","")</f>
        <v/>
      </c>
      <c r="R58" s="25" t="str">
        <f aca="false">IF(入力シート!$A62="","",入力シート!J62)</f>
        <v/>
      </c>
      <c r="S58" s="25" t="str">
        <f aca="false">IF(入力シート!$A62="","",入力シート!L62)</f>
        <v/>
      </c>
      <c r="T58" s="25" t="str">
        <f aca="false">IF(入力シート!$A62="","",入力シート!K62)</f>
        <v/>
      </c>
      <c r="U58" s="25" t="str">
        <f aca="false">IF(入力シート!$A62="","",0)</f>
        <v/>
      </c>
      <c r="V58" s="25" t="str">
        <f aca="false">IF(入力シート!$A62="","",0)</f>
        <v/>
      </c>
      <c r="W58" s="25" t="str">
        <f aca="false">IF(入力シート!$A62="","","0000")</f>
        <v/>
      </c>
      <c r="X58" s="25" t="str">
        <f aca="false">IF(入力シート!$A62="","",入力シート!E62)</f>
        <v/>
      </c>
      <c r="Y58" s="25" t="str">
        <f aca="false">IF(入力シート!$A62="","",入力シート!F62)</f>
        <v/>
      </c>
      <c r="Z58" s="25" t="str">
        <f aca="false">IF(入力シート!$A62="","",入力シート!O62)</f>
        <v/>
      </c>
      <c r="AA58" s="25" t="str">
        <f aca="false">IF(入力シート!$A62="","","")</f>
        <v/>
      </c>
      <c r="AB58" s="25" t="str">
        <f aca="false">IF(入力シート!$A62="","",入力シート!P62)</f>
        <v/>
      </c>
      <c r="AC58" s="25" t="str">
        <f aca="false">IF(入力シート!$A62="","",入力シート!U62)</f>
        <v/>
      </c>
      <c r="AD58" s="25" t="str">
        <f aca="false">IF(入力シート!$A62="","",0)</f>
        <v/>
      </c>
      <c r="AE58" s="25" t="str">
        <f aca="false">IF(入力シート!$A62="","",入力シート!I62)</f>
        <v/>
      </c>
      <c r="AF58" s="25" t="str">
        <f aca="false">IF(入力シート!$A62="","",入力シート!M62)</f>
        <v/>
      </c>
      <c r="AG58" s="25" t="str">
        <f aca="false">IF(入力シート!$A62="","",入力シート!N62)</f>
        <v/>
      </c>
      <c r="AH58" s="25" t="str">
        <f aca="false">IF(入力シート!$A62="","","")</f>
        <v/>
      </c>
      <c r="AI58" s="25" t="str">
        <f aca="false">IF(入力シート!$A62="","","")</f>
        <v/>
      </c>
      <c r="AJ58" s="25" t="str">
        <f aca="false">IF(入力シート!$A62="","","")</f>
        <v/>
      </c>
      <c r="AK58" s="25" t="str">
        <f aca="false">IF(入力シート!$A62="","",2)</f>
        <v/>
      </c>
      <c r="AL58" s="25" t="str">
        <f aca="false">IF(入力シート!$A62="","","")</f>
        <v/>
      </c>
      <c r="AM58" s="25" t="str">
        <f aca="false">IF(入力シート!$A62="","","")</f>
        <v/>
      </c>
      <c r="AN58" s="25" t="str">
        <f aca="false">IF(入力シート!$A62="","",入力シート!C62)</f>
        <v/>
      </c>
      <c r="AO58" s="25" t="str">
        <f aca="false">IF(入力シート!$A62="","","")</f>
        <v/>
      </c>
      <c r="AP58" s="25" t="str">
        <f aca="false">IF(入力シート!$A62="","","")</f>
        <v/>
      </c>
      <c r="AQ58" s="25" t="str">
        <f aca="false">IF(入力シート!$A62="","","")</f>
        <v/>
      </c>
    </row>
    <row r="59" customFormat="false" ht="15" hidden="false" customHeight="true" outlineLevel="0" collapsed="false">
      <c r="A59" s="25" t="str">
        <f aca="false">IF(入力シート!$A63="","",1)</f>
        <v/>
      </c>
      <c r="B59" s="25" t="str">
        <f aca="false">IF(入力シート!$A63="","",1)</f>
        <v/>
      </c>
      <c r="C59" s="25" t="str">
        <f aca="false">IF(入力シート!$A63="","",0)</f>
        <v/>
      </c>
      <c r="D59" s="25" t="str">
        <f aca="false">IF(入力シート!$A63="","",TEXT(入力シート!A63,"YYYYMMDD"))</f>
        <v/>
      </c>
      <c r="E59" s="25" t="str">
        <f aca="false">IF(入力シート!$A63="","",TEXT(入力シート!Q63,"00000000"))</f>
        <v/>
      </c>
      <c r="F59" s="25" t="str">
        <f aca="false">IF(入力シート!$A63="","",14)</f>
        <v/>
      </c>
      <c r="G59" s="25" t="str">
        <f aca="false">IF(入力シート!$A63="","",1)</f>
        <v/>
      </c>
      <c r="H59" s="25" t="str">
        <f aca="false">IF(入力シート!$A63="","",1)</f>
        <v/>
      </c>
      <c r="I59" s="25" t="str">
        <f aca="false">IF(入力シート!$A63="","",3)</f>
        <v/>
      </c>
      <c r="J59" s="25" t="str">
        <f aca="false">IF(入力シート!$A63="","",1)</f>
        <v/>
      </c>
      <c r="K59" s="25" t="str">
        <f aca="false">IF(入力シート!$A63="","",入力シート!B63)</f>
        <v/>
      </c>
      <c r="L59" s="25" t="str">
        <f aca="false">IF(入力シート!$A63="","","")</f>
        <v/>
      </c>
      <c r="M59" s="25" t="str">
        <f aca="false">IF(入力シート!$A63="","","")</f>
        <v/>
      </c>
      <c r="N59" s="25" t="str">
        <f aca="false">IF(入力シート!$A63="","",入力シート!R63)</f>
        <v/>
      </c>
      <c r="O59" s="25" t="str">
        <f aca="false">IF(入力シート!$A63="","",IF(入力シート!G63="",1,入力シート!G63))</f>
        <v/>
      </c>
      <c r="P59" s="25" t="str">
        <f aca="false">IF(入力シート!$A63="","",入力シート!D63)</f>
        <v/>
      </c>
      <c r="Q59" s="25" t="str">
        <f aca="false">IF(入力シート!$A63="","","")</f>
        <v/>
      </c>
      <c r="R59" s="25" t="str">
        <f aca="false">IF(入力シート!$A63="","",入力シート!J63)</f>
        <v/>
      </c>
      <c r="S59" s="25" t="str">
        <f aca="false">IF(入力シート!$A63="","",入力シート!L63)</f>
        <v/>
      </c>
      <c r="T59" s="25" t="str">
        <f aca="false">IF(入力シート!$A63="","",入力シート!K63)</f>
        <v/>
      </c>
      <c r="U59" s="25" t="str">
        <f aca="false">IF(入力シート!$A63="","",0)</f>
        <v/>
      </c>
      <c r="V59" s="25" t="str">
        <f aca="false">IF(入力シート!$A63="","",0)</f>
        <v/>
      </c>
      <c r="W59" s="25" t="str">
        <f aca="false">IF(入力シート!$A63="","","0000")</f>
        <v/>
      </c>
      <c r="X59" s="25" t="str">
        <f aca="false">IF(入力シート!$A63="","",入力シート!E63)</f>
        <v/>
      </c>
      <c r="Y59" s="25" t="str">
        <f aca="false">IF(入力シート!$A63="","",入力シート!F63)</f>
        <v/>
      </c>
      <c r="Z59" s="25" t="str">
        <f aca="false">IF(入力シート!$A63="","",入力シート!O63)</f>
        <v/>
      </c>
      <c r="AA59" s="25" t="str">
        <f aca="false">IF(入力シート!$A63="","","")</f>
        <v/>
      </c>
      <c r="AB59" s="25" t="str">
        <f aca="false">IF(入力シート!$A63="","",入力シート!P63)</f>
        <v/>
      </c>
      <c r="AC59" s="25" t="str">
        <f aca="false">IF(入力シート!$A63="","",入力シート!U63)</f>
        <v/>
      </c>
      <c r="AD59" s="25" t="str">
        <f aca="false">IF(入力シート!$A63="","",0)</f>
        <v/>
      </c>
      <c r="AE59" s="25" t="str">
        <f aca="false">IF(入力シート!$A63="","",入力シート!I63)</f>
        <v/>
      </c>
      <c r="AF59" s="25" t="str">
        <f aca="false">IF(入力シート!$A63="","",入力シート!M63)</f>
        <v/>
      </c>
      <c r="AG59" s="25" t="str">
        <f aca="false">IF(入力シート!$A63="","",入力シート!N63)</f>
        <v/>
      </c>
      <c r="AH59" s="25" t="str">
        <f aca="false">IF(入力シート!$A63="","","")</f>
        <v/>
      </c>
      <c r="AI59" s="25" t="str">
        <f aca="false">IF(入力シート!$A63="","","")</f>
        <v/>
      </c>
      <c r="AJ59" s="25" t="str">
        <f aca="false">IF(入力シート!$A63="","","")</f>
        <v/>
      </c>
      <c r="AK59" s="25" t="str">
        <f aca="false">IF(入力シート!$A63="","",2)</f>
        <v/>
      </c>
      <c r="AL59" s="25" t="str">
        <f aca="false">IF(入力シート!$A63="","","")</f>
        <v/>
      </c>
      <c r="AM59" s="25" t="str">
        <f aca="false">IF(入力シート!$A63="","","")</f>
        <v/>
      </c>
      <c r="AN59" s="25" t="str">
        <f aca="false">IF(入力シート!$A63="","",入力シート!C63)</f>
        <v/>
      </c>
      <c r="AO59" s="25" t="str">
        <f aca="false">IF(入力シート!$A63="","","")</f>
        <v/>
      </c>
      <c r="AP59" s="25" t="str">
        <f aca="false">IF(入力シート!$A63="","","")</f>
        <v/>
      </c>
      <c r="AQ59" s="25" t="str">
        <f aca="false">IF(入力シート!$A63="","","")</f>
        <v/>
      </c>
    </row>
    <row r="60" customFormat="false" ht="15" hidden="false" customHeight="true" outlineLevel="0" collapsed="false">
      <c r="A60" s="25" t="str">
        <f aca="false">IF(入力シート!$A64="","",1)</f>
        <v/>
      </c>
      <c r="B60" s="25" t="str">
        <f aca="false">IF(入力シート!$A64="","",1)</f>
        <v/>
      </c>
      <c r="C60" s="25" t="str">
        <f aca="false">IF(入力シート!$A64="","",0)</f>
        <v/>
      </c>
      <c r="D60" s="25" t="str">
        <f aca="false">IF(入力シート!$A64="","",TEXT(入力シート!A64,"YYYYMMDD"))</f>
        <v/>
      </c>
      <c r="E60" s="25" t="str">
        <f aca="false">IF(入力シート!$A64="","",TEXT(入力シート!Q64,"00000000"))</f>
        <v/>
      </c>
      <c r="F60" s="25" t="str">
        <f aca="false">IF(入力シート!$A64="","",14)</f>
        <v/>
      </c>
      <c r="G60" s="25" t="str">
        <f aca="false">IF(入力シート!$A64="","",1)</f>
        <v/>
      </c>
      <c r="H60" s="25" t="str">
        <f aca="false">IF(入力シート!$A64="","",1)</f>
        <v/>
      </c>
      <c r="I60" s="25" t="str">
        <f aca="false">IF(入力シート!$A64="","",3)</f>
        <v/>
      </c>
      <c r="J60" s="25" t="str">
        <f aca="false">IF(入力シート!$A64="","",1)</f>
        <v/>
      </c>
      <c r="K60" s="25" t="str">
        <f aca="false">IF(入力シート!$A64="","",入力シート!B64)</f>
        <v/>
      </c>
      <c r="L60" s="25" t="str">
        <f aca="false">IF(入力シート!$A64="","","")</f>
        <v/>
      </c>
      <c r="M60" s="25" t="str">
        <f aca="false">IF(入力シート!$A64="","","")</f>
        <v/>
      </c>
      <c r="N60" s="25" t="str">
        <f aca="false">IF(入力シート!$A64="","",入力シート!R64)</f>
        <v/>
      </c>
      <c r="O60" s="25" t="str">
        <f aca="false">IF(入力シート!$A64="","",IF(入力シート!G64="",1,入力シート!G64))</f>
        <v/>
      </c>
      <c r="P60" s="25" t="str">
        <f aca="false">IF(入力シート!$A64="","",入力シート!D64)</f>
        <v/>
      </c>
      <c r="Q60" s="25" t="str">
        <f aca="false">IF(入力シート!$A64="","","")</f>
        <v/>
      </c>
      <c r="R60" s="25" t="str">
        <f aca="false">IF(入力シート!$A64="","",入力シート!J64)</f>
        <v/>
      </c>
      <c r="S60" s="25" t="str">
        <f aca="false">IF(入力シート!$A64="","",入力シート!L64)</f>
        <v/>
      </c>
      <c r="T60" s="25" t="str">
        <f aca="false">IF(入力シート!$A64="","",入力シート!K64)</f>
        <v/>
      </c>
      <c r="U60" s="25" t="str">
        <f aca="false">IF(入力シート!$A64="","",0)</f>
        <v/>
      </c>
      <c r="V60" s="25" t="str">
        <f aca="false">IF(入力シート!$A64="","",0)</f>
        <v/>
      </c>
      <c r="W60" s="25" t="str">
        <f aca="false">IF(入力シート!$A64="","","0000")</f>
        <v/>
      </c>
      <c r="X60" s="25" t="str">
        <f aca="false">IF(入力シート!$A64="","",入力シート!E64)</f>
        <v/>
      </c>
      <c r="Y60" s="25" t="str">
        <f aca="false">IF(入力シート!$A64="","",入力シート!F64)</f>
        <v/>
      </c>
      <c r="Z60" s="25" t="str">
        <f aca="false">IF(入力シート!$A64="","",入力シート!O64)</f>
        <v/>
      </c>
      <c r="AA60" s="25" t="str">
        <f aca="false">IF(入力シート!$A64="","","")</f>
        <v/>
      </c>
      <c r="AB60" s="25" t="str">
        <f aca="false">IF(入力シート!$A64="","",入力シート!P64)</f>
        <v/>
      </c>
      <c r="AC60" s="25" t="str">
        <f aca="false">IF(入力シート!$A64="","",入力シート!U64)</f>
        <v/>
      </c>
      <c r="AD60" s="25" t="str">
        <f aca="false">IF(入力シート!$A64="","",0)</f>
        <v/>
      </c>
      <c r="AE60" s="25" t="str">
        <f aca="false">IF(入力シート!$A64="","",入力シート!I64)</f>
        <v/>
      </c>
      <c r="AF60" s="25" t="str">
        <f aca="false">IF(入力シート!$A64="","",入力シート!M64)</f>
        <v/>
      </c>
      <c r="AG60" s="25" t="str">
        <f aca="false">IF(入力シート!$A64="","",入力シート!N64)</f>
        <v/>
      </c>
      <c r="AH60" s="25" t="str">
        <f aca="false">IF(入力シート!$A64="","","")</f>
        <v/>
      </c>
      <c r="AI60" s="25" t="str">
        <f aca="false">IF(入力シート!$A64="","","")</f>
        <v/>
      </c>
      <c r="AJ60" s="25" t="str">
        <f aca="false">IF(入力シート!$A64="","","")</f>
        <v/>
      </c>
      <c r="AK60" s="25" t="str">
        <f aca="false">IF(入力シート!$A64="","",2)</f>
        <v/>
      </c>
      <c r="AL60" s="25" t="str">
        <f aca="false">IF(入力シート!$A64="","","")</f>
        <v/>
      </c>
      <c r="AM60" s="25" t="str">
        <f aca="false">IF(入力シート!$A64="","","")</f>
        <v/>
      </c>
      <c r="AN60" s="25" t="str">
        <f aca="false">IF(入力シート!$A64="","",入力シート!C64)</f>
        <v/>
      </c>
      <c r="AO60" s="25" t="str">
        <f aca="false">IF(入力シート!$A64="","","")</f>
        <v/>
      </c>
      <c r="AP60" s="25" t="str">
        <f aca="false">IF(入力シート!$A64="","","")</f>
        <v/>
      </c>
      <c r="AQ60" s="25" t="str">
        <f aca="false">IF(入力シート!$A64="","","")</f>
        <v/>
      </c>
    </row>
    <row r="61" customFormat="false" ht="15" hidden="false" customHeight="true" outlineLevel="0" collapsed="false">
      <c r="A61" s="25" t="str">
        <f aca="false">IF(入力シート!$A65="","",1)</f>
        <v/>
      </c>
      <c r="B61" s="25" t="str">
        <f aca="false">IF(入力シート!$A65="","",1)</f>
        <v/>
      </c>
      <c r="C61" s="25" t="str">
        <f aca="false">IF(入力シート!$A65="","",0)</f>
        <v/>
      </c>
      <c r="D61" s="25" t="str">
        <f aca="false">IF(入力シート!$A65="","",TEXT(入力シート!A65,"YYYYMMDD"))</f>
        <v/>
      </c>
      <c r="E61" s="25" t="str">
        <f aca="false">IF(入力シート!$A65="","",TEXT(入力シート!Q65,"00000000"))</f>
        <v/>
      </c>
      <c r="F61" s="25" t="str">
        <f aca="false">IF(入力シート!$A65="","",14)</f>
        <v/>
      </c>
      <c r="G61" s="25" t="str">
        <f aca="false">IF(入力シート!$A65="","",1)</f>
        <v/>
      </c>
      <c r="H61" s="25" t="str">
        <f aca="false">IF(入力シート!$A65="","",1)</f>
        <v/>
      </c>
      <c r="I61" s="25" t="str">
        <f aca="false">IF(入力シート!$A65="","",3)</f>
        <v/>
      </c>
      <c r="J61" s="25" t="str">
        <f aca="false">IF(入力シート!$A65="","",1)</f>
        <v/>
      </c>
      <c r="K61" s="25" t="str">
        <f aca="false">IF(入力シート!$A65="","",入力シート!B65)</f>
        <v/>
      </c>
      <c r="L61" s="25" t="str">
        <f aca="false">IF(入力シート!$A65="","","")</f>
        <v/>
      </c>
      <c r="M61" s="25" t="str">
        <f aca="false">IF(入力シート!$A65="","","")</f>
        <v/>
      </c>
      <c r="N61" s="25" t="str">
        <f aca="false">IF(入力シート!$A65="","",入力シート!R65)</f>
        <v/>
      </c>
      <c r="O61" s="25" t="str">
        <f aca="false">IF(入力シート!$A65="","",IF(入力シート!G65="",1,入力シート!G65))</f>
        <v/>
      </c>
      <c r="P61" s="25" t="str">
        <f aca="false">IF(入力シート!$A65="","",入力シート!D65)</f>
        <v/>
      </c>
      <c r="Q61" s="25" t="str">
        <f aca="false">IF(入力シート!$A65="","","")</f>
        <v/>
      </c>
      <c r="R61" s="25" t="str">
        <f aca="false">IF(入力シート!$A65="","",入力シート!J65)</f>
        <v/>
      </c>
      <c r="S61" s="25" t="str">
        <f aca="false">IF(入力シート!$A65="","",入力シート!L65)</f>
        <v/>
      </c>
      <c r="T61" s="25" t="str">
        <f aca="false">IF(入力シート!$A65="","",入力シート!K65)</f>
        <v/>
      </c>
      <c r="U61" s="25" t="str">
        <f aca="false">IF(入力シート!$A65="","",0)</f>
        <v/>
      </c>
      <c r="V61" s="25" t="str">
        <f aca="false">IF(入力シート!$A65="","",0)</f>
        <v/>
      </c>
      <c r="W61" s="25" t="str">
        <f aca="false">IF(入力シート!$A65="","","0000")</f>
        <v/>
      </c>
      <c r="X61" s="25" t="str">
        <f aca="false">IF(入力シート!$A65="","",入力シート!E65)</f>
        <v/>
      </c>
      <c r="Y61" s="25" t="str">
        <f aca="false">IF(入力シート!$A65="","",入力シート!F65)</f>
        <v/>
      </c>
      <c r="Z61" s="25" t="str">
        <f aca="false">IF(入力シート!$A65="","",入力シート!O65)</f>
        <v/>
      </c>
      <c r="AA61" s="25" t="str">
        <f aca="false">IF(入力シート!$A65="","","")</f>
        <v/>
      </c>
      <c r="AB61" s="25" t="str">
        <f aca="false">IF(入力シート!$A65="","",入力シート!P65)</f>
        <v/>
      </c>
      <c r="AC61" s="25" t="str">
        <f aca="false">IF(入力シート!$A65="","",入力シート!U65)</f>
        <v/>
      </c>
      <c r="AD61" s="25" t="str">
        <f aca="false">IF(入力シート!$A65="","",0)</f>
        <v/>
      </c>
      <c r="AE61" s="25" t="str">
        <f aca="false">IF(入力シート!$A65="","",入力シート!I65)</f>
        <v/>
      </c>
      <c r="AF61" s="25" t="str">
        <f aca="false">IF(入力シート!$A65="","",入力シート!M65)</f>
        <v/>
      </c>
      <c r="AG61" s="25" t="str">
        <f aca="false">IF(入力シート!$A65="","",入力シート!N65)</f>
        <v/>
      </c>
      <c r="AH61" s="25" t="str">
        <f aca="false">IF(入力シート!$A65="","","")</f>
        <v/>
      </c>
      <c r="AI61" s="25" t="str">
        <f aca="false">IF(入力シート!$A65="","","")</f>
        <v/>
      </c>
      <c r="AJ61" s="25" t="str">
        <f aca="false">IF(入力シート!$A65="","","")</f>
        <v/>
      </c>
      <c r="AK61" s="25" t="str">
        <f aca="false">IF(入力シート!$A65="","",2)</f>
        <v/>
      </c>
      <c r="AL61" s="25" t="str">
        <f aca="false">IF(入力シート!$A65="","","")</f>
        <v/>
      </c>
      <c r="AM61" s="25" t="str">
        <f aca="false">IF(入力シート!$A65="","","")</f>
        <v/>
      </c>
      <c r="AN61" s="25" t="str">
        <f aca="false">IF(入力シート!$A65="","",入力シート!C65)</f>
        <v/>
      </c>
      <c r="AO61" s="25" t="str">
        <f aca="false">IF(入力シート!$A65="","","")</f>
        <v/>
      </c>
      <c r="AP61" s="25" t="str">
        <f aca="false">IF(入力シート!$A65="","","")</f>
        <v/>
      </c>
      <c r="AQ61" s="25" t="str">
        <f aca="false">IF(入力シート!$A65="","","")</f>
        <v/>
      </c>
    </row>
    <row r="62" customFormat="false" ht="15" hidden="false" customHeight="true" outlineLevel="0" collapsed="false">
      <c r="A62" s="25" t="str">
        <f aca="false">IF(入力シート!$A66="","",1)</f>
        <v/>
      </c>
      <c r="B62" s="25" t="str">
        <f aca="false">IF(入力シート!$A66="","",1)</f>
        <v/>
      </c>
      <c r="C62" s="25" t="str">
        <f aca="false">IF(入力シート!$A66="","",0)</f>
        <v/>
      </c>
      <c r="D62" s="25" t="str">
        <f aca="false">IF(入力シート!$A66="","",TEXT(入力シート!A66,"YYYYMMDD"))</f>
        <v/>
      </c>
      <c r="E62" s="25" t="str">
        <f aca="false">IF(入力シート!$A66="","",TEXT(入力シート!Q66,"00000000"))</f>
        <v/>
      </c>
      <c r="F62" s="25" t="str">
        <f aca="false">IF(入力シート!$A66="","",14)</f>
        <v/>
      </c>
      <c r="G62" s="25" t="str">
        <f aca="false">IF(入力シート!$A66="","",1)</f>
        <v/>
      </c>
      <c r="H62" s="25" t="str">
        <f aca="false">IF(入力シート!$A66="","",1)</f>
        <v/>
      </c>
      <c r="I62" s="25" t="str">
        <f aca="false">IF(入力シート!$A66="","",3)</f>
        <v/>
      </c>
      <c r="J62" s="25" t="str">
        <f aca="false">IF(入力シート!$A66="","",1)</f>
        <v/>
      </c>
      <c r="K62" s="25" t="str">
        <f aca="false">IF(入力シート!$A66="","",入力シート!B66)</f>
        <v/>
      </c>
      <c r="L62" s="25" t="str">
        <f aca="false">IF(入力シート!$A66="","","")</f>
        <v/>
      </c>
      <c r="M62" s="25" t="str">
        <f aca="false">IF(入力シート!$A66="","","")</f>
        <v/>
      </c>
      <c r="N62" s="25" t="str">
        <f aca="false">IF(入力シート!$A66="","",入力シート!R66)</f>
        <v/>
      </c>
      <c r="O62" s="25" t="str">
        <f aca="false">IF(入力シート!$A66="","",IF(入力シート!G66="",1,入力シート!G66))</f>
        <v/>
      </c>
      <c r="P62" s="25" t="str">
        <f aca="false">IF(入力シート!$A66="","",入力シート!D66)</f>
        <v/>
      </c>
      <c r="Q62" s="25" t="str">
        <f aca="false">IF(入力シート!$A66="","","")</f>
        <v/>
      </c>
      <c r="R62" s="25" t="str">
        <f aca="false">IF(入力シート!$A66="","",入力シート!J66)</f>
        <v/>
      </c>
      <c r="S62" s="25" t="str">
        <f aca="false">IF(入力シート!$A66="","",入力シート!L66)</f>
        <v/>
      </c>
      <c r="T62" s="25" t="str">
        <f aca="false">IF(入力シート!$A66="","",入力シート!K66)</f>
        <v/>
      </c>
      <c r="U62" s="25" t="str">
        <f aca="false">IF(入力シート!$A66="","",0)</f>
        <v/>
      </c>
      <c r="V62" s="25" t="str">
        <f aca="false">IF(入力シート!$A66="","",0)</f>
        <v/>
      </c>
      <c r="W62" s="25" t="str">
        <f aca="false">IF(入力シート!$A66="","","0000")</f>
        <v/>
      </c>
      <c r="X62" s="25" t="str">
        <f aca="false">IF(入力シート!$A66="","",入力シート!E66)</f>
        <v/>
      </c>
      <c r="Y62" s="25" t="str">
        <f aca="false">IF(入力シート!$A66="","",入力シート!F66)</f>
        <v/>
      </c>
      <c r="Z62" s="25" t="str">
        <f aca="false">IF(入力シート!$A66="","",入力シート!O66)</f>
        <v/>
      </c>
      <c r="AA62" s="25" t="str">
        <f aca="false">IF(入力シート!$A66="","","")</f>
        <v/>
      </c>
      <c r="AB62" s="25" t="str">
        <f aca="false">IF(入力シート!$A66="","",入力シート!P66)</f>
        <v/>
      </c>
      <c r="AC62" s="25" t="str">
        <f aca="false">IF(入力シート!$A66="","",入力シート!U66)</f>
        <v/>
      </c>
      <c r="AD62" s="25" t="str">
        <f aca="false">IF(入力シート!$A66="","",0)</f>
        <v/>
      </c>
      <c r="AE62" s="25" t="str">
        <f aca="false">IF(入力シート!$A66="","",入力シート!I66)</f>
        <v/>
      </c>
      <c r="AF62" s="25" t="str">
        <f aca="false">IF(入力シート!$A66="","",入力シート!M66)</f>
        <v/>
      </c>
      <c r="AG62" s="25" t="str">
        <f aca="false">IF(入力シート!$A66="","",入力シート!N66)</f>
        <v/>
      </c>
      <c r="AH62" s="25" t="str">
        <f aca="false">IF(入力シート!$A66="","","")</f>
        <v/>
      </c>
      <c r="AI62" s="25" t="str">
        <f aca="false">IF(入力シート!$A66="","","")</f>
        <v/>
      </c>
      <c r="AJ62" s="25" t="str">
        <f aca="false">IF(入力シート!$A66="","","")</f>
        <v/>
      </c>
      <c r="AK62" s="25" t="str">
        <f aca="false">IF(入力シート!$A66="","",2)</f>
        <v/>
      </c>
      <c r="AL62" s="25" t="str">
        <f aca="false">IF(入力シート!$A66="","","")</f>
        <v/>
      </c>
      <c r="AM62" s="25" t="str">
        <f aca="false">IF(入力シート!$A66="","","")</f>
        <v/>
      </c>
      <c r="AN62" s="25" t="str">
        <f aca="false">IF(入力シート!$A66="","",入力シート!C66)</f>
        <v/>
      </c>
      <c r="AO62" s="25" t="str">
        <f aca="false">IF(入力シート!$A66="","","")</f>
        <v/>
      </c>
      <c r="AP62" s="25" t="str">
        <f aca="false">IF(入力シート!$A66="","","")</f>
        <v/>
      </c>
      <c r="AQ62" s="25" t="str">
        <f aca="false">IF(入力シート!$A66="","","")</f>
        <v/>
      </c>
    </row>
    <row r="63" customFormat="false" ht="15" hidden="false" customHeight="true" outlineLevel="0" collapsed="false">
      <c r="A63" s="25" t="str">
        <f aca="false">IF(入力シート!$A67="","",1)</f>
        <v/>
      </c>
      <c r="B63" s="25" t="str">
        <f aca="false">IF(入力シート!$A67="","",1)</f>
        <v/>
      </c>
      <c r="C63" s="25" t="str">
        <f aca="false">IF(入力シート!$A67="","",0)</f>
        <v/>
      </c>
      <c r="D63" s="25" t="str">
        <f aca="false">IF(入力シート!$A67="","",TEXT(入力シート!A67,"YYYYMMDD"))</f>
        <v/>
      </c>
      <c r="E63" s="25" t="str">
        <f aca="false">IF(入力シート!$A67="","",TEXT(入力シート!Q67,"00000000"))</f>
        <v/>
      </c>
      <c r="F63" s="25" t="str">
        <f aca="false">IF(入力シート!$A67="","",14)</f>
        <v/>
      </c>
      <c r="G63" s="25" t="str">
        <f aca="false">IF(入力シート!$A67="","",1)</f>
        <v/>
      </c>
      <c r="H63" s="25" t="str">
        <f aca="false">IF(入力シート!$A67="","",1)</f>
        <v/>
      </c>
      <c r="I63" s="25" t="str">
        <f aca="false">IF(入力シート!$A67="","",3)</f>
        <v/>
      </c>
      <c r="J63" s="25" t="str">
        <f aca="false">IF(入力シート!$A67="","",1)</f>
        <v/>
      </c>
      <c r="K63" s="25" t="str">
        <f aca="false">IF(入力シート!$A67="","",入力シート!B67)</f>
        <v/>
      </c>
      <c r="L63" s="25" t="str">
        <f aca="false">IF(入力シート!$A67="","","")</f>
        <v/>
      </c>
      <c r="M63" s="25" t="str">
        <f aca="false">IF(入力シート!$A67="","","")</f>
        <v/>
      </c>
      <c r="N63" s="25" t="str">
        <f aca="false">IF(入力シート!$A67="","",入力シート!R67)</f>
        <v/>
      </c>
      <c r="O63" s="25" t="str">
        <f aca="false">IF(入力シート!$A67="","",IF(入力シート!G67="",1,入力シート!G67))</f>
        <v/>
      </c>
      <c r="P63" s="25" t="str">
        <f aca="false">IF(入力シート!$A67="","",入力シート!D67)</f>
        <v/>
      </c>
      <c r="Q63" s="25" t="str">
        <f aca="false">IF(入力シート!$A67="","","")</f>
        <v/>
      </c>
      <c r="R63" s="25" t="str">
        <f aca="false">IF(入力シート!$A67="","",入力シート!J67)</f>
        <v/>
      </c>
      <c r="S63" s="25" t="str">
        <f aca="false">IF(入力シート!$A67="","",入力シート!L67)</f>
        <v/>
      </c>
      <c r="T63" s="25" t="str">
        <f aca="false">IF(入力シート!$A67="","",入力シート!K67)</f>
        <v/>
      </c>
      <c r="U63" s="25" t="str">
        <f aca="false">IF(入力シート!$A67="","",0)</f>
        <v/>
      </c>
      <c r="V63" s="25" t="str">
        <f aca="false">IF(入力シート!$A67="","",0)</f>
        <v/>
      </c>
      <c r="W63" s="25" t="str">
        <f aca="false">IF(入力シート!$A67="","","0000")</f>
        <v/>
      </c>
      <c r="X63" s="25" t="str">
        <f aca="false">IF(入力シート!$A67="","",入力シート!E67)</f>
        <v/>
      </c>
      <c r="Y63" s="25" t="str">
        <f aca="false">IF(入力シート!$A67="","",入力シート!F67)</f>
        <v/>
      </c>
      <c r="Z63" s="25" t="str">
        <f aca="false">IF(入力シート!$A67="","",入力シート!O67)</f>
        <v/>
      </c>
      <c r="AA63" s="25" t="str">
        <f aca="false">IF(入力シート!$A67="","","")</f>
        <v/>
      </c>
      <c r="AB63" s="25" t="str">
        <f aca="false">IF(入力シート!$A67="","",入力シート!P67)</f>
        <v/>
      </c>
      <c r="AC63" s="25" t="str">
        <f aca="false">IF(入力シート!$A67="","",入力シート!U67)</f>
        <v/>
      </c>
      <c r="AD63" s="25" t="str">
        <f aca="false">IF(入力シート!$A67="","",0)</f>
        <v/>
      </c>
      <c r="AE63" s="25" t="str">
        <f aca="false">IF(入力シート!$A67="","",入力シート!I67)</f>
        <v/>
      </c>
      <c r="AF63" s="25" t="str">
        <f aca="false">IF(入力シート!$A67="","",入力シート!M67)</f>
        <v/>
      </c>
      <c r="AG63" s="25" t="str">
        <f aca="false">IF(入力シート!$A67="","",入力シート!N67)</f>
        <v/>
      </c>
      <c r="AH63" s="25" t="str">
        <f aca="false">IF(入力シート!$A67="","","")</f>
        <v/>
      </c>
      <c r="AI63" s="25" t="str">
        <f aca="false">IF(入力シート!$A67="","","")</f>
        <v/>
      </c>
      <c r="AJ63" s="25" t="str">
        <f aca="false">IF(入力シート!$A67="","","")</f>
        <v/>
      </c>
      <c r="AK63" s="25" t="str">
        <f aca="false">IF(入力シート!$A67="","",2)</f>
        <v/>
      </c>
      <c r="AL63" s="25" t="str">
        <f aca="false">IF(入力シート!$A67="","","")</f>
        <v/>
      </c>
      <c r="AM63" s="25" t="str">
        <f aca="false">IF(入力シート!$A67="","","")</f>
        <v/>
      </c>
      <c r="AN63" s="25" t="str">
        <f aca="false">IF(入力シート!$A67="","",入力シート!C67)</f>
        <v/>
      </c>
      <c r="AO63" s="25" t="str">
        <f aca="false">IF(入力シート!$A67="","","")</f>
        <v/>
      </c>
      <c r="AP63" s="25" t="str">
        <f aca="false">IF(入力シート!$A67="","","")</f>
        <v/>
      </c>
      <c r="AQ63" s="25" t="str">
        <f aca="false">IF(入力シート!$A67="","","")</f>
        <v/>
      </c>
    </row>
    <row r="64" customFormat="false" ht="15" hidden="false" customHeight="true" outlineLevel="0" collapsed="false">
      <c r="A64" s="25" t="str">
        <f aca="false">IF(入力シート!$A68="","",1)</f>
        <v/>
      </c>
      <c r="B64" s="25" t="str">
        <f aca="false">IF(入力シート!$A68="","",1)</f>
        <v/>
      </c>
      <c r="C64" s="25" t="str">
        <f aca="false">IF(入力シート!$A68="","",0)</f>
        <v/>
      </c>
      <c r="D64" s="25" t="str">
        <f aca="false">IF(入力シート!$A68="","",TEXT(入力シート!A68,"YYYYMMDD"))</f>
        <v/>
      </c>
      <c r="E64" s="25" t="str">
        <f aca="false">IF(入力シート!$A68="","",TEXT(入力シート!Q68,"00000000"))</f>
        <v/>
      </c>
      <c r="F64" s="25" t="str">
        <f aca="false">IF(入力シート!$A68="","",14)</f>
        <v/>
      </c>
      <c r="G64" s="25" t="str">
        <f aca="false">IF(入力シート!$A68="","",1)</f>
        <v/>
      </c>
      <c r="H64" s="25" t="str">
        <f aca="false">IF(入力シート!$A68="","",1)</f>
        <v/>
      </c>
      <c r="I64" s="25" t="str">
        <f aca="false">IF(入力シート!$A68="","",3)</f>
        <v/>
      </c>
      <c r="J64" s="25" t="str">
        <f aca="false">IF(入力シート!$A68="","",1)</f>
        <v/>
      </c>
      <c r="K64" s="25" t="str">
        <f aca="false">IF(入力シート!$A68="","",入力シート!B68)</f>
        <v/>
      </c>
      <c r="L64" s="25" t="str">
        <f aca="false">IF(入力シート!$A68="","","")</f>
        <v/>
      </c>
      <c r="M64" s="25" t="str">
        <f aca="false">IF(入力シート!$A68="","","")</f>
        <v/>
      </c>
      <c r="N64" s="25" t="str">
        <f aca="false">IF(入力シート!$A68="","",入力シート!R68)</f>
        <v/>
      </c>
      <c r="O64" s="25" t="str">
        <f aca="false">IF(入力シート!$A68="","",IF(入力シート!G68="",1,入力シート!G68))</f>
        <v/>
      </c>
      <c r="P64" s="25" t="str">
        <f aca="false">IF(入力シート!$A68="","",入力シート!D68)</f>
        <v/>
      </c>
      <c r="Q64" s="25" t="str">
        <f aca="false">IF(入力シート!$A68="","","")</f>
        <v/>
      </c>
      <c r="R64" s="25" t="str">
        <f aca="false">IF(入力シート!$A68="","",入力シート!J68)</f>
        <v/>
      </c>
      <c r="S64" s="25" t="str">
        <f aca="false">IF(入力シート!$A68="","",入力シート!L68)</f>
        <v/>
      </c>
      <c r="T64" s="25" t="str">
        <f aca="false">IF(入力シート!$A68="","",入力シート!K68)</f>
        <v/>
      </c>
      <c r="U64" s="25" t="str">
        <f aca="false">IF(入力シート!$A68="","",0)</f>
        <v/>
      </c>
      <c r="V64" s="25" t="str">
        <f aca="false">IF(入力シート!$A68="","",0)</f>
        <v/>
      </c>
      <c r="W64" s="25" t="str">
        <f aca="false">IF(入力シート!$A68="","","0000")</f>
        <v/>
      </c>
      <c r="X64" s="25" t="str">
        <f aca="false">IF(入力シート!$A68="","",入力シート!E68)</f>
        <v/>
      </c>
      <c r="Y64" s="25" t="str">
        <f aca="false">IF(入力シート!$A68="","",入力シート!F68)</f>
        <v/>
      </c>
      <c r="Z64" s="25" t="str">
        <f aca="false">IF(入力シート!$A68="","",入力シート!O68)</f>
        <v/>
      </c>
      <c r="AA64" s="25" t="str">
        <f aca="false">IF(入力シート!$A68="","","")</f>
        <v/>
      </c>
      <c r="AB64" s="25" t="str">
        <f aca="false">IF(入力シート!$A68="","",入力シート!P68)</f>
        <v/>
      </c>
      <c r="AC64" s="25" t="str">
        <f aca="false">IF(入力シート!$A68="","",入力シート!U68)</f>
        <v/>
      </c>
      <c r="AD64" s="25" t="str">
        <f aca="false">IF(入力シート!$A68="","",0)</f>
        <v/>
      </c>
      <c r="AE64" s="25" t="str">
        <f aca="false">IF(入力シート!$A68="","",入力シート!I68)</f>
        <v/>
      </c>
      <c r="AF64" s="25" t="str">
        <f aca="false">IF(入力シート!$A68="","",入力シート!M68)</f>
        <v/>
      </c>
      <c r="AG64" s="25" t="str">
        <f aca="false">IF(入力シート!$A68="","",入力シート!N68)</f>
        <v/>
      </c>
      <c r="AH64" s="25" t="str">
        <f aca="false">IF(入力シート!$A68="","","")</f>
        <v/>
      </c>
      <c r="AI64" s="25" t="str">
        <f aca="false">IF(入力シート!$A68="","","")</f>
        <v/>
      </c>
      <c r="AJ64" s="25" t="str">
        <f aca="false">IF(入力シート!$A68="","","")</f>
        <v/>
      </c>
      <c r="AK64" s="25" t="str">
        <f aca="false">IF(入力シート!$A68="","",2)</f>
        <v/>
      </c>
      <c r="AL64" s="25" t="str">
        <f aca="false">IF(入力シート!$A68="","","")</f>
        <v/>
      </c>
      <c r="AM64" s="25" t="str">
        <f aca="false">IF(入力シート!$A68="","","")</f>
        <v/>
      </c>
      <c r="AN64" s="25" t="str">
        <f aca="false">IF(入力シート!$A68="","",入力シート!C68)</f>
        <v/>
      </c>
      <c r="AO64" s="25" t="str">
        <f aca="false">IF(入力シート!$A68="","","")</f>
        <v/>
      </c>
      <c r="AP64" s="25" t="str">
        <f aca="false">IF(入力シート!$A68="","","")</f>
        <v/>
      </c>
      <c r="AQ64" s="25" t="str">
        <f aca="false">IF(入力シート!$A68="","","")</f>
        <v/>
      </c>
    </row>
    <row r="65" customFormat="false" ht="15" hidden="false" customHeight="true" outlineLevel="0" collapsed="false">
      <c r="A65" s="25" t="str">
        <f aca="false">IF(入力シート!$A69="","",1)</f>
        <v/>
      </c>
      <c r="B65" s="25" t="str">
        <f aca="false">IF(入力シート!$A69="","",1)</f>
        <v/>
      </c>
      <c r="C65" s="25" t="str">
        <f aca="false">IF(入力シート!$A69="","",0)</f>
        <v/>
      </c>
      <c r="D65" s="25" t="str">
        <f aca="false">IF(入力シート!$A69="","",TEXT(入力シート!A69,"YYYYMMDD"))</f>
        <v/>
      </c>
      <c r="E65" s="25" t="str">
        <f aca="false">IF(入力シート!$A69="","",TEXT(入力シート!Q69,"00000000"))</f>
        <v/>
      </c>
      <c r="F65" s="25" t="str">
        <f aca="false">IF(入力シート!$A69="","",14)</f>
        <v/>
      </c>
      <c r="G65" s="25" t="str">
        <f aca="false">IF(入力シート!$A69="","",1)</f>
        <v/>
      </c>
      <c r="H65" s="25" t="str">
        <f aca="false">IF(入力シート!$A69="","",1)</f>
        <v/>
      </c>
      <c r="I65" s="25" t="str">
        <f aca="false">IF(入力シート!$A69="","",3)</f>
        <v/>
      </c>
      <c r="J65" s="25" t="str">
        <f aca="false">IF(入力シート!$A69="","",1)</f>
        <v/>
      </c>
      <c r="K65" s="25" t="str">
        <f aca="false">IF(入力シート!$A69="","",入力シート!B69)</f>
        <v/>
      </c>
      <c r="L65" s="25" t="str">
        <f aca="false">IF(入力シート!$A69="","","")</f>
        <v/>
      </c>
      <c r="M65" s="25" t="str">
        <f aca="false">IF(入力シート!$A69="","","")</f>
        <v/>
      </c>
      <c r="N65" s="25" t="str">
        <f aca="false">IF(入力シート!$A69="","",入力シート!R69)</f>
        <v/>
      </c>
      <c r="O65" s="25" t="str">
        <f aca="false">IF(入力シート!$A69="","",IF(入力シート!G69="",1,入力シート!G69))</f>
        <v/>
      </c>
      <c r="P65" s="25" t="str">
        <f aca="false">IF(入力シート!$A69="","",入力シート!D69)</f>
        <v/>
      </c>
      <c r="Q65" s="25" t="str">
        <f aca="false">IF(入力シート!$A69="","","")</f>
        <v/>
      </c>
      <c r="R65" s="25" t="str">
        <f aca="false">IF(入力シート!$A69="","",入力シート!J69)</f>
        <v/>
      </c>
      <c r="S65" s="25" t="str">
        <f aca="false">IF(入力シート!$A69="","",入力シート!L69)</f>
        <v/>
      </c>
      <c r="T65" s="25" t="str">
        <f aca="false">IF(入力シート!$A69="","",入力シート!K69)</f>
        <v/>
      </c>
      <c r="U65" s="25" t="str">
        <f aca="false">IF(入力シート!$A69="","",0)</f>
        <v/>
      </c>
      <c r="V65" s="25" t="str">
        <f aca="false">IF(入力シート!$A69="","",0)</f>
        <v/>
      </c>
      <c r="W65" s="25" t="str">
        <f aca="false">IF(入力シート!$A69="","","0000")</f>
        <v/>
      </c>
      <c r="X65" s="25" t="str">
        <f aca="false">IF(入力シート!$A69="","",入力シート!E69)</f>
        <v/>
      </c>
      <c r="Y65" s="25" t="str">
        <f aca="false">IF(入力シート!$A69="","",入力シート!F69)</f>
        <v/>
      </c>
      <c r="Z65" s="25" t="str">
        <f aca="false">IF(入力シート!$A69="","",入力シート!O69)</f>
        <v/>
      </c>
      <c r="AA65" s="25" t="str">
        <f aca="false">IF(入力シート!$A69="","","")</f>
        <v/>
      </c>
      <c r="AB65" s="25" t="str">
        <f aca="false">IF(入力シート!$A69="","",入力シート!P69)</f>
        <v/>
      </c>
      <c r="AC65" s="25" t="str">
        <f aca="false">IF(入力シート!$A69="","",入力シート!U69)</f>
        <v/>
      </c>
      <c r="AD65" s="25" t="str">
        <f aca="false">IF(入力シート!$A69="","",0)</f>
        <v/>
      </c>
      <c r="AE65" s="25" t="str">
        <f aca="false">IF(入力シート!$A69="","",入力シート!I69)</f>
        <v/>
      </c>
      <c r="AF65" s="25" t="str">
        <f aca="false">IF(入力シート!$A69="","",入力シート!M69)</f>
        <v/>
      </c>
      <c r="AG65" s="25" t="str">
        <f aca="false">IF(入力シート!$A69="","",入力シート!N69)</f>
        <v/>
      </c>
      <c r="AH65" s="25" t="str">
        <f aca="false">IF(入力シート!$A69="","","")</f>
        <v/>
      </c>
      <c r="AI65" s="25" t="str">
        <f aca="false">IF(入力シート!$A69="","","")</f>
        <v/>
      </c>
      <c r="AJ65" s="25" t="str">
        <f aca="false">IF(入力シート!$A69="","","")</f>
        <v/>
      </c>
      <c r="AK65" s="25" t="str">
        <f aca="false">IF(入力シート!$A69="","",2)</f>
        <v/>
      </c>
      <c r="AL65" s="25" t="str">
        <f aca="false">IF(入力シート!$A69="","","")</f>
        <v/>
      </c>
      <c r="AM65" s="25" t="str">
        <f aca="false">IF(入力シート!$A69="","","")</f>
        <v/>
      </c>
      <c r="AN65" s="25" t="str">
        <f aca="false">IF(入力シート!$A69="","",入力シート!C69)</f>
        <v/>
      </c>
      <c r="AO65" s="25" t="str">
        <f aca="false">IF(入力シート!$A69="","","")</f>
        <v/>
      </c>
      <c r="AP65" s="25" t="str">
        <f aca="false">IF(入力シート!$A69="","","")</f>
        <v/>
      </c>
      <c r="AQ65" s="25" t="str">
        <f aca="false">IF(入力シート!$A69="","","")</f>
        <v/>
      </c>
    </row>
    <row r="66" customFormat="false" ht="15" hidden="false" customHeight="true" outlineLevel="0" collapsed="false">
      <c r="A66" s="25" t="str">
        <f aca="false">IF(入力シート!$A70="","",1)</f>
        <v/>
      </c>
      <c r="B66" s="25" t="str">
        <f aca="false">IF(入力シート!$A70="","",1)</f>
        <v/>
      </c>
      <c r="C66" s="25" t="str">
        <f aca="false">IF(入力シート!$A70="","",0)</f>
        <v/>
      </c>
      <c r="D66" s="25" t="str">
        <f aca="false">IF(入力シート!$A70="","",TEXT(入力シート!A70,"YYYYMMDD"))</f>
        <v/>
      </c>
      <c r="E66" s="25" t="str">
        <f aca="false">IF(入力シート!$A70="","",TEXT(入力シート!Q70,"00000000"))</f>
        <v/>
      </c>
      <c r="F66" s="25" t="str">
        <f aca="false">IF(入力シート!$A70="","",14)</f>
        <v/>
      </c>
      <c r="G66" s="25" t="str">
        <f aca="false">IF(入力シート!$A70="","",1)</f>
        <v/>
      </c>
      <c r="H66" s="25" t="str">
        <f aca="false">IF(入力シート!$A70="","",1)</f>
        <v/>
      </c>
      <c r="I66" s="25" t="str">
        <f aca="false">IF(入力シート!$A70="","",3)</f>
        <v/>
      </c>
      <c r="J66" s="25" t="str">
        <f aca="false">IF(入力シート!$A70="","",1)</f>
        <v/>
      </c>
      <c r="K66" s="25" t="str">
        <f aca="false">IF(入力シート!$A70="","",入力シート!B70)</f>
        <v/>
      </c>
      <c r="L66" s="25" t="str">
        <f aca="false">IF(入力シート!$A70="","","")</f>
        <v/>
      </c>
      <c r="M66" s="25" t="str">
        <f aca="false">IF(入力シート!$A70="","","")</f>
        <v/>
      </c>
      <c r="N66" s="25" t="str">
        <f aca="false">IF(入力シート!$A70="","",入力シート!R70)</f>
        <v/>
      </c>
      <c r="O66" s="25" t="str">
        <f aca="false">IF(入力シート!$A70="","",IF(入力シート!G70="",1,入力シート!G70))</f>
        <v/>
      </c>
      <c r="P66" s="25" t="str">
        <f aca="false">IF(入力シート!$A70="","",入力シート!D70)</f>
        <v/>
      </c>
      <c r="Q66" s="25" t="str">
        <f aca="false">IF(入力シート!$A70="","","")</f>
        <v/>
      </c>
      <c r="R66" s="25" t="str">
        <f aca="false">IF(入力シート!$A70="","",入力シート!J70)</f>
        <v/>
      </c>
      <c r="S66" s="25" t="str">
        <f aca="false">IF(入力シート!$A70="","",入力シート!L70)</f>
        <v/>
      </c>
      <c r="T66" s="25" t="str">
        <f aca="false">IF(入力シート!$A70="","",入力シート!K70)</f>
        <v/>
      </c>
      <c r="U66" s="25" t="str">
        <f aca="false">IF(入力シート!$A70="","",0)</f>
        <v/>
      </c>
      <c r="V66" s="25" t="str">
        <f aca="false">IF(入力シート!$A70="","",0)</f>
        <v/>
      </c>
      <c r="W66" s="25" t="str">
        <f aca="false">IF(入力シート!$A70="","","0000")</f>
        <v/>
      </c>
      <c r="X66" s="25" t="str">
        <f aca="false">IF(入力シート!$A70="","",入力シート!E70)</f>
        <v/>
      </c>
      <c r="Y66" s="25" t="str">
        <f aca="false">IF(入力シート!$A70="","",入力シート!F70)</f>
        <v/>
      </c>
      <c r="Z66" s="25" t="str">
        <f aca="false">IF(入力シート!$A70="","",入力シート!O70)</f>
        <v/>
      </c>
      <c r="AA66" s="25" t="str">
        <f aca="false">IF(入力シート!$A70="","","")</f>
        <v/>
      </c>
      <c r="AB66" s="25" t="str">
        <f aca="false">IF(入力シート!$A70="","",入力シート!P70)</f>
        <v/>
      </c>
      <c r="AC66" s="25" t="str">
        <f aca="false">IF(入力シート!$A70="","",入力シート!U70)</f>
        <v/>
      </c>
      <c r="AD66" s="25" t="str">
        <f aca="false">IF(入力シート!$A70="","",0)</f>
        <v/>
      </c>
      <c r="AE66" s="25" t="str">
        <f aca="false">IF(入力シート!$A70="","",入力シート!I70)</f>
        <v/>
      </c>
      <c r="AF66" s="25" t="str">
        <f aca="false">IF(入力シート!$A70="","",入力シート!M70)</f>
        <v/>
      </c>
      <c r="AG66" s="25" t="str">
        <f aca="false">IF(入力シート!$A70="","",入力シート!N70)</f>
        <v/>
      </c>
      <c r="AH66" s="25" t="str">
        <f aca="false">IF(入力シート!$A70="","","")</f>
        <v/>
      </c>
      <c r="AI66" s="25" t="str">
        <f aca="false">IF(入力シート!$A70="","","")</f>
        <v/>
      </c>
      <c r="AJ66" s="25" t="str">
        <f aca="false">IF(入力シート!$A70="","","")</f>
        <v/>
      </c>
      <c r="AK66" s="25" t="str">
        <f aca="false">IF(入力シート!$A70="","",2)</f>
        <v/>
      </c>
      <c r="AL66" s="25" t="str">
        <f aca="false">IF(入力シート!$A70="","","")</f>
        <v/>
      </c>
      <c r="AM66" s="25" t="str">
        <f aca="false">IF(入力シート!$A70="","","")</f>
        <v/>
      </c>
      <c r="AN66" s="25" t="str">
        <f aca="false">IF(入力シート!$A70="","",入力シート!C70)</f>
        <v/>
      </c>
      <c r="AO66" s="25" t="str">
        <f aca="false">IF(入力シート!$A70="","","")</f>
        <v/>
      </c>
      <c r="AP66" s="25" t="str">
        <f aca="false">IF(入力シート!$A70="","","")</f>
        <v/>
      </c>
      <c r="AQ66" s="25" t="str">
        <f aca="false">IF(入力シート!$A70="","","")</f>
        <v/>
      </c>
    </row>
    <row r="67" customFormat="false" ht="15" hidden="false" customHeight="true" outlineLevel="0" collapsed="false">
      <c r="A67" s="25" t="str">
        <f aca="false">IF(入力シート!$A71="","",1)</f>
        <v/>
      </c>
      <c r="B67" s="25" t="str">
        <f aca="false">IF(入力シート!$A71="","",1)</f>
        <v/>
      </c>
      <c r="C67" s="25" t="str">
        <f aca="false">IF(入力シート!$A71="","",0)</f>
        <v/>
      </c>
      <c r="D67" s="25" t="str">
        <f aca="false">IF(入力シート!$A71="","",TEXT(入力シート!A71,"YYYYMMDD"))</f>
        <v/>
      </c>
      <c r="E67" s="25" t="str">
        <f aca="false">IF(入力シート!$A71="","",TEXT(入力シート!Q71,"00000000"))</f>
        <v/>
      </c>
      <c r="F67" s="25" t="str">
        <f aca="false">IF(入力シート!$A71="","",14)</f>
        <v/>
      </c>
      <c r="G67" s="25" t="str">
        <f aca="false">IF(入力シート!$A71="","",1)</f>
        <v/>
      </c>
      <c r="H67" s="25" t="str">
        <f aca="false">IF(入力シート!$A71="","",1)</f>
        <v/>
      </c>
      <c r="I67" s="25" t="str">
        <f aca="false">IF(入力シート!$A71="","",3)</f>
        <v/>
      </c>
      <c r="J67" s="25" t="str">
        <f aca="false">IF(入力シート!$A71="","",1)</f>
        <v/>
      </c>
      <c r="K67" s="25" t="str">
        <f aca="false">IF(入力シート!$A71="","",入力シート!B71)</f>
        <v/>
      </c>
      <c r="L67" s="25" t="str">
        <f aca="false">IF(入力シート!$A71="","","")</f>
        <v/>
      </c>
      <c r="M67" s="25" t="str">
        <f aca="false">IF(入力シート!$A71="","","")</f>
        <v/>
      </c>
      <c r="N67" s="25" t="str">
        <f aca="false">IF(入力シート!$A71="","",入力シート!R71)</f>
        <v/>
      </c>
      <c r="O67" s="25" t="str">
        <f aca="false">IF(入力シート!$A71="","",IF(入力シート!G71="",1,入力シート!G71))</f>
        <v/>
      </c>
      <c r="P67" s="25" t="str">
        <f aca="false">IF(入力シート!$A71="","",入力シート!D71)</f>
        <v/>
      </c>
      <c r="Q67" s="25" t="str">
        <f aca="false">IF(入力シート!$A71="","","")</f>
        <v/>
      </c>
      <c r="R67" s="25" t="str">
        <f aca="false">IF(入力シート!$A71="","",入力シート!J71)</f>
        <v/>
      </c>
      <c r="S67" s="25" t="str">
        <f aca="false">IF(入力シート!$A71="","",入力シート!L71)</f>
        <v/>
      </c>
      <c r="T67" s="25" t="str">
        <f aca="false">IF(入力シート!$A71="","",入力シート!K71)</f>
        <v/>
      </c>
      <c r="U67" s="25" t="str">
        <f aca="false">IF(入力シート!$A71="","",0)</f>
        <v/>
      </c>
      <c r="V67" s="25" t="str">
        <f aca="false">IF(入力シート!$A71="","",0)</f>
        <v/>
      </c>
      <c r="W67" s="25" t="str">
        <f aca="false">IF(入力シート!$A71="","","0000")</f>
        <v/>
      </c>
      <c r="X67" s="25" t="str">
        <f aca="false">IF(入力シート!$A71="","",入力シート!E71)</f>
        <v/>
      </c>
      <c r="Y67" s="25" t="str">
        <f aca="false">IF(入力シート!$A71="","",入力シート!F71)</f>
        <v/>
      </c>
      <c r="Z67" s="25" t="str">
        <f aca="false">IF(入力シート!$A71="","",入力シート!O71)</f>
        <v/>
      </c>
      <c r="AA67" s="25" t="str">
        <f aca="false">IF(入力シート!$A71="","","")</f>
        <v/>
      </c>
      <c r="AB67" s="25" t="str">
        <f aca="false">IF(入力シート!$A71="","",入力シート!P71)</f>
        <v/>
      </c>
      <c r="AC67" s="25" t="str">
        <f aca="false">IF(入力シート!$A71="","",入力シート!U71)</f>
        <v/>
      </c>
      <c r="AD67" s="25" t="str">
        <f aca="false">IF(入力シート!$A71="","",0)</f>
        <v/>
      </c>
      <c r="AE67" s="25" t="str">
        <f aca="false">IF(入力シート!$A71="","",入力シート!I71)</f>
        <v/>
      </c>
      <c r="AF67" s="25" t="str">
        <f aca="false">IF(入力シート!$A71="","",入力シート!M71)</f>
        <v/>
      </c>
      <c r="AG67" s="25" t="str">
        <f aca="false">IF(入力シート!$A71="","",入力シート!N71)</f>
        <v/>
      </c>
      <c r="AH67" s="25" t="str">
        <f aca="false">IF(入力シート!$A71="","","")</f>
        <v/>
      </c>
      <c r="AI67" s="25" t="str">
        <f aca="false">IF(入力シート!$A71="","","")</f>
        <v/>
      </c>
      <c r="AJ67" s="25" t="str">
        <f aca="false">IF(入力シート!$A71="","","")</f>
        <v/>
      </c>
      <c r="AK67" s="25" t="str">
        <f aca="false">IF(入力シート!$A71="","",2)</f>
        <v/>
      </c>
      <c r="AL67" s="25" t="str">
        <f aca="false">IF(入力シート!$A71="","","")</f>
        <v/>
      </c>
      <c r="AM67" s="25" t="str">
        <f aca="false">IF(入力シート!$A71="","","")</f>
        <v/>
      </c>
      <c r="AN67" s="25" t="str">
        <f aca="false">IF(入力シート!$A71="","",入力シート!C71)</f>
        <v/>
      </c>
      <c r="AO67" s="25" t="str">
        <f aca="false">IF(入力シート!$A71="","","")</f>
        <v/>
      </c>
      <c r="AP67" s="25" t="str">
        <f aca="false">IF(入力シート!$A71="","","")</f>
        <v/>
      </c>
      <c r="AQ67" s="25" t="str">
        <f aca="false">IF(入力シート!$A71="","","")</f>
        <v/>
      </c>
    </row>
    <row r="68" customFormat="false" ht="15" hidden="false" customHeight="true" outlineLevel="0" collapsed="false">
      <c r="A68" s="25" t="str">
        <f aca="false">IF(入力シート!$A72="","",1)</f>
        <v/>
      </c>
      <c r="B68" s="25" t="str">
        <f aca="false">IF(入力シート!$A72="","",1)</f>
        <v/>
      </c>
      <c r="C68" s="25" t="str">
        <f aca="false">IF(入力シート!$A72="","",0)</f>
        <v/>
      </c>
      <c r="D68" s="25" t="str">
        <f aca="false">IF(入力シート!$A72="","",TEXT(入力シート!A72,"YYYYMMDD"))</f>
        <v/>
      </c>
      <c r="E68" s="25" t="str">
        <f aca="false">IF(入力シート!$A72="","",TEXT(入力シート!Q72,"00000000"))</f>
        <v/>
      </c>
      <c r="F68" s="25" t="str">
        <f aca="false">IF(入力シート!$A72="","",14)</f>
        <v/>
      </c>
      <c r="G68" s="25" t="str">
        <f aca="false">IF(入力シート!$A72="","",1)</f>
        <v/>
      </c>
      <c r="H68" s="25" t="str">
        <f aca="false">IF(入力シート!$A72="","",1)</f>
        <v/>
      </c>
      <c r="I68" s="25" t="str">
        <f aca="false">IF(入力シート!$A72="","",3)</f>
        <v/>
      </c>
      <c r="J68" s="25" t="str">
        <f aca="false">IF(入力シート!$A72="","",1)</f>
        <v/>
      </c>
      <c r="K68" s="25" t="str">
        <f aca="false">IF(入力シート!$A72="","",入力シート!B72)</f>
        <v/>
      </c>
      <c r="L68" s="25" t="str">
        <f aca="false">IF(入力シート!$A72="","","")</f>
        <v/>
      </c>
      <c r="M68" s="25" t="str">
        <f aca="false">IF(入力シート!$A72="","","")</f>
        <v/>
      </c>
      <c r="N68" s="25" t="str">
        <f aca="false">IF(入力シート!$A72="","",入力シート!R72)</f>
        <v/>
      </c>
      <c r="O68" s="25" t="str">
        <f aca="false">IF(入力シート!$A72="","",IF(入力シート!G72="",1,入力シート!G72))</f>
        <v/>
      </c>
      <c r="P68" s="25" t="str">
        <f aca="false">IF(入力シート!$A72="","",入力シート!D72)</f>
        <v/>
      </c>
      <c r="Q68" s="25" t="str">
        <f aca="false">IF(入力シート!$A72="","","")</f>
        <v/>
      </c>
      <c r="R68" s="25" t="str">
        <f aca="false">IF(入力シート!$A72="","",入力シート!J72)</f>
        <v/>
      </c>
      <c r="S68" s="25" t="str">
        <f aca="false">IF(入力シート!$A72="","",入力シート!L72)</f>
        <v/>
      </c>
      <c r="T68" s="25" t="str">
        <f aca="false">IF(入力シート!$A72="","",入力シート!K72)</f>
        <v/>
      </c>
      <c r="U68" s="25" t="str">
        <f aca="false">IF(入力シート!$A72="","",0)</f>
        <v/>
      </c>
      <c r="V68" s="25" t="str">
        <f aca="false">IF(入力シート!$A72="","",0)</f>
        <v/>
      </c>
      <c r="W68" s="25" t="str">
        <f aca="false">IF(入力シート!$A72="","","0000")</f>
        <v/>
      </c>
      <c r="X68" s="25" t="str">
        <f aca="false">IF(入力シート!$A72="","",入力シート!E72)</f>
        <v/>
      </c>
      <c r="Y68" s="25" t="str">
        <f aca="false">IF(入力シート!$A72="","",入力シート!F72)</f>
        <v/>
      </c>
      <c r="Z68" s="25" t="str">
        <f aca="false">IF(入力シート!$A72="","",入力シート!O72)</f>
        <v/>
      </c>
      <c r="AA68" s="25" t="str">
        <f aca="false">IF(入力シート!$A72="","","")</f>
        <v/>
      </c>
      <c r="AB68" s="25" t="str">
        <f aca="false">IF(入力シート!$A72="","",入力シート!P72)</f>
        <v/>
      </c>
      <c r="AC68" s="25" t="str">
        <f aca="false">IF(入力シート!$A72="","",入力シート!U72)</f>
        <v/>
      </c>
      <c r="AD68" s="25" t="str">
        <f aca="false">IF(入力シート!$A72="","",0)</f>
        <v/>
      </c>
      <c r="AE68" s="25" t="str">
        <f aca="false">IF(入力シート!$A72="","",入力シート!I72)</f>
        <v/>
      </c>
      <c r="AF68" s="25" t="str">
        <f aca="false">IF(入力シート!$A72="","",入力シート!M72)</f>
        <v/>
      </c>
      <c r="AG68" s="25" t="str">
        <f aca="false">IF(入力シート!$A72="","",入力シート!N72)</f>
        <v/>
      </c>
      <c r="AH68" s="25" t="str">
        <f aca="false">IF(入力シート!$A72="","","")</f>
        <v/>
      </c>
      <c r="AI68" s="25" t="str">
        <f aca="false">IF(入力シート!$A72="","","")</f>
        <v/>
      </c>
      <c r="AJ68" s="25" t="str">
        <f aca="false">IF(入力シート!$A72="","","")</f>
        <v/>
      </c>
      <c r="AK68" s="25" t="str">
        <f aca="false">IF(入力シート!$A72="","",2)</f>
        <v/>
      </c>
      <c r="AL68" s="25" t="str">
        <f aca="false">IF(入力シート!$A72="","","")</f>
        <v/>
      </c>
      <c r="AM68" s="25" t="str">
        <f aca="false">IF(入力シート!$A72="","","")</f>
        <v/>
      </c>
      <c r="AN68" s="25" t="str">
        <f aca="false">IF(入力シート!$A72="","",入力シート!C72)</f>
        <v/>
      </c>
      <c r="AO68" s="25" t="str">
        <f aca="false">IF(入力シート!$A72="","","")</f>
        <v/>
      </c>
      <c r="AP68" s="25" t="str">
        <f aca="false">IF(入力シート!$A72="","","")</f>
        <v/>
      </c>
      <c r="AQ68" s="25" t="str">
        <f aca="false">IF(入力シート!$A72="","","")</f>
        <v/>
      </c>
    </row>
    <row r="69" customFormat="false" ht="15" hidden="false" customHeight="true" outlineLevel="0" collapsed="false">
      <c r="A69" s="25" t="str">
        <f aca="false">IF(入力シート!$A73="","",1)</f>
        <v/>
      </c>
      <c r="B69" s="25" t="str">
        <f aca="false">IF(入力シート!$A73="","",1)</f>
        <v/>
      </c>
      <c r="C69" s="25" t="str">
        <f aca="false">IF(入力シート!$A73="","",0)</f>
        <v/>
      </c>
      <c r="D69" s="25" t="str">
        <f aca="false">IF(入力シート!$A73="","",TEXT(入力シート!A73,"YYYYMMDD"))</f>
        <v/>
      </c>
      <c r="E69" s="25" t="str">
        <f aca="false">IF(入力シート!$A73="","",TEXT(入力シート!Q73,"00000000"))</f>
        <v/>
      </c>
      <c r="F69" s="25" t="str">
        <f aca="false">IF(入力シート!$A73="","",14)</f>
        <v/>
      </c>
      <c r="G69" s="25" t="str">
        <f aca="false">IF(入力シート!$A73="","",1)</f>
        <v/>
      </c>
      <c r="H69" s="25" t="str">
        <f aca="false">IF(入力シート!$A73="","",1)</f>
        <v/>
      </c>
      <c r="I69" s="25" t="str">
        <f aca="false">IF(入力シート!$A73="","",3)</f>
        <v/>
      </c>
      <c r="J69" s="25" t="str">
        <f aca="false">IF(入力シート!$A73="","",1)</f>
        <v/>
      </c>
      <c r="K69" s="25" t="str">
        <f aca="false">IF(入力シート!$A73="","",入力シート!B73)</f>
        <v/>
      </c>
      <c r="L69" s="25" t="str">
        <f aca="false">IF(入力シート!$A73="","","")</f>
        <v/>
      </c>
      <c r="M69" s="25" t="str">
        <f aca="false">IF(入力シート!$A73="","","")</f>
        <v/>
      </c>
      <c r="N69" s="25" t="str">
        <f aca="false">IF(入力シート!$A73="","",入力シート!R73)</f>
        <v/>
      </c>
      <c r="O69" s="25" t="str">
        <f aca="false">IF(入力シート!$A73="","",IF(入力シート!G73="",1,入力シート!G73))</f>
        <v/>
      </c>
      <c r="P69" s="25" t="str">
        <f aca="false">IF(入力シート!$A73="","",入力シート!D73)</f>
        <v/>
      </c>
      <c r="Q69" s="25" t="str">
        <f aca="false">IF(入力シート!$A73="","","")</f>
        <v/>
      </c>
      <c r="R69" s="25" t="str">
        <f aca="false">IF(入力シート!$A73="","",入力シート!J73)</f>
        <v/>
      </c>
      <c r="S69" s="25" t="str">
        <f aca="false">IF(入力シート!$A73="","",入力シート!L73)</f>
        <v/>
      </c>
      <c r="T69" s="25" t="str">
        <f aca="false">IF(入力シート!$A73="","",入力シート!K73)</f>
        <v/>
      </c>
      <c r="U69" s="25" t="str">
        <f aca="false">IF(入力シート!$A73="","",0)</f>
        <v/>
      </c>
      <c r="V69" s="25" t="str">
        <f aca="false">IF(入力シート!$A73="","",0)</f>
        <v/>
      </c>
      <c r="W69" s="25" t="str">
        <f aca="false">IF(入力シート!$A73="","","0000")</f>
        <v/>
      </c>
      <c r="X69" s="25" t="str">
        <f aca="false">IF(入力シート!$A73="","",入力シート!E73)</f>
        <v/>
      </c>
      <c r="Y69" s="25" t="str">
        <f aca="false">IF(入力シート!$A73="","",入力シート!F73)</f>
        <v/>
      </c>
      <c r="Z69" s="25" t="str">
        <f aca="false">IF(入力シート!$A73="","",入力シート!O73)</f>
        <v/>
      </c>
      <c r="AA69" s="25" t="str">
        <f aca="false">IF(入力シート!$A73="","","")</f>
        <v/>
      </c>
      <c r="AB69" s="25" t="str">
        <f aca="false">IF(入力シート!$A73="","",入力シート!P73)</f>
        <v/>
      </c>
      <c r="AC69" s="25" t="str">
        <f aca="false">IF(入力シート!$A73="","",入力シート!U73)</f>
        <v/>
      </c>
      <c r="AD69" s="25" t="str">
        <f aca="false">IF(入力シート!$A73="","",0)</f>
        <v/>
      </c>
      <c r="AE69" s="25" t="str">
        <f aca="false">IF(入力シート!$A73="","",入力シート!I73)</f>
        <v/>
      </c>
      <c r="AF69" s="25" t="str">
        <f aca="false">IF(入力シート!$A73="","",入力シート!M73)</f>
        <v/>
      </c>
      <c r="AG69" s="25" t="str">
        <f aca="false">IF(入力シート!$A73="","",入力シート!N73)</f>
        <v/>
      </c>
      <c r="AH69" s="25" t="str">
        <f aca="false">IF(入力シート!$A73="","","")</f>
        <v/>
      </c>
      <c r="AI69" s="25" t="str">
        <f aca="false">IF(入力シート!$A73="","","")</f>
        <v/>
      </c>
      <c r="AJ69" s="25" t="str">
        <f aca="false">IF(入力シート!$A73="","","")</f>
        <v/>
      </c>
      <c r="AK69" s="25" t="str">
        <f aca="false">IF(入力シート!$A73="","",2)</f>
        <v/>
      </c>
      <c r="AL69" s="25" t="str">
        <f aca="false">IF(入力シート!$A73="","","")</f>
        <v/>
      </c>
      <c r="AM69" s="25" t="str">
        <f aca="false">IF(入力シート!$A73="","","")</f>
        <v/>
      </c>
      <c r="AN69" s="25" t="str">
        <f aca="false">IF(入力シート!$A73="","",入力シート!C73)</f>
        <v/>
      </c>
      <c r="AO69" s="25" t="str">
        <f aca="false">IF(入力シート!$A73="","","")</f>
        <v/>
      </c>
      <c r="AP69" s="25" t="str">
        <f aca="false">IF(入力シート!$A73="","","")</f>
        <v/>
      </c>
      <c r="AQ69" s="25" t="str">
        <f aca="false">IF(入力シート!$A73="","","")</f>
        <v/>
      </c>
    </row>
    <row r="70" customFormat="false" ht="15" hidden="false" customHeight="true" outlineLevel="0" collapsed="false">
      <c r="A70" s="25" t="str">
        <f aca="false">IF(入力シート!$A74="","",1)</f>
        <v/>
      </c>
      <c r="B70" s="25" t="str">
        <f aca="false">IF(入力シート!$A74="","",1)</f>
        <v/>
      </c>
      <c r="C70" s="25" t="str">
        <f aca="false">IF(入力シート!$A74="","",0)</f>
        <v/>
      </c>
      <c r="D70" s="25" t="str">
        <f aca="false">IF(入力シート!$A74="","",TEXT(入力シート!A74,"YYYYMMDD"))</f>
        <v/>
      </c>
      <c r="E70" s="25" t="str">
        <f aca="false">IF(入力シート!$A74="","",TEXT(入力シート!Q74,"00000000"))</f>
        <v/>
      </c>
      <c r="F70" s="25" t="str">
        <f aca="false">IF(入力シート!$A74="","",14)</f>
        <v/>
      </c>
      <c r="G70" s="25" t="str">
        <f aca="false">IF(入力シート!$A74="","",1)</f>
        <v/>
      </c>
      <c r="H70" s="25" t="str">
        <f aca="false">IF(入力シート!$A74="","",1)</f>
        <v/>
      </c>
      <c r="I70" s="25" t="str">
        <f aca="false">IF(入力シート!$A74="","",3)</f>
        <v/>
      </c>
      <c r="J70" s="25" t="str">
        <f aca="false">IF(入力シート!$A74="","",1)</f>
        <v/>
      </c>
      <c r="K70" s="25" t="str">
        <f aca="false">IF(入力シート!$A74="","",入力シート!B74)</f>
        <v/>
      </c>
      <c r="L70" s="25" t="str">
        <f aca="false">IF(入力シート!$A74="","","")</f>
        <v/>
      </c>
      <c r="M70" s="25" t="str">
        <f aca="false">IF(入力シート!$A74="","","")</f>
        <v/>
      </c>
      <c r="N70" s="25" t="str">
        <f aca="false">IF(入力シート!$A74="","",入力シート!R74)</f>
        <v/>
      </c>
      <c r="O70" s="25" t="str">
        <f aca="false">IF(入力シート!$A74="","",IF(入力シート!G74="",1,入力シート!G74))</f>
        <v/>
      </c>
      <c r="P70" s="25" t="str">
        <f aca="false">IF(入力シート!$A74="","",入力シート!D74)</f>
        <v/>
      </c>
      <c r="Q70" s="25" t="str">
        <f aca="false">IF(入力シート!$A74="","","")</f>
        <v/>
      </c>
      <c r="R70" s="25" t="str">
        <f aca="false">IF(入力シート!$A74="","",入力シート!J74)</f>
        <v/>
      </c>
      <c r="S70" s="25" t="str">
        <f aca="false">IF(入力シート!$A74="","",入力シート!L74)</f>
        <v/>
      </c>
      <c r="T70" s="25" t="str">
        <f aca="false">IF(入力シート!$A74="","",入力シート!K74)</f>
        <v/>
      </c>
      <c r="U70" s="25" t="str">
        <f aca="false">IF(入力シート!$A74="","",0)</f>
        <v/>
      </c>
      <c r="V70" s="25" t="str">
        <f aca="false">IF(入力シート!$A74="","",0)</f>
        <v/>
      </c>
      <c r="W70" s="25" t="str">
        <f aca="false">IF(入力シート!$A74="","","0000")</f>
        <v/>
      </c>
      <c r="X70" s="25" t="str">
        <f aca="false">IF(入力シート!$A74="","",入力シート!E74)</f>
        <v/>
      </c>
      <c r="Y70" s="25" t="str">
        <f aca="false">IF(入力シート!$A74="","",入力シート!F74)</f>
        <v/>
      </c>
      <c r="Z70" s="25" t="str">
        <f aca="false">IF(入力シート!$A74="","",入力シート!O74)</f>
        <v/>
      </c>
      <c r="AA70" s="25" t="str">
        <f aca="false">IF(入力シート!$A74="","","")</f>
        <v/>
      </c>
      <c r="AB70" s="25" t="str">
        <f aca="false">IF(入力シート!$A74="","",入力シート!P74)</f>
        <v/>
      </c>
      <c r="AC70" s="25" t="str">
        <f aca="false">IF(入力シート!$A74="","",入力シート!U74)</f>
        <v/>
      </c>
      <c r="AD70" s="25" t="str">
        <f aca="false">IF(入力シート!$A74="","",0)</f>
        <v/>
      </c>
      <c r="AE70" s="25" t="str">
        <f aca="false">IF(入力シート!$A74="","",入力シート!I74)</f>
        <v/>
      </c>
      <c r="AF70" s="25" t="str">
        <f aca="false">IF(入力シート!$A74="","",入力シート!M74)</f>
        <v/>
      </c>
      <c r="AG70" s="25" t="str">
        <f aca="false">IF(入力シート!$A74="","",入力シート!N74)</f>
        <v/>
      </c>
      <c r="AH70" s="25" t="str">
        <f aca="false">IF(入力シート!$A74="","","")</f>
        <v/>
      </c>
      <c r="AI70" s="25" t="str">
        <f aca="false">IF(入力シート!$A74="","","")</f>
        <v/>
      </c>
      <c r="AJ70" s="25" t="str">
        <f aca="false">IF(入力シート!$A74="","","")</f>
        <v/>
      </c>
      <c r="AK70" s="25" t="str">
        <f aca="false">IF(入力シート!$A74="","",2)</f>
        <v/>
      </c>
      <c r="AL70" s="25" t="str">
        <f aca="false">IF(入力シート!$A74="","","")</f>
        <v/>
      </c>
      <c r="AM70" s="25" t="str">
        <f aca="false">IF(入力シート!$A74="","","")</f>
        <v/>
      </c>
      <c r="AN70" s="25" t="str">
        <f aca="false">IF(入力シート!$A74="","",入力シート!C74)</f>
        <v/>
      </c>
      <c r="AO70" s="25" t="str">
        <f aca="false">IF(入力シート!$A74="","","")</f>
        <v/>
      </c>
      <c r="AP70" s="25" t="str">
        <f aca="false">IF(入力シート!$A74="","","")</f>
        <v/>
      </c>
      <c r="AQ70" s="25" t="str">
        <f aca="false">IF(入力シート!$A74="","","")</f>
        <v/>
      </c>
    </row>
    <row r="71" customFormat="false" ht="15" hidden="false" customHeight="true" outlineLevel="0" collapsed="false">
      <c r="A71" s="25" t="str">
        <f aca="false">IF(入力シート!$A75="","",1)</f>
        <v/>
      </c>
      <c r="B71" s="25" t="str">
        <f aca="false">IF(入力シート!$A75="","",1)</f>
        <v/>
      </c>
      <c r="C71" s="25" t="str">
        <f aca="false">IF(入力シート!$A75="","",0)</f>
        <v/>
      </c>
      <c r="D71" s="25" t="str">
        <f aca="false">IF(入力シート!$A75="","",TEXT(入力シート!A75,"YYYYMMDD"))</f>
        <v/>
      </c>
      <c r="E71" s="25" t="str">
        <f aca="false">IF(入力シート!$A75="","",TEXT(入力シート!Q75,"00000000"))</f>
        <v/>
      </c>
      <c r="F71" s="25" t="str">
        <f aca="false">IF(入力シート!$A75="","",14)</f>
        <v/>
      </c>
      <c r="G71" s="25" t="str">
        <f aca="false">IF(入力シート!$A75="","",1)</f>
        <v/>
      </c>
      <c r="H71" s="25" t="str">
        <f aca="false">IF(入力シート!$A75="","",1)</f>
        <v/>
      </c>
      <c r="I71" s="25" t="str">
        <f aca="false">IF(入力シート!$A75="","",3)</f>
        <v/>
      </c>
      <c r="J71" s="25" t="str">
        <f aca="false">IF(入力シート!$A75="","",1)</f>
        <v/>
      </c>
      <c r="K71" s="25" t="str">
        <f aca="false">IF(入力シート!$A75="","",入力シート!B75)</f>
        <v/>
      </c>
      <c r="L71" s="25" t="str">
        <f aca="false">IF(入力シート!$A75="","","")</f>
        <v/>
      </c>
      <c r="M71" s="25" t="str">
        <f aca="false">IF(入力シート!$A75="","","")</f>
        <v/>
      </c>
      <c r="N71" s="25" t="str">
        <f aca="false">IF(入力シート!$A75="","",入力シート!R75)</f>
        <v/>
      </c>
      <c r="O71" s="25" t="str">
        <f aca="false">IF(入力シート!$A75="","",IF(入力シート!G75="",1,入力シート!G75))</f>
        <v/>
      </c>
      <c r="P71" s="25" t="str">
        <f aca="false">IF(入力シート!$A75="","",入力シート!D75)</f>
        <v/>
      </c>
      <c r="Q71" s="25" t="str">
        <f aca="false">IF(入力シート!$A75="","","")</f>
        <v/>
      </c>
      <c r="R71" s="25" t="str">
        <f aca="false">IF(入力シート!$A75="","",入力シート!J75)</f>
        <v/>
      </c>
      <c r="S71" s="25" t="str">
        <f aca="false">IF(入力シート!$A75="","",入力シート!L75)</f>
        <v/>
      </c>
      <c r="T71" s="25" t="str">
        <f aca="false">IF(入力シート!$A75="","",入力シート!K75)</f>
        <v/>
      </c>
      <c r="U71" s="25" t="str">
        <f aca="false">IF(入力シート!$A75="","",0)</f>
        <v/>
      </c>
      <c r="V71" s="25" t="str">
        <f aca="false">IF(入力シート!$A75="","",0)</f>
        <v/>
      </c>
      <c r="W71" s="25" t="str">
        <f aca="false">IF(入力シート!$A75="","","0000")</f>
        <v/>
      </c>
      <c r="X71" s="25" t="str">
        <f aca="false">IF(入力シート!$A75="","",入力シート!E75)</f>
        <v/>
      </c>
      <c r="Y71" s="25" t="str">
        <f aca="false">IF(入力シート!$A75="","",入力シート!F75)</f>
        <v/>
      </c>
      <c r="Z71" s="25" t="str">
        <f aca="false">IF(入力シート!$A75="","",入力シート!O75)</f>
        <v/>
      </c>
      <c r="AA71" s="25" t="str">
        <f aca="false">IF(入力シート!$A75="","","")</f>
        <v/>
      </c>
      <c r="AB71" s="25" t="str">
        <f aca="false">IF(入力シート!$A75="","",入力シート!P75)</f>
        <v/>
      </c>
      <c r="AC71" s="25" t="str">
        <f aca="false">IF(入力シート!$A75="","",入力シート!U75)</f>
        <v/>
      </c>
      <c r="AD71" s="25" t="str">
        <f aca="false">IF(入力シート!$A75="","",0)</f>
        <v/>
      </c>
      <c r="AE71" s="25" t="str">
        <f aca="false">IF(入力シート!$A75="","",入力シート!I75)</f>
        <v/>
      </c>
      <c r="AF71" s="25" t="str">
        <f aca="false">IF(入力シート!$A75="","",入力シート!M75)</f>
        <v/>
      </c>
      <c r="AG71" s="25" t="str">
        <f aca="false">IF(入力シート!$A75="","",入力シート!N75)</f>
        <v/>
      </c>
      <c r="AH71" s="25" t="str">
        <f aca="false">IF(入力シート!$A75="","","")</f>
        <v/>
      </c>
      <c r="AI71" s="25" t="str">
        <f aca="false">IF(入力シート!$A75="","","")</f>
        <v/>
      </c>
      <c r="AJ71" s="25" t="str">
        <f aca="false">IF(入力シート!$A75="","","")</f>
        <v/>
      </c>
      <c r="AK71" s="25" t="str">
        <f aca="false">IF(入力シート!$A75="","",2)</f>
        <v/>
      </c>
      <c r="AL71" s="25" t="str">
        <f aca="false">IF(入力シート!$A75="","","")</f>
        <v/>
      </c>
      <c r="AM71" s="25" t="str">
        <f aca="false">IF(入力シート!$A75="","","")</f>
        <v/>
      </c>
      <c r="AN71" s="25" t="str">
        <f aca="false">IF(入力シート!$A75="","",入力シート!C75)</f>
        <v/>
      </c>
      <c r="AO71" s="25" t="str">
        <f aca="false">IF(入力シート!$A75="","","")</f>
        <v/>
      </c>
      <c r="AP71" s="25" t="str">
        <f aca="false">IF(入力シート!$A75="","","")</f>
        <v/>
      </c>
      <c r="AQ71" s="25" t="str">
        <f aca="false">IF(入力シート!$A75="","","")</f>
        <v/>
      </c>
    </row>
    <row r="72" customFormat="false" ht="15" hidden="false" customHeight="true" outlineLevel="0" collapsed="false">
      <c r="A72" s="25" t="str">
        <f aca="false">IF(入力シート!$A76="","",1)</f>
        <v/>
      </c>
      <c r="B72" s="25" t="str">
        <f aca="false">IF(入力シート!$A76="","",1)</f>
        <v/>
      </c>
      <c r="C72" s="25" t="str">
        <f aca="false">IF(入力シート!$A76="","",0)</f>
        <v/>
      </c>
      <c r="D72" s="25" t="str">
        <f aca="false">IF(入力シート!$A76="","",TEXT(入力シート!A76,"YYYYMMDD"))</f>
        <v/>
      </c>
      <c r="E72" s="25" t="str">
        <f aca="false">IF(入力シート!$A76="","",TEXT(入力シート!Q76,"00000000"))</f>
        <v/>
      </c>
      <c r="F72" s="25" t="str">
        <f aca="false">IF(入力シート!$A76="","",14)</f>
        <v/>
      </c>
      <c r="G72" s="25" t="str">
        <f aca="false">IF(入力シート!$A76="","",1)</f>
        <v/>
      </c>
      <c r="H72" s="25" t="str">
        <f aca="false">IF(入力シート!$A76="","",1)</f>
        <v/>
      </c>
      <c r="I72" s="25" t="str">
        <f aca="false">IF(入力シート!$A76="","",3)</f>
        <v/>
      </c>
      <c r="J72" s="25" t="str">
        <f aca="false">IF(入力シート!$A76="","",1)</f>
        <v/>
      </c>
      <c r="K72" s="25" t="str">
        <f aca="false">IF(入力シート!$A76="","",入力シート!B76)</f>
        <v/>
      </c>
      <c r="L72" s="25" t="str">
        <f aca="false">IF(入力シート!$A76="","","")</f>
        <v/>
      </c>
      <c r="M72" s="25" t="str">
        <f aca="false">IF(入力シート!$A76="","","")</f>
        <v/>
      </c>
      <c r="N72" s="25" t="str">
        <f aca="false">IF(入力シート!$A76="","",入力シート!R76)</f>
        <v/>
      </c>
      <c r="O72" s="25" t="str">
        <f aca="false">IF(入力シート!$A76="","",IF(入力シート!G76="",1,入力シート!G76))</f>
        <v/>
      </c>
      <c r="P72" s="25" t="str">
        <f aca="false">IF(入力シート!$A76="","",入力シート!D76)</f>
        <v/>
      </c>
      <c r="Q72" s="25" t="str">
        <f aca="false">IF(入力シート!$A76="","","")</f>
        <v/>
      </c>
      <c r="R72" s="25" t="str">
        <f aca="false">IF(入力シート!$A76="","",入力シート!J76)</f>
        <v/>
      </c>
      <c r="S72" s="25" t="str">
        <f aca="false">IF(入力シート!$A76="","",入力シート!L76)</f>
        <v/>
      </c>
      <c r="T72" s="25" t="str">
        <f aca="false">IF(入力シート!$A76="","",入力シート!K76)</f>
        <v/>
      </c>
      <c r="U72" s="25" t="str">
        <f aca="false">IF(入力シート!$A76="","",0)</f>
        <v/>
      </c>
      <c r="V72" s="25" t="str">
        <f aca="false">IF(入力シート!$A76="","",0)</f>
        <v/>
      </c>
      <c r="W72" s="25" t="str">
        <f aca="false">IF(入力シート!$A76="","","0000")</f>
        <v/>
      </c>
      <c r="X72" s="25" t="str">
        <f aca="false">IF(入力シート!$A76="","",入力シート!E76)</f>
        <v/>
      </c>
      <c r="Y72" s="25" t="str">
        <f aca="false">IF(入力シート!$A76="","",入力シート!F76)</f>
        <v/>
      </c>
      <c r="Z72" s="25" t="str">
        <f aca="false">IF(入力シート!$A76="","",入力シート!O76)</f>
        <v/>
      </c>
      <c r="AA72" s="25" t="str">
        <f aca="false">IF(入力シート!$A76="","","")</f>
        <v/>
      </c>
      <c r="AB72" s="25" t="str">
        <f aca="false">IF(入力シート!$A76="","",入力シート!P76)</f>
        <v/>
      </c>
      <c r="AC72" s="25" t="str">
        <f aca="false">IF(入力シート!$A76="","",入力シート!U76)</f>
        <v/>
      </c>
      <c r="AD72" s="25" t="str">
        <f aca="false">IF(入力シート!$A76="","",0)</f>
        <v/>
      </c>
      <c r="AE72" s="25" t="str">
        <f aca="false">IF(入力シート!$A76="","",入力シート!I76)</f>
        <v/>
      </c>
      <c r="AF72" s="25" t="str">
        <f aca="false">IF(入力シート!$A76="","",入力シート!M76)</f>
        <v/>
      </c>
      <c r="AG72" s="25" t="str">
        <f aca="false">IF(入力シート!$A76="","",入力シート!N76)</f>
        <v/>
      </c>
      <c r="AH72" s="25" t="str">
        <f aca="false">IF(入力シート!$A76="","","")</f>
        <v/>
      </c>
      <c r="AI72" s="25" t="str">
        <f aca="false">IF(入力シート!$A76="","","")</f>
        <v/>
      </c>
      <c r="AJ72" s="25" t="str">
        <f aca="false">IF(入力シート!$A76="","","")</f>
        <v/>
      </c>
      <c r="AK72" s="25" t="str">
        <f aca="false">IF(入力シート!$A76="","",2)</f>
        <v/>
      </c>
      <c r="AL72" s="25" t="str">
        <f aca="false">IF(入力シート!$A76="","","")</f>
        <v/>
      </c>
      <c r="AM72" s="25" t="str">
        <f aca="false">IF(入力シート!$A76="","","")</f>
        <v/>
      </c>
      <c r="AN72" s="25" t="str">
        <f aca="false">IF(入力シート!$A76="","",入力シート!C76)</f>
        <v/>
      </c>
      <c r="AO72" s="25" t="str">
        <f aca="false">IF(入力シート!$A76="","","")</f>
        <v/>
      </c>
      <c r="AP72" s="25" t="str">
        <f aca="false">IF(入力シート!$A76="","","")</f>
        <v/>
      </c>
      <c r="AQ72" s="25" t="str">
        <f aca="false">IF(入力シート!$A76="","","")</f>
        <v/>
      </c>
    </row>
    <row r="73" customFormat="false" ht="15" hidden="false" customHeight="true" outlineLevel="0" collapsed="false">
      <c r="A73" s="25" t="str">
        <f aca="false">IF(入力シート!$A77="","",1)</f>
        <v/>
      </c>
      <c r="B73" s="25" t="str">
        <f aca="false">IF(入力シート!$A77="","",1)</f>
        <v/>
      </c>
      <c r="C73" s="25" t="str">
        <f aca="false">IF(入力シート!$A77="","",0)</f>
        <v/>
      </c>
      <c r="D73" s="25" t="str">
        <f aca="false">IF(入力シート!$A77="","",TEXT(入力シート!A77,"YYYYMMDD"))</f>
        <v/>
      </c>
      <c r="E73" s="25" t="str">
        <f aca="false">IF(入力シート!$A77="","",TEXT(入力シート!Q77,"00000000"))</f>
        <v/>
      </c>
      <c r="F73" s="25" t="str">
        <f aca="false">IF(入力シート!$A77="","",14)</f>
        <v/>
      </c>
      <c r="G73" s="25" t="str">
        <f aca="false">IF(入力シート!$A77="","",1)</f>
        <v/>
      </c>
      <c r="H73" s="25" t="str">
        <f aca="false">IF(入力シート!$A77="","",1)</f>
        <v/>
      </c>
      <c r="I73" s="25" t="str">
        <f aca="false">IF(入力シート!$A77="","",3)</f>
        <v/>
      </c>
      <c r="J73" s="25" t="str">
        <f aca="false">IF(入力シート!$A77="","",1)</f>
        <v/>
      </c>
      <c r="K73" s="25" t="str">
        <f aca="false">IF(入力シート!$A77="","",入力シート!B77)</f>
        <v/>
      </c>
      <c r="L73" s="25" t="str">
        <f aca="false">IF(入力シート!$A77="","","")</f>
        <v/>
      </c>
      <c r="M73" s="25" t="str">
        <f aca="false">IF(入力シート!$A77="","","")</f>
        <v/>
      </c>
      <c r="N73" s="25" t="str">
        <f aca="false">IF(入力シート!$A77="","",入力シート!R77)</f>
        <v/>
      </c>
      <c r="O73" s="25" t="str">
        <f aca="false">IF(入力シート!$A77="","",IF(入力シート!G77="",1,入力シート!G77))</f>
        <v/>
      </c>
      <c r="P73" s="25" t="str">
        <f aca="false">IF(入力シート!$A77="","",入力シート!D77)</f>
        <v/>
      </c>
      <c r="Q73" s="25" t="str">
        <f aca="false">IF(入力シート!$A77="","","")</f>
        <v/>
      </c>
      <c r="R73" s="25" t="str">
        <f aca="false">IF(入力シート!$A77="","",入力シート!J77)</f>
        <v/>
      </c>
      <c r="S73" s="25" t="str">
        <f aca="false">IF(入力シート!$A77="","",入力シート!L77)</f>
        <v/>
      </c>
      <c r="T73" s="25" t="str">
        <f aca="false">IF(入力シート!$A77="","",入力シート!K77)</f>
        <v/>
      </c>
      <c r="U73" s="25" t="str">
        <f aca="false">IF(入力シート!$A77="","",0)</f>
        <v/>
      </c>
      <c r="V73" s="25" t="str">
        <f aca="false">IF(入力シート!$A77="","",0)</f>
        <v/>
      </c>
      <c r="W73" s="25" t="str">
        <f aca="false">IF(入力シート!$A77="","","0000")</f>
        <v/>
      </c>
      <c r="X73" s="25" t="str">
        <f aca="false">IF(入力シート!$A77="","",入力シート!E77)</f>
        <v/>
      </c>
      <c r="Y73" s="25" t="str">
        <f aca="false">IF(入力シート!$A77="","",入力シート!F77)</f>
        <v/>
      </c>
      <c r="Z73" s="25" t="str">
        <f aca="false">IF(入力シート!$A77="","",入力シート!O77)</f>
        <v/>
      </c>
      <c r="AA73" s="25" t="str">
        <f aca="false">IF(入力シート!$A77="","","")</f>
        <v/>
      </c>
      <c r="AB73" s="25" t="str">
        <f aca="false">IF(入力シート!$A77="","",入力シート!P77)</f>
        <v/>
      </c>
      <c r="AC73" s="25" t="str">
        <f aca="false">IF(入力シート!$A77="","",入力シート!U77)</f>
        <v/>
      </c>
      <c r="AD73" s="25" t="str">
        <f aca="false">IF(入力シート!$A77="","",0)</f>
        <v/>
      </c>
      <c r="AE73" s="25" t="str">
        <f aca="false">IF(入力シート!$A77="","",入力シート!I77)</f>
        <v/>
      </c>
      <c r="AF73" s="25" t="str">
        <f aca="false">IF(入力シート!$A77="","",入力シート!M77)</f>
        <v/>
      </c>
      <c r="AG73" s="25" t="str">
        <f aca="false">IF(入力シート!$A77="","",入力シート!N77)</f>
        <v/>
      </c>
      <c r="AH73" s="25" t="str">
        <f aca="false">IF(入力シート!$A77="","","")</f>
        <v/>
      </c>
      <c r="AI73" s="25" t="str">
        <f aca="false">IF(入力シート!$A77="","","")</f>
        <v/>
      </c>
      <c r="AJ73" s="25" t="str">
        <f aca="false">IF(入力シート!$A77="","","")</f>
        <v/>
      </c>
      <c r="AK73" s="25" t="str">
        <f aca="false">IF(入力シート!$A77="","",2)</f>
        <v/>
      </c>
      <c r="AL73" s="25" t="str">
        <f aca="false">IF(入力シート!$A77="","","")</f>
        <v/>
      </c>
      <c r="AM73" s="25" t="str">
        <f aca="false">IF(入力シート!$A77="","","")</f>
        <v/>
      </c>
      <c r="AN73" s="25" t="str">
        <f aca="false">IF(入力シート!$A77="","",入力シート!C77)</f>
        <v/>
      </c>
      <c r="AO73" s="25" t="str">
        <f aca="false">IF(入力シート!$A77="","","")</f>
        <v/>
      </c>
      <c r="AP73" s="25" t="str">
        <f aca="false">IF(入力シート!$A77="","","")</f>
        <v/>
      </c>
      <c r="AQ73" s="25" t="str">
        <f aca="false">IF(入力シート!$A77="","","")</f>
        <v/>
      </c>
    </row>
    <row r="74" customFormat="false" ht="15" hidden="false" customHeight="true" outlineLevel="0" collapsed="false">
      <c r="A74" s="25" t="str">
        <f aca="false">IF(入力シート!$A78="","",1)</f>
        <v/>
      </c>
      <c r="B74" s="25" t="str">
        <f aca="false">IF(入力シート!$A78="","",1)</f>
        <v/>
      </c>
      <c r="C74" s="25" t="str">
        <f aca="false">IF(入力シート!$A78="","",0)</f>
        <v/>
      </c>
      <c r="D74" s="25" t="str">
        <f aca="false">IF(入力シート!$A78="","",TEXT(入力シート!A78,"YYYYMMDD"))</f>
        <v/>
      </c>
      <c r="E74" s="25" t="str">
        <f aca="false">IF(入力シート!$A78="","",TEXT(入力シート!Q78,"00000000"))</f>
        <v/>
      </c>
      <c r="F74" s="25" t="str">
        <f aca="false">IF(入力シート!$A78="","",14)</f>
        <v/>
      </c>
      <c r="G74" s="25" t="str">
        <f aca="false">IF(入力シート!$A78="","",1)</f>
        <v/>
      </c>
      <c r="H74" s="25" t="str">
        <f aca="false">IF(入力シート!$A78="","",1)</f>
        <v/>
      </c>
      <c r="I74" s="25" t="str">
        <f aca="false">IF(入力シート!$A78="","",3)</f>
        <v/>
      </c>
      <c r="J74" s="25" t="str">
        <f aca="false">IF(入力シート!$A78="","",1)</f>
        <v/>
      </c>
      <c r="K74" s="25" t="str">
        <f aca="false">IF(入力シート!$A78="","",入力シート!B78)</f>
        <v/>
      </c>
      <c r="L74" s="25" t="str">
        <f aca="false">IF(入力シート!$A78="","","")</f>
        <v/>
      </c>
      <c r="M74" s="25" t="str">
        <f aca="false">IF(入力シート!$A78="","","")</f>
        <v/>
      </c>
      <c r="N74" s="25" t="str">
        <f aca="false">IF(入力シート!$A78="","",入力シート!R78)</f>
        <v/>
      </c>
      <c r="O74" s="25" t="str">
        <f aca="false">IF(入力シート!$A78="","",IF(入力シート!G78="",1,入力シート!G78))</f>
        <v/>
      </c>
      <c r="P74" s="25" t="str">
        <f aca="false">IF(入力シート!$A78="","",入力シート!D78)</f>
        <v/>
      </c>
      <c r="Q74" s="25" t="str">
        <f aca="false">IF(入力シート!$A78="","","")</f>
        <v/>
      </c>
      <c r="R74" s="25" t="str">
        <f aca="false">IF(入力シート!$A78="","",入力シート!J78)</f>
        <v/>
      </c>
      <c r="S74" s="25" t="str">
        <f aca="false">IF(入力シート!$A78="","",入力シート!L78)</f>
        <v/>
      </c>
      <c r="T74" s="25" t="str">
        <f aca="false">IF(入力シート!$A78="","",入力シート!K78)</f>
        <v/>
      </c>
      <c r="U74" s="25" t="str">
        <f aca="false">IF(入力シート!$A78="","",0)</f>
        <v/>
      </c>
      <c r="V74" s="25" t="str">
        <f aca="false">IF(入力シート!$A78="","",0)</f>
        <v/>
      </c>
      <c r="W74" s="25" t="str">
        <f aca="false">IF(入力シート!$A78="","","0000")</f>
        <v/>
      </c>
      <c r="X74" s="25" t="str">
        <f aca="false">IF(入力シート!$A78="","",入力シート!E78)</f>
        <v/>
      </c>
      <c r="Y74" s="25" t="str">
        <f aca="false">IF(入力シート!$A78="","",入力シート!F78)</f>
        <v/>
      </c>
      <c r="Z74" s="25" t="str">
        <f aca="false">IF(入力シート!$A78="","",入力シート!O78)</f>
        <v/>
      </c>
      <c r="AA74" s="25" t="str">
        <f aca="false">IF(入力シート!$A78="","","")</f>
        <v/>
      </c>
      <c r="AB74" s="25" t="str">
        <f aca="false">IF(入力シート!$A78="","",入力シート!P78)</f>
        <v/>
      </c>
      <c r="AC74" s="25" t="str">
        <f aca="false">IF(入力シート!$A78="","",入力シート!U78)</f>
        <v/>
      </c>
      <c r="AD74" s="25" t="str">
        <f aca="false">IF(入力シート!$A78="","",0)</f>
        <v/>
      </c>
      <c r="AE74" s="25" t="str">
        <f aca="false">IF(入力シート!$A78="","",入力シート!I78)</f>
        <v/>
      </c>
      <c r="AF74" s="25" t="str">
        <f aca="false">IF(入力シート!$A78="","",入力シート!M78)</f>
        <v/>
      </c>
      <c r="AG74" s="25" t="str">
        <f aca="false">IF(入力シート!$A78="","",入力シート!N78)</f>
        <v/>
      </c>
      <c r="AH74" s="25" t="str">
        <f aca="false">IF(入力シート!$A78="","","")</f>
        <v/>
      </c>
      <c r="AI74" s="25" t="str">
        <f aca="false">IF(入力シート!$A78="","","")</f>
        <v/>
      </c>
      <c r="AJ74" s="25" t="str">
        <f aca="false">IF(入力シート!$A78="","","")</f>
        <v/>
      </c>
      <c r="AK74" s="25" t="str">
        <f aca="false">IF(入力シート!$A78="","",2)</f>
        <v/>
      </c>
      <c r="AL74" s="25" t="str">
        <f aca="false">IF(入力シート!$A78="","","")</f>
        <v/>
      </c>
      <c r="AM74" s="25" t="str">
        <f aca="false">IF(入力シート!$A78="","","")</f>
        <v/>
      </c>
      <c r="AN74" s="25" t="str">
        <f aca="false">IF(入力シート!$A78="","",入力シート!C78)</f>
        <v/>
      </c>
      <c r="AO74" s="25" t="str">
        <f aca="false">IF(入力シート!$A78="","","")</f>
        <v/>
      </c>
      <c r="AP74" s="25" t="str">
        <f aca="false">IF(入力シート!$A78="","","")</f>
        <v/>
      </c>
      <c r="AQ74" s="25" t="str">
        <f aca="false">IF(入力シート!$A78="","","")</f>
        <v/>
      </c>
    </row>
    <row r="75" customFormat="false" ht="15" hidden="false" customHeight="true" outlineLevel="0" collapsed="false">
      <c r="A75" s="25" t="str">
        <f aca="false">IF(入力シート!$A79="","",1)</f>
        <v/>
      </c>
      <c r="B75" s="25" t="str">
        <f aca="false">IF(入力シート!$A79="","",1)</f>
        <v/>
      </c>
      <c r="C75" s="25" t="str">
        <f aca="false">IF(入力シート!$A79="","",0)</f>
        <v/>
      </c>
      <c r="D75" s="25" t="str">
        <f aca="false">IF(入力シート!$A79="","",TEXT(入力シート!A79,"YYYYMMDD"))</f>
        <v/>
      </c>
      <c r="E75" s="25" t="str">
        <f aca="false">IF(入力シート!$A79="","",TEXT(入力シート!Q79,"00000000"))</f>
        <v/>
      </c>
      <c r="F75" s="25" t="str">
        <f aca="false">IF(入力シート!$A79="","",14)</f>
        <v/>
      </c>
      <c r="G75" s="25" t="str">
        <f aca="false">IF(入力シート!$A79="","",1)</f>
        <v/>
      </c>
      <c r="H75" s="25" t="str">
        <f aca="false">IF(入力シート!$A79="","",1)</f>
        <v/>
      </c>
      <c r="I75" s="25" t="str">
        <f aca="false">IF(入力シート!$A79="","",3)</f>
        <v/>
      </c>
      <c r="J75" s="25" t="str">
        <f aca="false">IF(入力シート!$A79="","",1)</f>
        <v/>
      </c>
      <c r="K75" s="25" t="str">
        <f aca="false">IF(入力シート!$A79="","",入力シート!B79)</f>
        <v/>
      </c>
      <c r="L75" s="25" t="str">
        <f aca="false">IF(入力シート!$A79="","","")</f>
        <v/>
      </c>
      <c r="M75" s="25" t="str">
        <f aca="false">IF(入力シート!$A79="","","")</f>
        <v/>
      </c>
      <c r="N75" s="25" t="str">
        <f aca="false">IF(入力シート!$A79="","",入力シート!R79)</f>
        <v/>
      </c>
      <c r="O75" s="25" t="str">
        <f aca="false">IF(入力シート!$A79="","",IF(入力シート!G79="",1,入力シート!G79))</f>
        <v/>
      </c>
      <c r="P75" s="25" t="str">
        <f aca="false">IF(入力シート!$A79="","",入力シート!D79)</f>
        <v/>
      </c>
      <c r="Q75" s="25" t="str">
        <f aca="false">IF(入力シート!$A79="","","")</f>
        <v/>
      </c>
      <c r="R75" s="25" t="str">
        <f aca="false">IF(入力シート!$A79="","",入力シート!J79)</f>
        <v/>
      </c>
      <c r="S75" s="25" t="str">
        <f aca="false">IF(入力シート!$A79="","",入力シート!L79)</f>
        <v/>
      </c>
      <c r="T75" s="25" t="str">
        <f aca="false">IF(入力シート!$A79="","",入力シート!K79)</f>
        <v/>
      </c>
      <c r="U75" s="25" t="str">
        <f aca="false">IF(入力シート!$A79="","",0)</f>
        <v/>
      </c>
      <c r="V75" s="25" t="str">
        <f aca="false">IF(入力シート!$A79="","",0)</f>
        <v/>
      </c>
      <c r="W75" s="25" t="str">
        <f aca="false">IF(入力シート!$A79="","","0000")</f>
        <v/>
      </c>
      <c r="X75" s="25" t="str">
        <f aca="false">IF(入力シート!$A79="","",入力シート!E79)</f>
        <v/>
      </c>
      <c r="Y75" s="25" t="str">
        <f aca="false">IF(入力シート!$A79="","",入力シート!F79)</f>
        <v/>
      </c>
      <c r="Z75" s="25" t="str">
        <f aca="false">IF(入力シート!$A79="","",入力シート!O79)</f>
        <v/>
      </c>
      <c r="AA75" s="25" t="str">
        <f aca="false">IF(入力シート!$A79="","","")</f>
        <v/>
      </c>
      <c r="AB75" s="25" t="str">
        <f aca="false">IF(入力シート!$A79="","",入力シート!P79)</f>
        <v/>
      </c>
      <c r="AC75" s="25" t="str">
        <f aca="false">IF(入力シート!$A79="","",入力シート!U79)</f>
        <v/>
      </c>
      <c r="AD75" s="25" t="str">
        <f aca="false">IF(入力シート!$A79="","",0)</f>
        <v/>
      </c>
      <c r="AE75" s="25" t="str">
        <f aca="false">IF(入力シート!$A79="","",入力シート!I79)</f>
        <v/>
      </c>
      <c r="AF75" s="25" t="str">
        <f aca="false">IF(入力シート!$A79="","",入力シート!M79)</f>
        <v/>
      </c>
      <c r="AG75" s="25" t="str">
        <f aca="false">IF(入力シート!$A79="","",入力シート!N79)</f>
        <v/>
      </c>
      <c r="AH75" s="25" t="str">
        <f aca="false">IF(入力シート!$A79="","","")</f>
        <v/>
      </c>
      <c r="AI75" s="25" t="str">
        <f aca="false">IF(入力シート!$A79="","","")</f>
        <v/>
      </c>
      <c r="AJ75" s="25" t="str">
        <f aca="false">IF(入力シート!$A79="","","")</f>
        <v/>
      </c>
      <c r="AK75" s="25" t="str">
        <f aca="false">IF(入力シート!$A79="","",2)</f>
        <v/>
      </c>
      <c r="AL75" s="25" t="str">
        <f aca="false">IF(入力シート!$A79="","","")</f>
        <v/>
      </c>
      <c r="AM75" s="25" t="str">
        <f aca="false">IF(入力シート!$A79="","","")</f>
        <v/>
      </c>
      <c r="AN75" s="25" t="str">
        <f aca="false">IF(入力シート!$A79="","",入力シート!C79)</f>
        <v/>
      </c>
      <c r="AO75" s="25" t="str">
        <f aca="false">IF(入力シート!$A79="","","")</f>
        <v/>
      </c>
      <c r="AP75" s="25" t="str">
        <f aca="false">IF(入力シート!$A79="","","")</f>
        <v/>
      </c>
      <c r="AQ75" s="25" t="str">
        <f aca="false">IF(入力シート!$A79="","","")</f>
        <v/>
      </c>
    </row>
    <row r="76" customFormat="false" ht="15" hidden="false" customHeight="true" outlineLevel="0" collapsed="false">
      <c r="A76" s="25" t="str">
        <f aca="false">IF(入力シート!$A80="","",1)</f>
        <v/>
      </c>
      <c r="B76" s="25" t="str">
        <f aca="false">IF(入力シート!$A80="","",1)</f>
        <v/>
      </c>
      <c r="C76" s="25" t="str">
        <f aca="false">IF(入力シート!$A80="","",0)</f>
        <v/>
      </c>
      <c r="D76" s="25" t="str">
        <f aca="false">IF(入力シート!$A80="","",TEXT(入力シート!A80,"YYYYMMDD"))</f>
        <v/>
      </c>
      <c r="E76" s="25" t="str">
        <f aca="false">IF(入力シート!$A80="","",TEXT(入力シート!Q80,"00000000"))</f>
        <v/>
      </c>
      <c r="F76" s="25" t="str">
        <f aca="false">IF(入力シート!$A80="","",14)</f>
        <v/>
      </c>
      <c r="G76" s="25" t="str">
        <f aca="false">IF(入力シート!$A80="","",1)</f>
        <v/>
      </c>
      <c r="H76" s="25" t="str">
        <f aca="false">IF(入力シート!$A80="","",1)</f>
        <v/>
      </c>
      <c r="I76" s="25" t="str">
        <f aca="false">IF(入力シート!$A80="","",3)</f>
        <v/>
      </c>
      <c r="J76" s="25" t="str">
        <f aca="false">IF(入力シート!$A80="","",1)</f>
        <v/>
      </c>
      <c r="K76" s="25" t="str">
        <f aca="false">IF(入力シート!$A80="","",入力シート!B80)</f>
        <v/>
      </c>
      <c r="L76" s="25" t="str">
        <f aca="false">IF(入力シート!$A80="","","")</f>
        <v/>
      </c>
      <c r="M76" s="25" t="str">
        <f aca="false">IF(入力シート!$A80="","","")</f>
        <v/>
      </c>
      <c r="N76" s="25" t="str">
        <f aca="false">IF(入力シート!$A80="","",入力シート!R80)</f>
        <v/>
      </c>
      <c r="O76" s="25" t="str">
        <f aca="false">IF(入力シート!$A80="","",IF(入力シート!G80="",1,入力シート!G80))</f>
        <v/>
      </c>
      <c r="P76" s="25" t="str">
        <f aca="false">IF(入力シート!$A80="","",入力シート!D80)</f>
        <v/>
      </c>
      <c r="Q76" s="25" t="str">
        <f aca="false">IF(入力シート!$A80="","","")</f>
        <v/>
      </c>
      <c r="R76" s="25" t="str">
        <f aca="false">IF(入力シート!$A80="","",入力シート!J80)</f>
        <v/>
      </c>
      <c r="S76" s="25" t="str">
        <f aca="false">IF(入力シート!$A80="","",入力シート!L80)</f>
        <v/>
      </c>
      <c r="T76" s="25" t="str">
        <f aca="false">IF(入力シート!$A80="","",入力シート!K80)</f>
        <v/>
      </c>
      <c r="U76" s="25" t="str">
        <f aca="false">IF(入力シート!$A80="","",0)</f>
        <v/>
      </c>
      <c r="V76" s="25" t="str">
        <f aca="false">IF(入力シート!$A80="","",0)</f>
        <v/>
      </c>
      <c r="W76" s="25" t="str">
        <f aca="false">IF(入力シート!$A80="","","0000")</f>
        <v/>
      </c>
      <c r="X76" s="25" t="str">
        <f aca="false">IF(入力シート!$A80="","",入力シート!E80)</f>
        <v/>
      </c>
      <c r="Y76" s="25" t="str">
        <f aca="false">IF(入力シート!$A80="","",入力シート!F80)</f>
        <v/>
      </c>
      <c r="Z76" s="25" t="str">
        <f aca="false">IF(入力シート!$A80="","",入力シート!O80)</f>
        <v/>
      </c>
      <c r="AA76" s="25" t="str">
        <f aca="false">IF(入力シート!$A80="","","")</f>
        <v/>
      </c>
      <c r="AB76" s="25" t="str">
        <f aca="false">IF(入力シート!$A80="","",入力シート!P80)</f>
        <v/>
      </c>
      <c r="AC76" s="25" t="str">
        <f aca="false">IF(入力シート!$A80="","",入力シート!U80)</f>
        <v/>
      </c>
      <c r="AD76" s="25" t="str">
        <f aca="false">IF(入力シート!$A80="","",0)</f>
        <v/>
      </c>
      <c r="AE76" s="25" t="str">
        <f aca="false">IF(入力シート!$A80="","",入力シート!I80)</f>
        <v/>
      </c>
      <c r="AF76" s="25" t="str">
        <f aca="false">IF(入力シート!$A80="","",入力シート!M80)</f>
        <v/>
      </c>
      <c r="AG76" s="25" t="str">
        <f aca="false">IF(入力シート!$A80="","",入力シート!N80)</f>
        <v/>
      </c>
      <c r="AH76" s="25" t="str">
        <f aca="false">IF(入力シート!$A80="","","")</f>
        <v/>
      </c>
      <c r="AI76" s="25" t="str">
        <f aca="false">IF(入力シート!$A80="","","")</f>
        <v/>
      </c>
      <c r="AJ76" s="25" t="str">
        <f aca="false">IF(入力シート!$A80="","","")</f>
        <v/>
      </c>
      <c r="AK76" s="25" t="str">
        <f aca="false">IF(入力シート!$A80="","",2)</f>
        <v/>
      </c>
      <c r="AL76" s="25" t="str">
        <f aca="false">IF(入力シート!$A80="","","")</f>
        <v/>
      </c>
      <c r="AM76" s="25" t="str">
        <f aca="false">IF(入力シート!$A80="","","")</f>
        <v/>
      </c>
      <c r="AN76" s="25" t="str">
        <f aca="false">IF(入力シート!$A80="","",入力シート!C80)</f>
        <v/>
      </c>
      <c r="AO76" s="25" t="str">
        <f aca="false">IF(入力シート!$A80="","","")</f>
        <v/>
      </c>
      <c r="AP76" s="25" t="str">
        <f aca="false">IF(入力シート!$A80="","","")</f>
        <v/>
      </c>
      <c r="AQ76" s="25" t="str">
        <f aca="false">IF(入力シート!$A80="","","")</f>
        <v/>
      </c>
    </row>
    <row r="77" customFormat="false" ht="15" hidden="false" customHeight="true" outlineLevel="0" collapsed="false">
      <c r="A77" s="25" t="str">
        <f aca="false">IF(入力シート!$A81="","",1)</f>
        <v/>
      </c>
      <c r="B77" s="25" t="str">
        <f aca="false">IF(入力シート!$A81="","",1)</f>
        <v/>
      </c>
      <c r="C77" s="25" t="str">
        <f aca="false">IF(入力シート!$A81="","",0)</f>
        <v/>
      </c>
      <c r="D77" s="25" t="str">
        <f aca="false">IF(入力シート!$A81="","",TEXT(入力シート!A81,"YYYYMMDD"))</f>
        <v/>
      </c>
      <c r="E77" s="25" t="str">
        <f aca="false">IF(入力シート!$A81="","",TEXT(入力シート!Q81,"00000000"))</f>
        <v/>
      </c>
      <c r="F77" s="25" t="str">
        <f aca="false">IF(入力シート!$A81="","",14)</f>
        <v/>
      </c>
      <c r="G77" s="25" t="str">
        <f aca="false">IF(入力シート!$A81="","",1)</f>
        <v/>
      </c>
      <c r="H77" s="25" t="str">
        <f aca="false">IF(入力シート!$A81="","",1)</f>
        <v/>
      </c>
      <c r="I77" s="25" t="str">
        <f aca="false">IF(入力シート!$A81="","",3)</f>
        <v/>
      </c>
      <c r="J77" s="25" t="str">
        <f aca="false">IF(入力シート!$A81="","",1)</f>
        <v/>
      </c>
      <c r="K77" s="25" t="str">
        <f aca="false">IF(入力シート!$A81="","",入力シート!B81)</f>
        <v/>
      </c>
      <c r="L77" s="25" t="str">
        <f aca="false">IF(入力シート!$A81="","","")</f>
        <v/>
      </c>
      <c r="M77" s="25" t="str">
        <f aca="false">IF(入力シート!$A81="","","")</f>
        <v/>
      </c>
      <c r="N77" s="25" t="str">
        <f aca="false">IF(入力シート!$A81="","",入力シート!R81)</f>
        <v/>
      </c>
      <c r="O77" s="25" t="str">
        <f aca="false">IF(入力シート!$A81="","",IF(入力シート!G81="",1,入力シート!G81))</f>
        <v/>
      </c>
      <c r="P77" s="25" t="str">
        <f aca="false">IF(入力シート!$A81="","",入力シート!D81)</f>
        <v/>
      </c>
      <c r="Q77" s="25" t="str">
        <f aca="false">IF(入力シート!$A81="","","")</f>
        <v/>
      </c>
      <c r="R77" s="25" t="str">
        <f aca="false">IF(入力シート!$A81="","",入力シート!J81)</f>
        <v/>
      </c>
      <c r="S77" s="25" t="str">
        <f aca="false">IF(入力シート!$A81="","",入力シート!L81)</f>
        <v/>
      </c>
      <c r="T77" s="25" t="str">
        <f aca="false">IF(入力シート!$A81="","",入力シート!K81)</f>
        <v/>
      </c>
      <c r="U77" s="25" t="str">
        <f aca="false">IF(入力シート!$A81="","",0)</f>
        <v/>
      </c>
      <c r="V77" s="25" t="str">
        <f aca="false">IF(入力シート!$A81="","",0)</f>
        <v/>
      </c>
      <c r="W77" s="25" t="str">
        <f aca="false">IF(入力シート!$A81="","","0000")</f>
        <v/>
      </c>
      <c r="X77" s="25" t="str">
        <f aca="false">IF(入力シート!$A81="","",入力シート!E81)</f>
        <v/>
      </c>
      <c r="Y77" s="25" t="str">
        <f aca="false">IF(入力シート!$A81="","",入力シート!F81)</f>
        <v/>
      </c>
      <c r="Z77" s="25" t="str">
        <f aca="false">IF(入力シート!$A81="","",入力シート!O81)</f>
        <v/>
      </c>
      <c r="AA77" s="25" t="str">
        <f aca="false">IF(入力シート!$A81="","","")</f>
        <v/>
      </c>
      <c r="AB77" s="25" t="str">
        <f aca="false">IF(入力シート!$A81="","",入力シート!P81)</f>
        <v/>
      </c>
      <c r="AC77" s="25" t="str">
        <f aca="false">IF(入力シート!$A81="","",入力シート!U81)</f>
        <v/>
      </c>
      <c r="AD77" s="25" t="str">
        <f aca="false">IF(入力シート!$A81="","",0)</f>
        <v/>
      </c>
      <c r="AE77" s="25" t="str">
        <f aca="false">IF(入力シート!$A81="","",入力シート!I81)</f>
        <v/>
      </c>
      <c r="AF77" s="25" t="str">
        <f aca="false">IF(入力シート!$A81="","",入力シート!M81)</f>
        <v/>
      </c>
      <c r="AG77" s="25" t="str">
        <f aca="false">IF(入力シート!$A81="","",入力シート!N81)</f>
        <v/>
      </c>
      <c r="AH77" s="25" t="str">
        <f aca="false">IF(入力シート!$A81="","","")</f>
        <v/>
      </c>
      <c r="AI77" s="25" t="str">
        <f aca="false">IF(入力シート!$A81="","","")</f>
        <v/>
      </c>
      <c r="AJ77" s="25" t="str">
        <f aca="false">IF(入力シート!$A81="","","")</f>
        <v/>
      </c>
      <c r="AK77" s="25" t="str">
        <f aca="false">IF(入力シート!$A81="","",2)</f>
        <v/>
      </c>
      <c r="AL77" s="25" t="str">
        <f aca="false">IF(入力シート!$A81="","","")</f>
        <v/>
      </c>
      <c r="AM77" s="25" t="str">
        <f aca="false">IF(入力シート!$A81="","","")</f>
        <v/>
      </c>
      <c r="AN77" s="25" t="str">
        <f aca="false">IF(入力シート!$A81="","",入力シート!C81)</f>
        <v/>
      </c>
      <c r="AO77" s="25" t="str">
        <f aca="false">IF(入力シート!$A81="","","")</f>
        <v/>
      </c>
      <c r="AP77" s="25" t="str">
        <f aca="false">IF(入力シート!$A81="","","")</f>
        <v/>
      </c>
      <c r="AQ77" s="25" t="str">
        <f aca="false">IF(入力シート!$A81="","","")</f>
        <v/>
      </c>
    </row>
    <row r="78" customFormat="false" ht="15" hidden="false" customHeight="true" outlineLevel="0" collapsed="false">
      <c r="A78" s="25" t="str">
        <f aca="false">IF(入力シート!$A82="","",1)</f>
        <v/>
      </c>
      <c r="B78" s="25" t="str">
        <f aca="false">IF(入力シート!$A82="","",1)</f>
        <v/>
      </c>
      <c r="C78" s="25" t="str">
        <f aca="false">IF(入力シート!$A82="","",0)</f>
        <v/>
      </c>
      <c r="D78" s="25" t="str">
        <f aca="false">IF(入力シート!$A82="","",TEXT(入力シート!A82,"YYYYMMDD"))</f>
        <v/>
      </c>
      <c r="E78" s="25" t="str">
        <f aca="false">IF(入力シート!$A82="","",TEXT(入力シート!Q82,"00000000"))</f>
        <v/>
      </c>
      <c r="F78" s="25" t="str">
        <f aca="false">IF(入力シート!$A82="","",14)</f>
        <v/>
      </c>
      <c r="G78" s="25" t="str">
        <f aca="false">IF(入力シート!$A82="","",1)</f>
        <v/>
      </c>
      <c r="H78" s="25" t="str">
        <f aca="false">IF(入力シート!$A82="","",1)</f>
        <v/>
      </c>
      <c r="I78" s="25" t="str">
        <f aca="false">IF(入力シート!$A82="","",3)</f>
        <v/>
      </c>
      <c r="J78" s="25" t="str">
        <f aca="false">IF(入力シート!$A82="","",1)</f>
        <v/>
      </c>
      <c r="K78" s="25" t="str">
        <f aca="false">IF(入力シート!$A82="","",入力シート!B82)</f>
        <v/>
      </c>
      <c r="L78" s="25" t="str">
        <f aca="false">IF(入力シート!$A82="","","")</f>
        <v/>
      </c>
      <c r="M78" s="25" t="str">
        <f aca="false">IF(入力シート!$A82="","","")</f>
        <v/>
      </c>
      <c r="N78" s="25" t="str">
        <f aca="false">IF(入力シート!$A82="","",入力シート!R82)</f>
        <v/>
      </c>
      <c r="O78" s="25" t="str">
        <f aca="false">IF(入力シート!$A82="","",IF(入力シート!G82="",1,入力シート!G82))</f>
        <v/>
      </c>
      <c r="P78" s="25" t="str">
        <f aca="false">IF(入力シート!$A82="","",入力シート!D82)</f>
        <v/>
      </c>
      <c r="Q78" s="25" t="str">
        <f aca="false">IF(入力シート!$A82="","","")</f>
        <v/>
      </c>
      <c r="R78" s="25" t="str">
        <f aca="false">IF(入力シート!$A82="","",入力シート!J82)</f>
        <v/>
      </c>
      <c r="S78" s="25" t="str">
        <f aca="false">IF(入力シート!$A82="","",入力シート!L82)</f>
        <v/>
      </c>
      <c r="T78" s="25" t="str">
        <f aca="false">IF(入力シート!$A82="","",入力シート!K82)</f>
        <v/>
      </c>
      <c r="U78" s="25" t="str">
        <f aca="false">IF(入力シート!$A82="","",0)</f>
        <v/>
      </c>
      <c r="V78" s="25" t="str">
        <f aca="false">IF(入力シート!$A82="","",0)</f>
        <v/>
      </c>
      <c r="W78" s="25" t="str">
        <f aca="false">IF(入力シート!$A82="","","0000")</f>
        <v/>
      </c>
      <c r="X78" s="25" t="str">
        <f aca="false">IF(入力シート!$A82="","",入力シート!E82)</f>
        <v/>
      </c>
      <c r="Y78" s="25" t="str">
        <f aca="false">IF(入力シート!$A82="","",入力シート!F82)</f>
        <v/>
      </c>
      <c r="Z78" s="25" t="str">
        <f aca="false">IF(入力シート!$A82="","",入力シート!O82)</f>
        <v/>
      </c>
      <c r="AA78" s="25" t="str">
        <f aca="false">IF(入力シート!$A82="","","")</f>
        <v/>
      </c>
      <c r="AB78" s="25" t="str">
        <f aca="false">IF(入力シート!$A82="","",入力シート!P82)</f>
        <v/>
      </c>
      <c r="AC78" s="25" t="str">
        <f aca="false">IF(入力シート!$A82="","",入力シート!U82)</f>
        <v/>
      </c>
      <c r="AD78" s="25" t="str">
        <f aca="false">IF(入力シート!$A82="","",0)</f>
        <v/>
      </c>
      <c r="AE78" s="25" t="str">
        <f aca="false">IF(入力シート!$A82="","",入力シート!I82)</f>
        <v/>
      </c>
      <c r="AF78" s="25" t="str">
        <f aca="false">IF(入力シート!$A82="","",入力シート!M82)</f>
        <v/>
      </c>
      <c r="AG78" s="25" t="str">
        <f aca="false">IF(入力シート!$A82="","",入力シート!N82)</f>
        <v/>
      </c>
      <c r="AH78" s="25" t="str">
        <f aca="false">IF(入力シート!$A82="","","")</f>
        <v/>
      </c>
      <c r="AI78" s="25" t="str">
        <f aca="false">IF(入力シート!$A82="","","")</f>
        <v/>
      </c>
      <c r="AJ78" s="25" t="str">
        <f aca="false">IF(入力シート!$A82="","","")</f>
        <v/>
      </c>
      <c r="AK78" s="25" t="str">
        <f aca="false">IF(入力シート!$A82="","",2)</f>
        <v/>
      </c>
      <c r="AL78" s="25" t="str">
        <f aca="false">IF(入力シート!$A82="","","")</f>
        <v/>
      </c>
      <c r="AM78" s="25" t="str">
        <f aca="false">IF(入力シート!$A82="","","")</f>
        <v/>
      </c>
      <c r="AN78" s="25" t="str">
        <f aca="false">IF(入力シート!$A82="","",入力シート!C82)</f>
        <v/>
      </c>
      <c r="AO78" s="25" t="str">
        <f aca="false">IF(入力シート!$A82="","","")</f>
        <v/>
      </c>
      <c r="AP78" s="25" t="str">
        <f aca="false">IF(入力シート!$A82="","","")</f>
        <v/>
      </c>
      <c r="AQ78" s="25" t="str">
        <f aca="false">IF(入力シート!$A82="","","")</f>
        <v/>
      </c>
    </row>
    <row r="79" customFormat="false" ht="15" hidden="false" customHeight="true" outlineLevel="0" collapsed="false">
      <c r="A79" s="25" t="str">
        <f aca="false">IF(入力シート!$A83="","",1)</f>
        <v/>
      </c>
      <c r="B79" s="25" t="str">
        <f aca="false">IF(入力シート!$A83="","",1)</f>
        <v/>
      </c>
      <c r="C79" s="25" t="str">
        <f aca="false">IF(入力シート!$A83="","",0)</f>
        <v/>
      </c>
      <c r="D79" s="25" t="str">
        <f aca="false">IF(入力シート!$A83="","",TEXT(入力シート!A83,"YYYYMMDD"))</f>
        <v/>
      </c>
      <c r="E79" s="25" t="str">
        <f aca="false">IF(入力シート!$A83="","",TEXT(入力シート!Q83,"00000000"))</f>
        <v/>
      </c>
      <c r="F79" s="25" t="str">
        <f aca="false">IF(入力シート!$A83="","",14)</f>
        <v/>
      </c>
      <c r="G79" s="25" t="str">
        <f aca="false">IF(入力シート!$A83="","",1)</f>
        <v/>
      </c>
      <c r="H79" s="25" t="str">
        <f aca="false">IF(入力シート!$A83="","",1)</f>
        <v/>
      </c>
      <c r="I79" s="25" t="str">
        <f aca="false">IF(入力シート!$A83="","",3)</f>
        <v/>
      </c>
      <c r="J79" s="25" t="str">
        <f aca="false">IF(入力シート!$A83="","",1)</f>
        <v/>
      </c>
      <c r="K79" s="25" t="str">
        <f aca="false">IF(入力シート!$A83="","",入力シート!B83)</f>
        <v/>
      </c>
      <c r="L79" s="25" t="str">
        <f aca="false">IF(入力シート!$A83="","","")</f>
        <v/>
      </c>
      <c r="M79" s="25" t="str">
        <f aca="false">IF(入力シート!$A83="","","")</f>
        <v/>
      </c>
      <c r="N79" s="25" t="str">
        <f aca="false">IF(入力シート!$A83="","",入力シート!R83)</f>
        <v/>
      </c>
      <c r="O79" s="25" t="str">
        <f aca="false">IF(入力シート!$A83="","",IF(入力シート!G83="",1,入力シート!G83))</f>
        <v/>
      </c>
      <c r="P79" s="25" t="str">
        <f aca="false">IF(入力シート!$A83="","",入力シート!D83)</f>
        <v/>
      </c>
      <c r="Q79" s="25" t="str">
        <f aca="false">IF(入力シート!$A83="","","")</f>
        <v/>
      </c>
      <c r="R79" s="25" t="str">
        <f aca="false">IF(入力シート!$A83="","",入力シート!J83)</f>
        <v/>
      </c>
      <c r="S79" s="25" t="str">
        <f aca="false">IF(入力シート!$A83="","",入力シート!L83)</f>
        <v/>
      </c>
      <c r="T79" s="25" t="str">
        <f aca="false">IF(入力シート!$A83="","",入力シート!K83)</f>
        <v/>
      </c>
      <c r="U79" s="25" t="str">
        <f aca="false">IF(入力シート!$A83="","",0)</f>
        <v/>
      </c>
      <c r="V79" s="25" t="str">
        <f aca="false">IF(入力シート!$A83="","",0)</f>
        <v/>
      </c>
      <c r="W79" s="25" t="str">
        <f aca="false">IF(入力シート!$A83="","","0000")</f>
        <v/>
      </c>
      <c r="X79" s="25" t="str">
        <f aca="false">IF(入力シート!$A83="","",入力シート!E83)</f>
        <v/>
      </c>
      <c r="Y79" s="25" t="str">
        <f aca="false">IF(入力シート!$A83="","",入力シート!F83)</f>
        <v/>
      </c>
      <c r="Z79" s="25" t="str">
        <f aca="false">IF(入力シート!$A83="","",入力シート!O83)</f>
        <v/>
      </c>
      <c r="AA79" s="25" t="str">
        <f aca="false">IF(入力シート!$A83="","","")</f>
        <v/>
      </c>
      <c r="AB79" s="25" t="str">
        <f aca="false">IF(入力シート!$A83="","",入力シート!P83)</f>
        <v/>
      </c>
      <c r="AC79" s="25" t="str">
        <f aca="false">IF(入力シート!$A83="","",入力シート!U83)</f>
        <v/>
      </c>
      <c r="AD79" s="25" t="str">
        <f aca="false">IF(入力シート!$A83="","",0)</f>
        <v/>
      </c>
      <c r="AE79" s="25" t="str">
        <f aca="false">IF(入力シート!$A83="","",入力シート!I83)</f>
        <v/>
      </c>
      <c r="AF79" s="25" t="str">
        <f aca="false">IF(入力シート!$A83="","",入力シート!M83)</f>
        <v/>
      </c>
      <c r="AG79" s="25" t="str">
        <f aca="false">IF(入力シート!$A83="","",入力シート!N83)</f>
        <v/>
      </c>
      <c r="AH79" s="25" t="str">
        <f aca="false">IF(入力シート!$A83="","","")</f>
        <v/>
      </c>
      <c r="AI79" s="25" t="str">
        <f aca="false">IF(入力シート!$A83="","","")</f>
        <v/>
      </c>
      <c r="AJ79" s="25" t="str">
        <f aca="false">IF(入力シート!$A83="","","")</f>
        <v/>
      </c>
      <c r="AK79" s="25" t="str">
        <f aca="false">IF(入力シート!$A83="","",2)</f>
        <v/>
      </c>
      <c r="AL79" s="25" t="str">
        <f aca="false">IF(入力シート!$A83="","","")</f>
        <v/>
      </c>
      <c r="AM79" s="25" t="str">
        <f aca="false">IF(入力シート!$A83="","","")</f>
        <v/>
      </c>
      <c r="AN79" s="25" t="str">
        <f aca="false">IF(入力シート!$A83="","",入力シート!C83)</f>
        <v/>
      </c>
      <c r="AO79" s="25" t="str">
        <f aca="false">IF(入力シート!$A83="","","")</f>
        <v/>
      </c>
      <c r="AP79" s="25" t="str">
        <f aca="false">IF(入力シート!$A83="","","")</f>
        <v/>
      </c>
      <c r="AQ79" s="25" t="str">
        <f aca="false">IF(入力シート!$A83="","","")</f>
        <v/>
      </c>
    </row>
    <row r="80" customFormat="false" ht="15" hidden="false" customHeight="true" outlineLevel="0" collapsed="false">
      <c r="A80" s="25" t="str">
        <f aca="false">IF(入力シート!$A84="","",1)</f>
        <v/>
      </c>
      <c r="B80" s="25" t="str">
        <f aca="false">IF(入力シート!$A84="","",1)</f>
        <v/>
      </c>
      <c r="C80" s="25" t="str">
        <f aca="false">IF(入力シート!$A84="","",0)</f>
        <v/>
      </c>
      <c r="D80" s="25" t="str">
        <f aca="false">IF(入力シート!$A84="","",TEXT(入力シート!A84,"YYYYMMDD"))</f>
        <v/>
      </c>
      <c r="E80" s="25" t="str">
        <f aca="false">IF(入力シート!$A84="","",TEXT(入力シート!Q84,"00000000"))</f>
        <v/>
      </c>
      <c r="F80" s="25" t="str">
        <f aca="false">IF(入力シート!$A84="","",14)</f>
        <v/>
      </c>
      <c r="G80" s="25" t="str">
        <f aca="false">IF(入力シート!$A84="","",1)</f>
        <v/>
      </c>
      <c r="H80" s="25" t="str">
        <f aca="false">IF(入力シート!$A84="","",1)</f>
        <v/>
      </c>
      <c r="I80" s="25" t="str">
        <f aca="false">IF(入力シート!$A84="","",3)</f>
        <v/>
      </c>
      <c r="J80" s="25" t="str">
        <f aca="false">IF(入力シート!$A84="","",1)</f>
        <v/>
      </c>
      <c r="K80" s="25" t="str">
        <f aca="false">IF(入力シート!$A84="","",入力シート!B84)</f>
        <v/>
      </c>
      <c r="L80" s="25" t="str">
        <f aca="false">IF(入力シート!$A84="","","")</f>
        <v/>
      </c>
      <c r="M80" s="25" t="str">
        <f aca="false">IF(入力シート!$A84="","","")</f>
        <v/>
      </c>
      <c r="N80" s="25" t="str">
        <f aca="false">IF(入力シート!$A84="","",入力シート!R84)</f>
        <v/>
      </c>
      <c r="O80" s="25" t="str">
        <f aca="false">IF(入力シート!$A84="","",IF(入力シート!G84="",1,入力シート!G84))</f>
        <v/>
      </c>
      <c r="P80" s="25" t="str">
        <f aca="false">IF(入力シート!$A84="","",入力シート!D84)</f>
        <v/>
      </c>
      <c r="Q80" s="25" t="str">
        <f aca="false">IF(入力シート!$A84="","","")</f>
        <v/>
      </c>
      <c r="R80" s="25" t="str">
        <f aca="false">IF(入力シート!$A84="","",入力シート!J84)</f>
        <v/>
      </c>
      <c r="S80" s="25" t="str">
        <f aca="false">IF(入力シート!$A84="","",入力シート!L84)</f>
        <v/>
      </c>
      <c r="T80" s="25" t="str">
        <f aca="false">IF(入力シート!$A84="","",入力シート!K84)</f>
        <v/>
      </c>
      <c r="U80" s="25" t="str">
        <f aca="false">IF(入力シート!$A84="","",0)</f>
        <v/>
      </c>
      <c r="V80" s="25" t="str">
        <f aca="false">IF(入力シート!$A84="","",0)</f>
        <v/>
      </c>
      <c r="W80" s="25" t="str">
        <f aca="false">IF(入力シート!$A84="","","0000")</f>
        <v/>
      </c>
      <c r="X80" s="25" t="str">
        <f aca="false">IF(入力シート!$A84="","",入力シート!E84)</f>
        <v/>
      </c>
      <c r="Y80" s="25" t="str">
        <f aca="false">IF(入力シート!$A84="","",入力シート!F84)</f>
        <v/>
      </c>
      <c r="Z80" s="25" t="str">
        <f aca="false">IF(入力シート!$A84="","",入力シート!O84)</f>
        <v/>
      </c>
      <c r="AA80" s="25" t="str">
        <f aca="false">IF(入力シート!$A84="","","")</f>
        <v/>
      </c>
      <c r="AB80" s="25" t="str">
        <f aca="false">IF(入力シート!$A84="","",入力シート!P84)</f>
        <v/>
      </c>
      <c r="AC80" s="25" t="str">
        <f aca="false">IF(入力シート!$A84="","",入力シート!U84)</f>
        <v/>
      </c>
      <c r="AD80" s="25" t="str">
        <f aca="false">IF(入力シート!$A84="","",0)</f>
        <v/>
      </c>
      <c r="AE80" s="25" t="str">
        <f aca="false">IF(入力シート!$A84="","",入力シート!I84)</f>
        <v/>
      </c>
      <c r="AF80" s="25" t="str">
        <f aca="false">IF(入力シート!$A84="","",入力シート!M84)</f>
        <v/>
      </c>
      <c r="AG80" s="25" t="str">
        <f aca="false">IF(入力シート!$A84="","",入力シート!N84)</f>
        <v/>
      </c>
      <c r="AH80" s="25" t="str">
        <f aca="false">IF(入力シート!$A84="","","")</f>
        <v/>
      </c>
      <c r="AI80" s="25" t="str">
        <f aca="false">IF(入力シート!$A84="","","")</f>
        <v/>
      </c>
      <c r="AJ80" s="25" t="str">
        <f aca="false">IF(入力シート!$A84="","","")</f>
        <v/>
      </c>
      <c r="AK80" s="25" t="str">
        <f aca="false">IF(入力シート!$A84="","",2)</f>
        <v/>
      </c>
      <c r="AL80" s="25" t="str">
        <f aca="false">IF(入力シート!$A84="","","")</f>
        <v/>
      </c>
      <c r="AM80" s="25" t="str">
        <f aca="false">IF(入力シート!$A84="","","")</f>
        <v/>
      </c>
      <c r="AN80" s="25" t="str">
        <f aca="false">IF(入力シート!$A84="","",入力シート!C84)</f>
        <v/>
      </c>
      <c r="AO80" s="25" t="str">
        <f aca="false">IF(入力シート!$A84="","","")</f>
        <v/>
      </c>
      <c r="AP80" s="25" t="str">
        <f aca="false">IF(入力シート!$A84="","","")</f>
        <v/>
      </c>
      <c r="AQ80" s="25" t="str">
        <f aca="false">IF(入力シート!$A84="","","")</f>
        <v/>
      </c>
    </row>
    <row r="81" customFormat="false" ht="15" hidden="false" customHeight="true" outlineLevel="0" collapsed="false">
      <c r="A81" s="25" t="str">
        <f aca="false">IF(入力シート!$A85="","",1)</f>
        <v/>
      </c>
      <c r="B81" s="25" t="str">
        <f aca="false">IF(入力シート!$A85="","",1)</f>
        <v/>
      </c>
      <c r="C81" s="25" t="str">
        <f aca="false">IF(入力シート!$A85="","",0)</f>
        <v/>
      </c>
      <c r="D81" s="25" t="str">
        <f aca="false">IF(入力シート!$A85="","",TEXT(入力シート!A85,"YYYYMMDD"))</f>
        <v/>
      </c>
      <c r="E81" s="25" t="str">
        <f aca="false">IF(入力シート!$A85="","",TEXT(入力シート!Q85,"00000000"))</f>
        <v/>
      </c>
      <c r="F81" s="25" t="str">
        <f aca="false">IF(入力シート!$A85="","",14)</f>
        <v/>
      </c>
      <c r="G81" s="25" t="str">
        <f aca="false">IF(入力シート!$A85="","",1)</f>
        <v/>
      </c>
      <c r="H81" s="25" t="str">
        <f aca="false">IF(入力シート!$A85="","",1)</f>
        <v/>
      </c>
      <c r="I81" s="25" t="str">
        <f aca="false">IF(入力シート!$A85="","",3)</f>
        <v/>
      </c>
      <c r="J81" s="25" t="str">
        <f aca="false">IF(入力シート!$A85="","",1)</f>
        <v/>
      </c>
      <c r="K81" s="25" t="str">
        <f aca="false">IF(入力シート!$A85="","",入力シート!B85)</f>
        <v/>
      </c>
      <c r="L81" s="25" t="str">
        <f aca="false">IF(入力シート!$A85="","","")</f>
        <v/>
      </c>
      <c r="M81" s="25" t="str">
        <f aca="false">IF(入力シート!$A85="","","")</f>
        <v/>
      </c>
      <c r="N81" s="25" t="str">
        <f aca="false">IF(入力シート!$A85="","",入力シート!R85)</f>
        <v/>
      </c>
      <c r="O81" s="25" t="str">
        <f aca="false">IF(入力シート!$A85="","",IF(入力シート!G85="",1,入力シート!G85))</f>
        <v/>
      </c>
      <c r="P81" s="25" t="str">
        <f aca="false">IF(入力シート!$A85="","",入力シート!D85)</f>
        <v/>
      </c>
      <c r="Q81" s="25" t="str">
        <f aca="false">IF(入力シート!$A85="","","")</f>
        <v/>
      </c>
      <c r="R81" s="25" t="str">
        <f aca="false">IF(入力シート!$A85="","",入力シート!J85)</f>
        <v/>
      </c>
      <c r="S81" s="25" t="str">
        <f aca="false">IF(入力シート!$A85="","",入力シート!L85)</f>
        <v/>
      </c>
      <c r="T81" s="25" t="str">
        <f aca="false">IF(入力シート!$A85="","",入力シート!K85)</f>
        <v/>
      </c>
      <c r="U81" s="25" t="str">
        <f aca="false">IF(入力シート!$A85="","",0)</f>
        <v/>
      </c>
      <c r="V81" s="25" t="str">
        <f aca="false">IF(入力シート!$A85="","",0)</f>
        <v/>
      </c>
      <c r="W81" s="25" t="str">
        <f aca="false">IF(入力シート!$A85="","","0000")</f>
        <v/>
      </c>
      <c r="X81" s="25" t="str">
        <f aca="false">IF(入力シート!$A85="","",入力シート!E85)</f>
        <v/>
      </c>
      <c r="Y81" s="25" t="str">
        <f aca="false">IF(入力シート!$A85="","",入力シート!F85)</f>
        <v/>
      </c>
      <c r="Z81" s="25" t="str">
        <f aca="false">IF(入力シート!$A85="","",入力シート!O85)</f>
        <v/>
      </c>
      <c r="AA81" s="25" t="str">
        <f aca="false">IF(入力シート!$A85="","","")</f>
        <v/>
      </c>
      <c r="AB81" s="25" t="str">
        <f aca="false">IF(入力シート!$A85="","",入力シート!P85)</f>
        <v/>
      </c>
      <c r="AC81" s="25" t="str">
        <f aca="false">IF(入力シート!$A85="","",入力シート!U85)</f>
        <v/>
      </c>
      <c r="AD81" s="25" t="str">
        <f aca="false">IF(入力シート!$A85="","",0)</f>
        <v/>
      </c>
      <c r="AE81" s="25" t="str">
        <f aca="false">IF(入力シート!$A85="","",入力シート!I85)</f>
        <v/>
      </c>
      <c r="AF81" s="25" t="str">
        <f aca="false">IF(入力シート!$A85="","",入力シート!M85)</f>
        <v/>
      </c>
      <c r="AG81" s="25" t="str">
        <f aca="false">IF(入力シート!$A85="","",入力シート!N85)</f>
        <v/>
      </c>
      <c r="AH81" s="25" t="str">
        <f aca="false">IF(入力シート!$A85="","","")</f>
        <v/>
      </c>
      <c r="AI81" s="25" t="str">
        <f aca="false">IF(入力シート!$A85="","","")</f>
        <v/>
      </c>
      <c r="AJ81" s="25" t="str">
        <f aca="false">IF(入力シート!$A85="","","")</f>
        <v/>
      </c>
      <c r="AK81" s="25" t="str">
        <f aca="false">IF(入力シート!$A85="","",2)</f>
        <v/>
      </c>
      <c r="AL81" s="25" t="str">
        <f aca="false">IF(入力シート!$A85="","","")</f>
        <v/>
      </c>
      <c r="AM81" s="25" t="str">
        <f aca="false">IF(入力シート!$A85="","","")</f>
        <v/>
      </c>
      <c r="AN81" s="25" t="str">
        <f aca="false">IF(入力シート!$A85="","",入力シート!C85)</f>
        <v/>
      </c>
      <c r="AO81" s="25" t="str">
        <f aca="false">IF(入力シート!$A85="","","")</f>
        <v/>
      </c>
      <c r="AP81" s="25" t="str">
        <f aca="false">IF(入力シート!$A85="","","")</f>
        <v/>
      </c>
      <c r="AQ81" s="25" t="str">
        <f aca="false">IF(入力シート!$A85="","","")</f>
        <v/>
      </c>
    </row>
    <row r="82" customFormat="false" ht="15" hidden="false" customHeight="true" outlineLevel="0" collapsed="false">
      <c r="A82" s="25" t="str">
        <f aca="false">IF(入力シート!$A86="","",1)</f>
        <v/>
      </c>
      <c r="B82" s="25" t="str">
        <f aca="false">IF(入力シート!$A86="","",1)</f>
        <v/>
      </c>
      <c r="C82" s="25" t="str">
        <f aca="false">IF(入力シート!$A86="","",0)</f>
        <v/>
      </c>
      <c r="D82" s="25" t="str">
        <f aca="false">IF(入力シート!$A86="","",TEXT(入力シート!A86,"YYYYMMDD"))</f>
        <v/>
      </c>
      <c r="E82" s="25" t="str">
        <f aca="false">IF(入力シート!$A86="","",TEXT(入力シート!Q86,"00000000"))</f>
        <v/>
      </c>
      <c r="F82" s="25" t="str">
        <f aca="false">IF(入力シート!$A86="","",14)</f>
        <v/>
      </c>
      <c r="G82" s="25" t="str">
        <f aca="false">IF(入力シート!$A86="","",1)</f>
        <v/>
      </c>
      <c r="H82" s="25" t="str">
        <f aca="false">IF(入力シート!$A86="","",1)</f>
        <v/>
      </c>
      <c r="I82" s="25" t="str">
        <f aca="false">IF(入力シート!$A86="","",3)</f>
        <v/>
      </c>
      <c r="J82" s="25" t="str">
        <f aca="false">IF(入力シート!$A86="","",1)</f>
        <v/>
      </c>
      <c r="K82" s="25" t="str">
        <f aca="false">IF(入力シート!$A86="","",入力シート!B86)</f>
        <v/>
      </c>
      <c r="L82" s="25" t="str">
        <f aca="false">IF(入力シート!$A86="","","")</f>
        <v/>
      </c>
      <c r="M82" s="25" t="str">
        <f aca="false">IF(入力シート!$A86="","","")</f>
        <v/>
      </c>
      <c r="N82" s="25" t="str">
        <f aca="false">IF(入力シート!$A86="","",入力シート!R86)</f>
        <v/>
      </c>
      <c r="O82" s="25" t="str">
        <f aca="false">IF(入力シート!$A86="","",IF(入力シート!G86="",1,入力シート!G86))</f>
        <v/>
      </c>
      <c r="P82" s="25" t="str">
        <f aca="false">IF(入力シート!$A86="","",入力シート!D86)</f>
        <v/>
      </c>
      <c r="Q82" s="25" t="str">
        <f aca="false">IF(入力シート!$A86="","","")</f>
        <v/>
      </c>
      <c r="R82" s="25" t="str">
        <f aca="false">IF(入力シート!$A86="","",入力シート!J86)</f>
        <v/>
      </c>
      <c r="S82" s="25" t="str">
        <f aca="false">IF(入力シート!$A86="","",入力シート!L86)</f>
        <v/>
      </c>
      <c r="T82" s="25" t="str">
        <f aca="false">IF(入力シート!$A86="","",入力シート!K86)</f>
        <v/>
      </c>
      <c r="U82" s="25" t="str">
        <f aca="false">IF(入力シート!$A86="","",0)</f>
        <v/>
      </c>
      <c r="V82" s="25" t="str">
        <f aca="false">IF(入力シート!$A86="","",0)</f>
        <v/>
      </c>
      <c r="W82" s="25" t="str">
        <f aca="false">IF(入力シート!$A86="","","0000")</f>
        <v/>
      </c>
      <c r="X82" s="25" t="str">
        <f aca="false">IF(入力シート!$A86="","",入力シート!E86)</f>
        <v/>
      </c>
      <c r="Y82" s="25" t="str">
        <f aca="false">IF(入力シート!$A86="","",入力シート!F86)</f>
        <v/>
      </c>
      <c r="Z82" s="25" t="str">
        <f aca="false">IF(入力シート!$A86="","",入力シート!O86)</f>
        <v/>
      </c>
      <c r="AA82" s="25" t="str">
        <f aca="false">IF(入力シート!$A86="","","")</f>
        <v/>
      </c>
      <c r="AB82" s="25" t="str">
        <f aca="false">IF(入力シート!$A86="","",入力シート!P86)</f>
        <v/>
      </c>
      <c r="AC82" s="25" t="str">
        <f aca="false">IF(入力シート!$A86="","",入力シート!U86)</f>
        <v/>
      </c>
      <c r="AD82" s="25" t="str">
        <f aca="false">IF(入力シート!$A86="","",0)</f>
        <v/>
      </c>
      <c r="AE82" s="25" t="str">
        <f aca="false">IF(入力シート!$A86="","",入力シート!I86)</f>
        <v/>
      </c>
      <c r="AF82" s="25" t="str">
        <f aca="false">IF(入力シート!$A86="","",入力シート!M86)</f>
        <v/>
      </c>
      <c r="AG82" s="25" t="str">
        <f aca="false">IF(入力シート!$A86="","",入力シート!N86)</f>
        <v/>
      </c>
      <c r="AH82" s="25" t="str">
        <f aca="false">IF(入力シート!$A86="","","")</f>
        <v/>
      </c>
      <c r="AI82" s="25" t="str">
        <f aca="false">IF(入力シート!$A86="","","")</f>
        <v/>
      </c>
      <c r="AJ82" s="25" t="str">
        <f aca="false">IF(入力シート!$A86="","","")</f>
        <v/>
      </c>
      <c r="AK82" s="25" t="str">
        <f aca="false">IF(入力シート!$A86="","",2)</f>
        <v/>
      </c>
      <c r="AL82" s="25" t="str">
        <f aca="false">IF(入力シート!$A86="","","")</f>
        <v/>
      </c>
      <c r="AM82" s="25" t="str">
        <f aca="false">IF(入力シート!$A86="","","")</f>
        <v/>
      </c>
      <c r="AN82" s="25" t="str">
        <f aca="false">IF(入力シート!$A86="","",入力シート!C86)</f>
        <v/>
      </c>
      <c r="AO82" s="25" t="str">
        <f aca="false">IF(入力シート!$A86="","","")</f>
        <v/>
      </c>
      <c r="AP82" s="25" t="str">
        <f aca="false">IF(入力シート!$A86="","","")</f>
        <v/>
      </c>
      <c r="AQ82" s="25" t="str">
        <f aca="false">IF(入力シート!$A86="","","")</f>
        <v/>
      </c>
    </row>
    <row r="83" customFormat="false" ht="15" hidden="false" customHeight="true" outlineLevel="0" collapsed="false">
      <c r="A83" s="25" t="str">
        <f aca="false">IF(入力シート!$A87="","",1)</f>
        <v/>
      </c>
      <c r="B83" s="25" t="str">
        <f aca="false">IF(入力シート!$A87="","",1)</f>
        <v/>
      </c>
      <c r="C83" s="25" t="str">
        <f aca="false">IF(入力シート!$A87="","",0)</f>
        <v/>
      </c>
      <c r="D83" s="25" t="str">
        <f aca="false">IF(入力シート!$A87="","",TEXT(入力シート!A87,"YYYYMMDD"))</f>
        <v/>
      </c>
      <c r="E83" s="25" t="str">
        <f aca="false">IF(入力シート!$A87="","",TEXT(入力シート!Q87,"00000000"))</f>
        <v/>
      </c>
      <c r="F83" s="25" t="str">
        <f aca="false">IF(入力シート!$A87="","",14)</f>
        <v/>
      </c>
      <c r="G83" s="25" t="str">
        <f aca="false">IF(入力シート!$A87="","",1)</f>
        <v/>
      </c>
      <c r="H83" s="25" t="str">
        <f aca="false">IF(入力シート!$A87="","",1)</f>
        <v/>
      </c>
      <c r="I83" s="25" t="str">
        <f aca="false">IF(入力シート!$A87="","",3)</f>
        <v/>
      </c>
      <c r="J83" s="25" t="str">
        <f aca="false">IF(入力シート!$A87="","",1)</f>
        <v/>
      </c>
      <c r="K83" s="25" t="str">
        <f aca="false">IF(入力シート!$A87="","",入力シート!B87)</f>
        <v/>
      </c>
      <c r="L83" s="25" t="str">
        <f aca="false">IF(入力シート!$A87="","","")</f>
        <v/>
      </c>
      <c r="M83" s="25" t="str">
        <f aca="false">IF(入力シート!$A87="","","")</f>
        <v/>
      </c>
      <c r="N83" s="25" t="str">
        <f aca="false">IF(入力シート!$A87="","",入力シート!R87)</f>
        <v/>
      </c>
      <c r="O83" s="25" t="str">
        <f aca="false">IF(入力シート!$A87="","",IF(入力シート!G87="",1,入力シート!G87))</f>
        <v/>
      </c>
      <c r="P83" s="25" t="str">
        <f aca="false">IF(入力シート!$A87="","",入力シート!D87)</f>
        <v/>
      </c>
      <c r="Q83" s="25" t="str">
        <f aca="false">IF(入力シート!$A87="","","")</f>
        <v/>
      </c>
      <c r="R83" s="25" t="str">
        <f aca="false">IF(入力シート!$A87="","",入力シート!J87)</f>
        <v/>
      </c>
      <c r="S83" s="25" t="str">
        <f aca="false">IF(入力シート!$A87="","",入力シート!L87)</f>
        <v/>
      </c>
      <c r="T83" s="25" t="str">
        <f aca="false">IF(入力シート!$A87="","",入力シート!K87)</f>
        <v/>
      </c>
      <c r="U83" s="25" t="str">
        <f aca="false">IF(入力シート!$A87="","",0)</f>
        <v/>
      </c>
      <c r="V83" s="25" t="str">
        <f aca="false">IF(入力シート!$A87="","",0)</f>
        <v/>
      </c>
      <c r="W83" s="25" t="str">
        <f aca="false">IF(入力シート!$A87="","","0000")</f>
        <v/>
      </c>
      <c r="X83" s="25" t="str">
        <f aca="false">IF(入力シート!$A87="","",入力シート!E87)</f>
        <v/>
      </c>
      <c r="Y83" s="25" t="str">
        <f aca="false">IF(入力シート!$A87="","",入力シート!F87)</f>
        <v/>
      </c>
      <c r="Z83" s="25" t="str">
        <f aca="false">IF(入力シート!$A87="","",入力シート!O87)</f>
        <v/>
      </c>
      <c r="AA83" s="25" t="str">
        <f aca="false">IF(入力シート!$A87="","","")</f>
        <v/>
      </c>
      <c r="AB83" s="25" t="str">
        <f aca="false">IF(入力シート!$A87="","",入力シート!P87)</f>
        <v/>
      </c>
      <c r="AC83" s="25" t="str">
        <f aca="false">IF(入力シート!$A87="","",入力シート!U87)</f>
        <v/>
      </c>
      <c r="AD83" s="25" t="str">
        <f aca="false">IF(入力シート!$A87="","",0)</f>
        <v/>
      </c>
      <c r="AE83" s="25" t="str">
        <f aca="false">IF(入力シート!$A87="","",入力シート!I87)</f>
        <v/>
      </c>
      <c r="AF83" s="25" t="str">
        <f aca="false">IF(入力シート!$A87="","",入力シート!M87)</f>
        <v/>
      </c>
      <c r="AG83" s="25" t="str">
        <f aca="false">IF(入力シート!$A87="","",入力シート!N87)</f>
        <v/>
      </c>
      <c r="AH83" s="25" t="str">
        <f aca="false">IF(入力シート!$A87="","","")</f>
        <v/>
      </c>
      <c r="AI83" s="25" t="str">
        <f aca="false">IF(入力シート!$A87="","","")</f>
        <v/>
      </c>
      <c r="AJ83" s="25" t="str">
        <f aca="false">IF(入力シート!$A87="","","")</f>
        <v/>
      </c>
      <c r="AK83" s="25" t="str">
        <f aca="false">IF(入力シート!$A87="","",2)</f>
        <v/>
      </c>
      <c r="AL83" s="25" t="str">
        <f aca="false">IF(入力シート!$A87="","","")</f>
        <v/>
      </c>
      <c r="AM83" s="25" t="str">
        <f aca="false">IF(入力シート!$A87="","","")</f>
        <v/>
      </c>
      <c r="AN83" s="25" t="str">
        <f aca="false">IF(入力シート!$A87="","",入力シート!C87)</f>
        <v/>
      </c>
      <c r="AO83" s="25" t="str">
        <f aca="false">IF(入力シート!$A87="","","")</f>
        <v/>
      </c>
      <c r="AP83" s="25" t="str">
        <f aca="false">IF(入力シート!$A87="","","")</f>
        <v/>
      </c>
      <c r="AQ83" s="25" t="str">
        <f aca="false">IF(入力シート!$A87="","","")</f>
        <v/>
      </c>
    </row>
    <row r="84" customFormat="false" ht="15" hidden="false" customHeight="true" outlineLevel="0" collapsed="false">
      <c r="A84" s="25" t="str">
        <f aca="false">IF(入力シート!$A88="","",1)</f>
        <v/>
      </c>
      <c r="B84" s="25" t="str">
        <f aca="false">IF(入力シート!$A88="","",1)</f>
        <v/>
      </c>
      <c r="C84" s="25" t="str">
        <f aca="false">IF(入力シート!$A88="","",0)</f>
        <v/>
      </c>
      <c r="D84" s="25" t="str">
        <f aca="false">IF(入力シート!$A88="","",TEXT(入力シート!A88,"YYYYMMDD"))</f>
        <v/>
      </c>
      <c r="E84" s="25" t="str">
        <f aca="false">IF(入力シート!$A88="","",TEXT(入力シート!Q88,"00000000"))</f>
        <v/>
      </c>
      <c r="F84" s="25" t="str">
        <f aca="false">IF(入力シート!$A88="","",14)</f>
        <v/>
      </c>
      <c r="G84" s="25" t="str">
        <f aca="false">IF(入力シート!$A88="","",1)</f>
        <v/>
      </c>
      <c r="H84" s="25" t="str">
        <f aca="false">IF(入力シート!$A88="","",1)</f>
        <v/>
      </c>
      <c r="I84" s="25" t="str">
        <f aca="false">IF(入力シート!$A88="","",3)</f>
        <v/>
      </c>
      <c r="J84" s="25" t="str">
        <f aca="false">IF(入力シート!$A88="","",1)</f>
        <v/>
      </c>
      <c r="K84" s="25" t="str">
        <f aca="false">IF(入力シート!$A88="","",入力シート!B88)</f>
        <v/>
      </c>
      <c r="L84" s="25" t="str">
        <f aca="false">IF(入力シート!$A88="","","")</f>
        <v/>
      </c>
      <c r="M84" s="25" t="str">
        <f aca="false">IF(入力シート!$A88="","","")</f>
        <v/>
      </c>
      <c r="N84" s="25" t="str">
        <f aca="false">IF(入力シート!$A88="","",入力シート!R88)</f>
        <v/>
      </c>
      <c r="O84" s="25" t="str">
        <f aca="false">IF(入力シート!$A88="","",IF(入力シート!G88="",1,入力シート!G88))</f>
        <v/>
      </c>
      <c r="P84" s="25" t="str">
        <f aca="false">IF(入力シート!$A88="","",入力シート!D88)</f>
        <v/>
      </c>
      <c r="Q84" s="25" t="str">
        <f aca="false">IF(入力シート!$A88="","","")</f>
        <v/>
      </c>
      <c r="R84" s="25" t="str">
        <f aca="false">IF(入力シート!$A88="","",入力シート!J88)</f>
        <v/>
      </c>
      <c r="S84" s="25" t="str">
        <f aca="false">IF(入力シート!$A88="","",入力シート!L88)</f>
        <v/>
      </c>
      <c r="T84" s="25" t="str">
        <f aca="false">IF(入力シート!$A88="","",入力シート!K88)</f>
        <v/>
      </c>
      <c r="U84" s="25" t="str">
        <f aca="false">IF(入力シート!$A88="","",0)</f>
        <v/>
      </c>
      <c r="V84" s="25" t="str">
        <f aca="false">IF(入力シート!$A88="","",0)</f>
        <v/>
      </c>
      <c r="W84" s="25" t="str">
        <f aca="false">IF(入力シート!$A88="","","0000")</f>
        <v/>
      </c>
      <c r="X84" s="25" t="str">
        <f aca="false">IF(入力シート!$A88="","",入力シート!E88)</f>
        <v/>
      </c>
      <c r="Y84" s="25" t="str">
        <f aca="false">IF(入力シート!$A88="","",入力シート!F88)</f>
        <v/>
      </c>
      <c r="Z84" s="25" t="str">
        <f aca="false">IF(入力シート!$A88="","",入力シート!O88)</f>
        <v/>
      </c>
      <c r="AA84" s="25" t="str">
        <f aca="false">IF(入力シート!$A88="","","")</f>
        <v/>
      </c>
      <c r="AB84" s="25" t="str">
        <f aca="false">IF(入力シート!$A88="","",入力シート!P88)</f>
        <v/>
      </c>
      <c r="AC84" s="25" t="str">
        <f aca="false">IF(入力シート!$A88="","",入力シート!U88)</f>
        <v/>
      </c>
      <c r="AD84" s="25" t="str">
        <f aca="false">IF(入力シート!$A88="","",0)</f>
        <v/>
      </c>
      <c r="AE84" s="25" t="str">
        <f aca="false">IF(入力シート!$A88="","",入力シート!I88)</f>
        <v/>
      </c>
      <c r="AF84" s="25" t="str">
        <f aca="false">IF(入力シート!$A88="","",入力シート!M88)</f>
        <v/>
      </c>
      <c r="AG84" s="25" t="str">
        <f aca="false">IF(入力シート!$A88="","",入力シート!N88)</f>
        <v/>
      </c>
      <c r="AH84" s="25" t="str">
        <f aca="false">IF(入力シート!$A88="","","")</f>
        <v/>
      </c>
      <c r="AI84" s="25" t="str">
        <f aca="false">IF(入力シート!$A88="","","")</f>
        <v/>
      </c>
      <c r="AJ84" s="25" t="str">
        <f aca="false">IF(入力シート!$A88="","","")</f>
        <v/>
      </c>
      <c r="AK84" s="25" t="str">
        <f aca="false">IF(入力シート!$A88="","",2)</f>
        <v/>
      </c>
      <c r="AL84" s="25" t="str">
        <f aca="false">IF(入力シート!$A88="","","")</f>
        <v/>
      </c>
      <c r="AM84" s="25" t="str">
        <f aca="false">IF(入力シート!$A88="","","")</f>
        <v/>
      </c>
      <c r="AN84" s="25" t="str">
        <f aca="false">IF(入力シート!$A88="","",入力シート!C88)</f>
        <v/>
      </c>
      <c r="AO84" s="25" t="str">
        <f aca="false">IF(入力シート!$A88="","","")</f>
        <v/>
      </c>
      <c r="AP84" s="25" t="str">
        <f aca="false">IF(入力シート!$A88="","","")</f>
        <v/>
      </c>
      <c r="AQ84" s="25" t="str">
        <f aca="false">IF(入力シート!$A88="","","")</f>
        <v/>
      </c>
    </row>
    <row r="85" customFormat="false" ht="15" hidden="false" customHeight="true" outlineLevel="0" collapsed="false">
      <c r="A85" s="25" t="str">
        <f aca="false">IF(入力シート!$A89="","",1)</f>
        <v/>
      </c>
      <c r="B85" s="25" t="str">
        <f aca="false">IF(入力シート!$A89="","",1)</f>
        <v/>
      </c>
      <c r="C85" s="25" t="str">
        <f aca="false">IF(入力シート!$A89="","",0)</f>
        <v/>
      </c>
      <c r="D85" s="25" t="str">
        <f aca="false">IF(入力シート!$A89="","",TEXT(入力シート!A89,"YYYYMMDD"))</f>
        <v/>
      </c>
      <c r="E85" s="25" t="str">
        <f aca="false">IF(入力シート!$A89="","",TEXT(入力シート!Q89,"00000000"))</f>
        <v/>
      </c>
      <c r="F85" s="25" t="str">
        <f aca="false">IF(入力シート!$A89="","",14)</f>
        <v/>
      </c>
      <c r="G85" s="25" t="str">
        <f aca="false">IF(入力シート!$A89="","",1)</f>
        <v/>
      </c>
      <c r="H85" s="25" t="str">
        <f aca="false">IF(入力シート!$A89="","",1)</f>
        <v/>
      </c>
      <c r="I85" s="25" t="str">
        <f aca="false">IF(入力シート!$A89="","",3)</f>
        <v/>
      </c>
      <c r="J85" s="25" t="str">
        <f aca="false">IF(入力シート!$A89="","",1)</f>
        <v/>
      </c>
      <c r="K85" s="25" t="str">
        <f aca="false">IF(入力シート!$A89="","",入力シート!B89)</f>
        <v/>
      </c>
      <c r="L85" s="25" t="str">
        <f aca="false">IF(入力シート!$A89="","","")</f>
        <v/>
      </c>
      <c r="M85" s="25" t="str">
        <f aca="false">IF(入力シート!$A89="","","")</f>
        <v/>
      </c>
      <c r="N85" s="25" t="str">
        <f aca="false">IF(入力シート!$A89="","",入力シート!R89)</f>
        <v/>
      </c>
      <c r="O85" s="25" t="str">
        <f aca="false">IF(入力シート!$A89="","",IF(入力シート!G89="",1,入力シート!G89))</f>
        <v/>
      </c>
      <c r="P85" s="25" t="str">
        <f aca="false">IF(入力シート!$A89="","",入力シート!D89)</f>
        <v/>
      </c>
      <c r="Q85" s="25" t="str">
        <f aca="false">IF(入力シート!$A89="","","")</f>
        <v/>
      </c>
      <c r="R85" s="25" t="str">
        <f aca="false">IF(入力シート!$A89="","",入力シート!J89)</f>
        <v/>
      </c>
      <c r="S85" s="25" t="str">
        <f aca="false">IF(入力シート!$A89="","",入力シート!L89)</f>
        <v/>
      </c>
      <c r="T85" s="25" t="str">
        <f aca="false">IF(入力シート!$A89="","",入力シート!K89)</f>
        <v/>
      </c>
      <c r="U85" s="25" t="str">
        <f aca="false">IF(入力シート!$A89="","",0)</f>
        <v/>
      </c>
      <c r="V85" s="25" t="str">
        <f aca="false">IF(入力シート!$A89="","",0)</f>
        <v/>
      </c>
      <c r="W85" s="25" t="str">
        <f aca="false">IF(入力シート!$A89="","","0000")</f>
        <v/>
      </c>
      <c r="X85" s="25" t="str">
        <f aca="false">IF(入力シート!$A89="","",入力シート!E89)</f>
        <v/>
      </c>
      <c r="Y85" s="25" t="str">
        <f aca="false">IF(入力シート!$A89="","",入力シート!F89)</f>
        <v/>
      </c>
      <c r="Z85" s="25" t="str">
        <f aca="false">IF(入力シート!$A89="","",入力シート!O89)</f>
        <v/>
      </c>
      <c r="AA85" s="25" t="str">
        <f aca="false">IF(入力シート!$A89="","","")</f>
        <v/>
      </c>
      <c r="AB85" s="25" t="str">
        <f aca="false">IF(入力シート!$A89="","",入力シート!P89)</f>
        <v/>
      </c>
      <c r="AC85" s="25" t="str">
        <f aca="false">IF(入力シート!$A89="","",入力シート!U89)</f>
        <v/>
      </c>
      <c r="AD85" s="25" t="str">
        <f aca="false">IF(入力シート!$A89="","",0)</f>
        <v/>
      </c>
      <c r="AE85" s="25" t="str">
        <f aca="false">IF(入力シート!$A89="","",入力シート!I89)</f>
        <v/>
      </c>
      <c r="AF85" s="25" t="str">
        <f aca="false">IF(入力シート!$A89="","",入力シート!M89)</f>
        <v/>
      </c>
      <c r="AG85" s="25" t="str">
        <f aca="false">IF(入力シート!$A89="","",入力シート!N89)</f>
        <v/>
      </c>
      <c r="AH85" s="25" t="str">
        <f aca="false">IF(入力シート!$A89="","","")</f>
        <v/>
      </c>
      <c r="AI85" s="25" t="str">
        <f aca="false">IF(入力シート!$A89="","","")</f>
        <v/>
      </c>
      <c r="AJ85" s="25" t="str">
        <f aca="false">IF(入力シート!$A89="","","")</f>
        <v/>
      </c>
      <c r="AK85" s="25" t="str">
        <f aca="false">IF(入力シート!$A89="","",2)</f>
        <v/>
      </c>
      <c r="AL85" s="25" t="str">
        <f aca="false">IF(入力シート!$A89="","","")</f>
        <v/>
      </c>
      <c r="AM85" s="25" t="str">
        <f aca="false">IF(入力シート!$A89="","","")</f>
        <v/>
      </c>
      <c r="AN85" s="25" t="str">
        <f aca="false">IF(入力シート!$A89="","",入力シート!C89)</f>
        <v/>
      </c>
      <c r="AO85" s="25" t="str">
        <f aca="false">IF(入力シート!$A89="","","")</f>
        <v/>
      </c>
      <c r="AP85" s="25" t="str">
        <f aca="false">IF(入力シート!$A89="","","")</f>
        <v/>
      </c>
      <c r="AQ85" s="25" t="str">
        <f aca="false">IF(入力シート!$A89="","","")</f>
        <v/>
      </c>
    </row>
    <row r="86" customFormat="false" ht="15" hidden="false" customHeight="true" outlineLevel="0" collapsed="false">
      <c r="A86" s="25" t="str">
        <f aca="false">IF(入力シート!$A90="","",1)</f>
        <v/>
      </c>
      <c r="B86" s="25" t="str">
        <f aca="false">IF(入力シート!$A90="","",1)</f>
        <v/>
      </c>
      <c r="C86" s="25" t="str">
        <f aca="false">IF(入力シート!$A90="","",0)</f>
        <v/>
      </c>
      <c r="D86" s="25" t="str">
        <f aca="false">IF(入力シート!$A90="","",TEXT(入力シート!A90,"YYYYMMDD"))</f>
        <v/>
      </c>
      <c r="E86" s="25" t="str">
        <f aca="false">IF(入力シート!$A90="","",TEXT(入力シート!Q90,"00000000"))</f>
        <v/>
      </c>
      <c r="F86" s="25" t="str">
        <f aca="false">IF(入力シート!$A90="","",14)</f>
        <v/>
      </c>
      <c r="G86" s="25" t="str">
        <f aca="false">IF(入力シート!$A90="","",1)</f>
        <v/>
      </c>
      <c r="H86" s="25" t="str">
        <f aca="false">IF(入力シート!$A90="","",1)</f>
        <v/>
      </c>
      <c r="I86" s="25" t="str">
        <f aca="false">IF(入力シート!$A90="","",3)</f>
        <v/>
      </c>
      <c r="J86" s="25" t="str">
        <f aca="false">IF(入力シート!$A90="","",1)</f>
        <v/>
      </c>
      <c r="K86" s="25" t="str">
        <f aca="false">IF(入力シート!$A90="","",入力シート!B90)</f>
        <v/>
      </c>
      <c r="L86" s="25" t="str">
        <f aca="false">IF(入力シート!$A90="","","")</f>
        <v/>
      </c>
      <c r="M86" s="25" t="str">
        <f aca="false">IF(入力シート!$A90="","","")</f>
        <v/>
      </c>
      <c r="N86" s="25" t="str">
        <f aca="false">IF(入力シート!$A90="","",入力シート!R90)</f>
        <v/>
      </c>
      <c r="O86" s="25" t="str">
        <f aca="false">IF(入力シート!$A90="","",IF(入力シート!G90="",1,入力シート!G90))</f>
        <v/>
      </c>
      <c r="P86" s="25" t="str">
        <f aca="false">IF(入力シート!$A90="","",入力シート!D90)</f>
        <v/>
      </c>
      <c r="Q86" s="25" t="str">
        <f aca="false">IF(入力シート!$A90="","","")</f>
        <v/>
      </c>
      <c r="R86" s="25" t="str">
        <f aca="false">IF(入力シート!$A90="","",入力シート!J90)</f>
        <v/>
      </c>
      <c r="S86" s="25" t="str">
        <f aca="false">IF(入力シート!$A90="","",入力シート!L90)</f>
        <v/>
      </c>
      <c r="T86" s="25" t="str">
        <f aca="false">IF(入力シート!$A90="","",入力シート!K90)</f>
        <v/>
      </c>
      <c r="U86" s="25" t="str">
        <f aca="false">IF(入力シート!$A90="","",0)</f>
        <v/>
      </c>
      <c r="V86" s="25" t="str">
        <f aca="false">IF(入力シート!$A90="","",0)</f>
        <v/>
      </c>
      <c r="W86" s="25" t="str">
        <f aca="false">IF(入力シート!$A90="","","0000")</f>
        <v/>
      </c>
      <c r="X86" s="25" t="str">
        <f aca="false">IF(入力シート!$A90="","",入力シート!E90)</f>
        <v/>
      </c>
      <c r="Y86" s="25" t="str">
        <f aca="false">IF(入力シート!$A90="","",入力シート!F90)</f>
        <v/>
      </c>
      <c r="Z86" s="25" t="str">
        <f aca="false">IF(入力シート!$A90="","",入力シート!O90)</f>
        <v/>
      </c>
      <c r="AA86" s="25" t="str">
        <f aca="false">IF(入力シート!$A90="","","")</f>
        <v/>
      </c>
      <c r="AB86" s="25" t="str">
        <f aca="false">IF(入力シート!$A90="","",入力シート!P90)</f>
        <v/>
      </c>
      <c r="AC86" s="25" t="str">
        <f aca="false">IF(入力シート!$A90="","",入力シート!U90)</f>
        <v/>
      </c>
      <c r="AD86" s="25" t="str">
        <f aca="false">IF(入力シート!$A90="","",0)</f>
        <v/>
      </c>
      <c r="AE86" s="25" t="str">
        <f aca="false">IF(入力シート!$A90="","",入力シート!I90)</f>
        <v/>
      </c>
      <c r="AF86" s="25" t="str">
        <f aca="false">IF(入力シート!$A90="","",入力シート!M90)</f>
        <v/>
      </c>
      <c r="AG86" s="25" t="str">
        <f aca="false">IF(入力シート!$A90="","",入力シート!N90)</f>
        <v/>
      </c>
      <c r="AH86" s="25" t="str">
        <f aca="false">IF(入力シート!$A90="","","")</f>
        <v/>
      </c>
      <c r="AI86" s="25" t="str">
        <f aca="false">IF(入力シート!$A90="","","")</f>
        <v/>
      </c>
      <c r="AJ86" s="25" t="str">
        <f aca="false">IF(入力シート!$A90="","","")</f>
        <v/>
      </c>
      <c r="AK86" s="25" t="str">
        <f aca="false">IF(入力シート!$A90="","",2)</f>
        <v/>
      </c>
      <c r="AL86" s="25" t="str">
        <f aca="false">IF(入力シート!$A90="","","")</f>
        <v/>
      </c>
      <c r="AM86" s="25" t="str">
        <f aca="false">IF(入力シート!$A90="","","")</f>
        <v/>
      </c>
      <c r="AN86" s="25" t="str">
        <f aca="false">IF(入力シート!$A90="","",入力シート!C90)</f>
        <v/>
      </c>
      <c r="AO86" s="25" t="str">
        <f aca="false">IF(入力シート!$A90="","","")</f>
        <v/>
      </c>
      <c r="AP86" s="25" t="str">
        <f aca="false">IF(入力シート!$A90="","","")</f>
        <v/>
      </c>
      <c r="AQ86" s="25" t="str">
        <f aca="false">IF(入力シート!$A90="","","")</f>
        <v/>
      </c>
    </row>
    <row r="87" customFormat="false" ht="15" hidden="false" customHeight="true" outlineLevel="0" collapsed="false">
      <c r="A87" s="25" t="str">
        <f aca="false">IF(入力シート!$A91="","",1)</f>
        <v/>
      </c>
      <c r="B87" s="25" t="str">
        <f aca="false">IF(入力シート!$A91="","",1)</f>
        <v/>
      </c>
      <c r="C87" s="25" t="str">
        <f aca="false">IF(入力シート!$A91="","",0)</f>
        <v/>
      </c>
      <c r="D87" s="25" t="str">
        <f aca="false">IF(入力シート!$A91="","",TEXT(入力シート!A91,"YYYYMMDD"))</f>
        <v/>
      </c>
      <c r="E87" s="25" t="str">
        <f aca="false">IF(入力シート!$A91="","",TEXT(入力シート!Q91,"00000000"))</f>
        <v/>
      </c>
      <c r="F87" s="25" t="str">
        <f aca="false">IF(入力シート!$A91="","",14)</f>
        <v/>
      </c>
      <c r="G87" s="25" t="str">
        <f aca="false">IF(入力シート!$A91="","",1)</f>
        <v/>
      </c>
      <c r="H87" s="25" t="str">
        <f aca="false">IF(入力シート!$A91="","",1)</f>
        <v/>
      </c>
      <c r="I87" s="25" t="str">
        <f aca="false">IF(入力シート!$A91="","",3)</f>
        <v/>
      </c>
      <c r="J87" s="25" t="str">
        <f aca="false">IF(入力シート!$A91="","",1)</f>
        <v/>
      </c>
      <c r="K87" s="25" t="str">
        <f aca="false">IF(入力シート!$A91="","",入力シート!B91)</f>
        <v/>
      </c>
      <c r="L87" s="25" t="str">
        <f aca="false">IF(入力シート!$A91="","","")</f>
        <v/>
      </c>
      <c r="M87" s="25" t="str">
        <f aca="false">IF(入力シート!$A91="","","")</f>
        <v/>
      </c>
      <c r="N87" s="25" t="str">
        <f aca="false">IF(入力シート!$A91="","",入力シート!R91)</f>
        <v/>
      </c>
      <c r="O87" s="25" t="str">
        <f aca="false">IF(入力シート!$A91="","",IF(入力シート!G91="",1,入力シート!G91))</f>
        <v/>
      </c>
      <c r="P87" s="25" t="str">
        <f aca="false">IF(入力シート!$A91="","",入力シート!D91)</f>
        <v/>
      </c>
      <c r="Q87" s="25" t="str">
        <f aca="false">IF(入力シート!$A91="","","")</f>
        <v/>
      </c>
      <c r="R87" s="25" t="str">
        <f aca="false">IF(入力シート!$A91="","",入力シート!J91)</f>
        <v/>
      </c>
      <c r="S87" s="25" t="str">
        <f aca="false">IF(入力シート!$A91="","",入力シート!L91)</f>
        <v/>
      </c>
      <c r="T87" s="25" t="str">
        <f aca="false">IF(入力シート!$A91="","",入力シート!K91)</f>
        <v/>
      </c>
      <c r="U87" s="25" t="str">
        <f aca="false">IF(入力シート!$A91="","",0)</f>
        <v/>
      </c>
      <c r="V87" s="25" t="str">
        <f aca="false">IF(入力シート!$A91="","",0)</f>
        <v/>
      </c>
      <c r="W87" s="25" t="str">
        <f aca="false">IF(入力シート!$A91="","","0000")</f>
        <v/>
      </c>
      <c r="X87" s="25" t="str">
        <f aca="false">IF(入力シート!$A91="","",入力シート!E91)</f>
        <v/>
      </c>
      <c r="Y87" s="25" t="str">
        <f aca="false">IF(入力シート!$A91="","",入力シート!F91)</f>
        <v/>
      </c>
      <c r="Z87" s="25" t="str">
        <f aca="false">IF(入力シート!$A91="","",入力シート!O91)</f>
        <v/>
      </c>
      <c r="AA87" s="25" t="str">
        <f aca="false">IF(入力シート!$A91="","","")</f>
        <v/>
      </c>
      <c r="AB87" s="25" t="str">
        <f aca="false">IF(入力シート!$A91="","",入力シート!P91)</f>
        <v/>
      </c>
      <c r="AC87" s="25" t="str">
        <f aca="false">IF(入力シート!$A91="","",入力シート!U91)</f>
        <v/>
      </c>
      <c r="AD87" s="25" t="str">
        <f aca="false">IF(入力シート!$A91="","",0)</f>
        <v/>
      </c>
      <c r="AE87" s="25" t="str">
        <f aca="false">IF(入力シート!$A91="","",入力シート!I91)</f>
        <v/>
      </c>
      <c r="AF87" s="25" t="str">
        <f aca="false">IF(入力シート!$A91="","",入力シート!M91)</f>
        <v/>
      </c>
      <c r="AG87" s="25" t="str">
        <f aca="false">IF(入力シート!$A91="","",入力シート!N91)</f>
        <v/>
      </c>
      <c r="AH87" s="25" t="str">
        <f aca="false">IF(入力シート!$A91="","","")</f>
        <v/>
      </c>
      <c r="AI87" s="25" t="str">
        <f aca="false">IF(入力シート!$A91="","","")</f>
        <v/>
      </c>
      <c r="AJ87" s="25" t="str">
        <f aca="false">IF(入力シート!$A91="","","")</f>
        <v/>
      </c>
      <c r="AK87" s="25" t="str">
        <f aca="false">IF(入力シート!$A91="","",2)</f>
        <v/>
      </c>
      <c r="AL87" s="25" t="str">
        <f aca="false">IF(入力シート!$A91="","","")</f>
        <v/>
      </c>
      <c r="AM87" s="25" t="str">
        <f aca="false">IF(入力シート!$A91="","","")</f>
        <v/>
      </c>
      <c r="AN87" s="25" t="str">
        <f aca="false">IF(入力シート!$A91="","",入力シート!C91)</f>
        <v/>
      </c>
      <c r="AO87" s="25" t="str">
        <f aca="false">IF(入力シート!$A91="","","")</f>
        <v/>
      </c>
      <c r="AP87" s="25" t="str">
        <f aca="false">IF(入力シート!$A91="","","")</f>
        <v/>
      </c>
      <c r="AQ87" s="25" t="str">
        <f aca="false">IF(入力シート!$A91="","","")</f>
        <v/>
      </c>
    </row>
    <row r="88" customFormat="false" ht="15" hidden="false" customHeight="true" outlineLevel="0" collapsed="false">
      <c r="A88" s="25" t="str">
        <f aca="false">IF(入力シート!$A92="","",1)</f>
        <v/>
      </c>
      <c r="B88" s="25" t="str">
        <f aca="false">IF(入力シート!$A92="","",1)</f>
        <v/>
      </c>
      <c r="C88" s="25" t="str">
        <f aca="false">IF(入力シート!$A92="","",0)</f>
        <v/>
      </c>
      <c r="D88" s="25" t="str">
        <f aca="false">IF(入力シート!$A92="","",TEXT(入力シート!A92,"YYYYMMDD"))</f>
        <v/>
      </c>
      <c r="E88" s="25" t="str">
        <f aca="false">IF(入力シート!$A92="","",TEXT(入力シート!Q92,"00000000"))</f>
        <v/>
      </c>
      <c r="F88" s="25" t="str">
        <f aca="false">IF(入力シート!$A92="","",14)</f>
        <v/>
      </c>
      <c r="G88" s="25" t="str">
        <f aca="false">IF(入力シート!$A92="","",1)</f>
        <v/>
      </c>
      <c r="H88" s="25" t="str">
        <f aca="false">IF(入力シート!$A92="","",1)</f>
        <v/>
      </c>
      <c r="I88" s="25" t="str">
        <f aca="false">IF(入力シート!$A92="","",3)</f>
        <v/>
      </c>
      <c r="J88" s="25" t="str">
        <f aca="false">IF(入力シート!$A92="","",1)</f>
        <v/>
      </c>
      <c r="K88" s="25" t="str">
        <f aca="false">IF(入力シート!$A92="","",入力シート!B92)</f>
        <v/>
      </c>
      <c r="L88" s="25" t="str">
        <f aca="false">IF(入力シート!$A92="","","")</f>
        <v/>
      </c>
      <c r="M88" s="25" t="str">
        <f aca="false">IF(入力シート!$A92="","","")</f>
        <v/>
      </c>
      <c r="N88" s="25" t="str">
        <f aca="false">IF(入力シート!$A92="","",入力シート!R92)</f>
        <v/>
      </c>
      <c r="O88" s="25" t="str">
        <f aca="false">IF(入力シート!$A92="","",IF(入力シート!G92="",1,入力シート!G92))</f>
        <v/>
      </c>
      <c r="P88" s="25" t="str">
        <f aca="false">IF(入力シート!$A92="","",入力シート!D92)</f>
        <v/>
      </c>
      <c r="Q88" s="25" t="str">
        <f aca="false">IF(入力シート!$A92="","","")</f>
        <v/>
      </c>
      <c r="R88" s="25" t="str">
        <f aca="false">IF(入力シート!$A92="","",入力シート!J92)</f>
        <v/>
      </c>
      <c r="S88" s="25" t="str">
        <f aca="false">IF(入力シート!$A92="","",入力シート!L92)</f>
        <v/>
      </c>
      <c r="T88" s="25" t="str">
        <f aca="false">IF(入力シート!$A92="","",入力シート!K92)</f>
        <v/>
      </c>
      <c r="U88" s="25" t="str">
        <f aca="false">IF(入力シート!$A92="","",0)</f>
        <v/>
      </c>
      <c r="V88" s="25" t="str">
        <f aca="false">IF(入力シート!$A92="","",0)</f>
        <v/>
      </c>
      <c r="W88" s="25" t="str">
        <f aca="false">IF(入力シート!$A92="","","0000")</f>
        <v/>
      </c>
      <c r="X88" s="25" t="str">
        <f aca="false">IF(入力シート!$A92="","",入力シート!E92)</f>
        <v/>
      </c>
      <c r="Y88" s="25" t="str">
        <f aca="false">IF(入力シート!$A92="","",入力シート!F92)</f>
        <v/>
      </c>
      <c r="Z88" s="25" t="str">
        <f aca="false">IF(入力シート!$A92="","",入力シート!O92)</f>
        <v/>
      </c>
      <c r="AA88" s="25" t="str">
        <f aca="false">IF(入力シート!$A92="","","")</f>
        <v/>
      </c>
      <c r="AB88" s="25" t="str">
        <f aca="false">IF(入力シート!$A92="","",入力シート!P92)</f>
        <v/>
      </c>
      <c r="AC88" s="25" t="str">
        <f aca="false">IF(入力シート!$A92="","",入力シート!U92)</f>
        <v/>
      </c>
      <c r="AD88" s="25" t="str">
        <f aca="false">IF(入力シート!$A92="","",0)</f>
        <v/>
      </c>
      <c r="AE88" s="25" t="str">
        <f aca="false">IF(入力シート!$A92="","",入力シート!I92)</f>
        <v/>
      </c>
      <c r="AF88" s="25" t="str">
        <f aca="false">IF(入力シート!$A92="","",入力シート!M92)</f>
        <v/>
      </c>
      <c r="AG88" s="25" t="str">
        <f aca="false">IF(入力シート!$A92="","",入力シート!N92)</f>
        <v/>
      </c>
      <c r="AH88" s="25" t="str">
        <f aca="false">IF(入力シート!$A92="","","")</f>
        <v/>
      </c>
      <c r="AI88" s="25" t="str">
        <f aca="false">IF(入力シート!$A92="","","")</f>
        <v/>
      </c>
      <c r="AJ88" s="25" t="str">
        <f aca="false">IF(入力シート!$A92="","","")</f>
        <v/>
      </c>
      <c r="AK88" s="25" t="str">
        <f aca="false">IF(入力シート!$A92="","",2)</f>
        <v/>
      </c>
      <c r="AL88" s="25" t="str">
        <f aca="false">IF(入力シート!$A92="","","")</f>
        <v/>
      </c>
      <c r="AM88" s="25" t="str">
        <f aca="false">IF(入力シート!$A92="","","")</f>
        <v/>
      </c>
      <c r="AN88" s="25" t="str">
        <f aca="false">IF(入力シート!$A92="","",入力シート!C92)</f>
        <v/>
      </c>
      <c r="AO88" s="25" t="str">
        <f aca="false">IF(入力シート!$A92="","","")</f>
        <v/>
      </c>
      <c r="AP88" s="25" t="str">
        <f aca="false">IF(入力シート!$A92="","","")</f>
        <v/>
      </c>
      <c r="AQ88" s="25" t="str">
        <f aca="false">IF(入力シート!$A92="","","")</f>
        <v/>
      </c>
    </row>
    <row r="89" customFormat="false" ht="15" hidden="false" customHeight="true" outlineLevel="0" collapsed="false">
      <c r="A89" s="25" t="str">
        <f aca="false">IF(入力シート!$A93="","",1)</f>
        <v/>
      </c>
      <c r="B89" s="25" t="str">
        <f aca="false">IF(入力シート!$A93="","",1)</f>
        <v/>
      </c>
      <c r="C89" s="25" t="str">
        <f aca="false">IF(入力シート!$A93="","",0)</f>
        <v/>
      </c>
      <c r="D89" s="25" t="str">
        <f aca="false">IF(入力シート!$A93="","",TEXT(入力シート!A93,"YYYYMMDD"))</f>
        <v/>
      </c>
      <c r="E89" s="25" t="str">
        <f aca="false">IF(入力シート!$A93="","",TEXT(入力シート!Q93,"00000000"))</f>
        <v/>
      </c>
      <c r="F89" s="25" t="str">
        <f aca="false">IF(入力シート!$A93="","",14)</f>
        <v/>
      </c>
      <c r="G89" s="25" t="str">
        <f aca="false">IF(入力シート!$A93="","",1)</f>
        <v/>
      </c>
      <c r="H89" s="25" t="str">
        <f aca="false">IF(入力シート!$A93="","",1)</f>
        <v/>
      </c>
      <c r="I89" s="25" t="str">
        <f aca="false">IF(入力シート!$A93="","",3)</f>
        <v/>
      </c>
      <c r="J89" s="25" t="str">
        <f aca="false">IF(入力シート!$A93="","",1)</f>
        <v/>
      </c>
      <c r="K89" s="25" t="str">
        <f aca="false">IF(入力シート!$A93="","",入力シート!B93)</f>
        <v/>
      </c>
      <c r="L89" s="25" t="str">
        <f aca="false">IF(入力シート!$A93="","","")</f>
        <v/>
      </c>
      <c r="M89" s="25" t="str">
        <f aca="false">IF(入力シート!$A93="","","")</f>
        <v/>
      </c>
      <c r="N89" s="25" t="str">
        <f aca="false">IF(入力シート!$A93="","",入力シート!R93)</f>
        <v/>
      </c>
      <c r="O89" s="25" t="str">
        <f aca="false">IF(入力シート!$A93="","",IF(入力シート!G93="",1,入力シート!G93))</f>
        <v/>
      </c>
      <c r="P89" s="25" t="str">
        <f aca="false">IF(入力シート!$A93="","",入力シート!D93)</f>
        <v/>
      </c>
      <c r="Q89" s="25" t="str">
        <f aca="false">IF(入力シート!$A93="","","")</f>
        <v/>
      </c>
      <c r="R89" s="25" t="str">
        <f aca="false">IF(入力シート!$A93="","",入力シート!J93)</f>
        <v/>
      </c>
      <c r="S89" s="25" t="str">
        <f aca="false">IF(入力シート!$A93="","",入力シート!L93)</f>
        <v/>
      </c>
      <c r="T89" s="25" t="str">
        <f aca="false">IF(入力シート!$A93="","",入力シート!K93)</f>
        <v/>
      </c>
      <c r="U89" s="25" t="str">
        <f aca="false">IF(入力シート!$A93="","",0)</f>
        <v/>
      </c>
      <c r="V89" s="25" t="str">
        <f aca="false">IF(入力シート!$A93="","",0)</f>
        <v/>
      </c>
      <c r="W89" s="25" t="str">
        <f aca="false">IF(入力シート!$A93="","","0000")</f>
        <v/>
      </c>
      <c r="X89" s="25" t="str">
        <f aca="false">IF(入力シート!$A93="","",入力シート!E93)</f>
        <v/>
      </c>
      <c r="Y89" s="25" t="str">
        <f aca="false">IF(入力シート!$A93="","",入力シート!F93)</f>
        <v/>
      </c>
      <c r="Z89" s="25" t="str">
        <f aca="false">IF(入力シート!$A93="","",入力シート!O93)</f>
        <v/>
      </c>
      <c r="AA89" s="25" t="str">
        <f aca="false">IF(入力シート!$A93="","","")</f>
        <v/>
      </c>
      <c r="AB89" s="25" t="str">
        <f aca="false">IF(入力シート!$A93="","",入力シート!P93)</f>
        <v/>
      </c>
      <c r="AC89" s="25" t="str">
        <f aca="false">IF(入力シート!$A93="","",入力シート!U93)</f>
        <v/>
      </c>
      <c r="AD89" s="25" t="str">
        <f aca="false">IF(入力シート!$A93="","",0)</f>
        <v/>
      </c>
      <c r="AE89" s="25" t="str">
        <f aca="false">IF(入力シート!$A93="","",入力シート!I93)</f>
        <v/>
      </c>
      <c r="AF89" s="25" t="str">
        <f aca="false">IF(入力シート!$A93="","",入力シート!M93)</f>
        <v/>
      </c>
      <c r="AG89" s="25" t="str">
        <f aca="false">IF(入力シート!$A93="","",入力シート!N93)</f>
        <v/>
      </c>
      <c r="AH89" s="25" t="str">
        <f aca="false">IF(入力シート!$A93="","","")</f>
        <v/>
      </c>
      <c r="AI89" s="25" t="str">
        <f aca="false">IF(入力シート!$A93="","","")</f>
        <v/>
      </c>
      <c r="AJ89" s="25" t="str">
        <f aca="false">IF(入力シート!$A93="","","")</f>
        <v/>
      </c>
      <c r="AK89" s="25" t="str">
        <f aca="false">IF(入力シート!$A93="","",2)</f>
        <v/>
      </c>
      <c r="AL89" s="25" t="str">
        <f aca="false">IF(入力シート!$A93="","","")</f>
        <v/>
      </c>
      <c r="AM89" s="25" t="str">
        <f aca="false">IF(入力シート!$A93="","","")</f>
        <v/>
      </c>
      <c r="AN89" s="25" t="str">
        <f aca="false">IF(入力シート!$A93="","",入力シート!C93)</f>
        <v/>
      </c>
      <c r="AO89" s="25" t="str">
        <f aca="false">IF(入力シート!$A93="","","")</f>
        <v/>
      </c>
      <c r="AP89" s="25" t="str">
        <f aca="false">IF(入力シート!$A93="","","")</f>
        <v/>
      </c>
      <c r="AQ89" s="25" t="str">
        <f aca="false">IF(入力シート!$A93="","","")</f>
        <v/>
      </c>
    </row>
    <row r="90" customFormat="false" ht="15" hidden="false" customHeight="true" outlineLevel="0" collapsed="false">
      <c r="A90" s="25" t="str">
        <f aca="false">IF(入力シート!$A94="","",1)</f>
        <v/>
      </c>
      <c r="B90" s="25" t="str">
        <f aca="false">IF(入力シート!$A94="","",1)</f>
        <v/>
      </c>
      <c r="C90" s="25" t="str">
        <f aca="false">IF(入力シート!$A94="","",0)</f>
        <v/>
      </c>
      <c r="D90" s="25" t="str">
        <f aca="false">IF(入力シート!$A94="","",TEXT(入力シート!A94,"YYYYMMDD"))</f>
        <v/>
      </c>
      <c r="E90" s="25" t="str">
        <f aca="false">IF(入力シート!$A94="","",TEXT(入力シート!Q94,"00000000"))</f>
        <v/>
      </c>
      <c r="F90" s="25" t="str">
        <f aca="false">IF(入力シート!$A94="","",14)</f>
        <v/>
      </c>
      <c r="G90" s="25" t="str">
        <f aca="false">IF(入力シート!$A94="","",1)</f>
        <v/>
      </c>
      <c r="H90" s="25" t="str">
        <f aca="false">IF(入力シート!$A94="","",1)</f>
        <v/>
      </c>
      <c r="I90" s="25" t="str">
        <f aca="false">IF(入力シート!$A94="","",3)</f>
        <v/>
      </c>
      <c r="J90" s="25" t="str">
        <f aca="false">IF(入力シート!$A94="","",1)</f>
        <v/>
      </c>
      <c r="K90" s="25" t="str">
        <f aca="false">IF(入力シート!$A94="","",入力シート!B94)</f>
        <v/>
      </c>
      <c r="L90" s="25" t="str">
        <f aca="false">IF(入力シート!$A94="","","")</f>
        <v/>
      </c>
      <c r="M90" s="25" t="str">
        <f aca="false">IF(入力シート!$A94="","","")</f>
        <v/>
      </c>
      <c r="N90" s="25" t="str">
        <f aca="false">IF(入力シート!$A94="","",入力シート!R94)</f>
        <v/>
      </c>
      <c r="O90" s="25" t="str">
        <f aca="false">IF(入力シート!$A94="","",IF(入力シート!G94="",1,入力シート!G94))</f>
        <v/>
      </c>
      <c r="P90" s="25" t="str">
        <f aca="false">IF(入力シート!$A94="","",入力シート!D94)</f>
        <v/>
      </c>
      <c r="Q90" s="25" t="str">
        <f aca="false">IF(入力シート!$A94="","","")</f>
        <v/>
      </c>
      <c r="R90" s="25" t="str">
        <f aca="false">IF(入力シート!$A94="","",入力シート!J94)</f>
        <v/>
      </c>
      <c r="S90" s="25" t="str">
        <f aca="false">IF(入力シート!$A94="","",入力シート!L94)</f>
        <v/>
      </c>
      <c r="T90" s="25" t="str">
        <f aca="false">IF(入力シート!$A94="","",入力シート!K94)</f>
        <v/>
      </c>
      <c r="U90" s="25" t="str">
        <f aca="false">IF(入力シート!$A94="","",0)</f>
        <v/>
      </c>
      <c r="V90" s="25" t="str">
        <f aca="false">IF(入力シート!$A94="","",0)</f>
        <v/>
      </c>
      <c r="W90" s="25" t="str">
        <f aca="false">IF(入力シート!$A94="","","0000")</f>
        <v/>
      </c>
      <c r="X90" s="25" t="str">
        <f aca="false">IF(入力シート!$A94="","",入力シート!E94)</f>
        <v/>
      </c>
      <c r="Y90" s="25" t="str">
        <f aca="false">IF(入力シート!$A94="","",入力シート!F94)</f>
        <v/>
      </c>
      <c r="Z90" s="25" t="str">
        <f aca="false">IF(入力シート!$A94="","",入力シート!O94)</f>
        <v/>
      </c>
      <c r="AA90" s="25" t="str">
        <f aca="false">IF(入力シート!$A94="","","")</f>
        <v/>
      </c>
      <c r="AB90" s="25" t="str">
        <f aca="false">IF(入力シート!$A94="","",入力シート!P94)</f>
        <v/>
      </c>
      <c r="AC90" s="25" t="str">
        <f aca="false">IF(入力シート!$A94="","",入力シート!U94)</f>
        <v/>
      </c>
      <c r="AD90" s="25" t="str">
        <f aca="false">IF(入力シート!$A94="","",0)</f>
        <v/>
      </c>
      <c r="AE90" s="25" t="str">
        <f aca="false">IF(入力シート!$A94="","",入力シート!I94)</f>
        <v/>
      </c>
      <c r="AF90" s="25" t="str">
        <f aca="false">IF(入力シート!$A94="","",入力シート!M94)</f>
        <v/>
      </c>
      <c r="AG90" s="25" t="str">
        <f aca="false">IF(入力シート!$A94="","",入力シート!N94)</f>
        <v/>
      </c>
      <c r="AH90" s="25" t="str">
        <f aca="false">IF(入力シート!$A94="","","")</f>
        <v/>
      </c>
      <c r="AI90" s="25" t="str">
        <f aca="false">IF(入力シート!$A94="","","")</f>
        <v/>
      </c>
      <c r="AJ90" s="25" t="str">
        <f aca="false">IF(入力シート!$A94="","","")</f>
        <v/>
      </c>
      <c r="AK90" s="25" t="str">
        <f aca="false">IF(入力シート!$A94="","",2)</f>
        <v/>
      </c>
      <c r="AL90" s="25" t="str">
        <f aca="false">IF(入力シート!$A94="","","")</f>
        <v/>
      </c>
      <c r="AM90" s="25" t="str">
        <f aca="false">IF(入力シート!$A94="","","")</f>
        <v/>
      </c>
      <c r="AN90" s="25" t="str">
        <f aca="false">IF(入力シート!$A94="","",入力シート!C94)</f>
        <v/>
      </c>
      <c r="AO90" s="25" t="str">
        <f aca="false">IF(入力シート!$A94="","","")</f>
        <v/>
      </c>
      <c r="AP90" s="25" t="str">
        <f aca="false">IF(入力シート!$A94="","","")</f>
        <v/>
      </c>
      <c r="AQ90" s="25" t="str">
        <f aca="false">IF(入力シート!$A94="","","")</f>
        <v/>
      </c>
    </row>
    <row r="91" customFormat="false" ht="15" hidden="false" customHeight="true" outlineLevel="0" collapsed="false">
      <c r="A91" s="25" t="str">
        <f aca="false">IF(入力シート!$A95="","",1)</f>
        <v/>
      </c>
      <c r="B91" s="25" t="str">
        <f aca="false">IF(入力シート!$A95="","",1)</f>
        <v/>
      </c>
      <c r="C91" s="25" t="str">
        <f aca="false">IF(入力シート!$A95="","",0)</f>
        <v/>
      </c>
      <c r="D91" s="25" t="str">
        <f aca="false">IF(入力シート!$A95="","",TEXT(入力シート!A95,"YYYYMMDD"))</f>
        <v/>
      </c>
      <c r="E91" s="25" t="str">
        <f aca="false">IF(入力シート!$A95="","",TEXT(入力シート!Q95,"00000000"))</f>
        <v/>
      </c>
      <c r="F91" s="25" t="str">
        <f aca="false">IF(入力シート!$A95="","",14)</f>
        <v/>
      </c>
      <c r="G91" s="25" t="str">
        <f aca="false">IF(入力シート!$A95="","",1)</f>
        <v/>
      </c>
      <c r="H91" s="25" t="str">
        <f aca="false">IF(入力シート!$A95="","",1)</f>
        <v/>
      </c>
      <c r="I91" s="25" t="str">
        <f aca="false">IF(入力シート!$A95="","",3)</f>
        <v/>
      </c>
      <c r="J91" s="25" t="str">
        <f aca="false">IF(入力シート!$A95="","",1)</f>
        <v/>
      </c>
      <c r="K91" s="25" t="str">
        <f aca="false">IF(入力シート!$A95="","",入力シート!B95)</f>
        <v/>
      </c>
      <c r="L91" s="25" t="str">
        <f aca="false">IF(入力シート!$A95="","","")</f>
        <v/>
      </c>
      <c r="M91" s="25" t="str">
        <f aca="false">IF(入力シート!$A95="","","")</f>
        <v/>
      </c>
      <c r="N91" s="25" t="str">
        <f aca="false">IF(入力シート!$A95="","",入力シート!R95)</f>
        <v/>
      </c>
      <c r="O91" s="25" t="str">
        <f aca="false">IF(入力シート!$A95="","",IF(入力シート!G95="",1,入力シート!G95))</f>
        <v/>
      </c>
      <c r="P91" s="25" t="str">
        <f aca="false">IF(入力シート!$A95="","",入力シート!D95)</f>
        <v/>
      </c>
      <c r="Q91" s="25" t="str">
        <f aca="false">IF(入力シート!$A95="","","")</f>
        <v/>
      </c>
      <c r="R91" s="25" t="str">
        <f aca="false">IF(入力シート!$A95="","",入力シート!J95)</f>
        <v/>
      </c>
      <c r="S91" s="25" t="str">
        <f aca="false">IF(入力シート!$A95="","",入力シート!L95)</f>
        <v/>
      </c>
      <c r="T91" s="25" t="str">
        <f aca="false">IF(入力シート!$A95="","",入力シート!K95)</f>
        <v/>
      </c>
      <c r="U91" s="25" t="str">
        <f aca="false">IF(入力シート!$A95="","",0)</f>
        <v/>
      </c>
      <c r="V91" s="25" t="str">
        <f aca="false">IF(入力シート!$A95="","",0)</f>
        <v/>
      </c>
      <c r="W91" s="25" t="str">
        <f aca="false">IF(入力シート!$A95="","","0000")</f>
        <v/>
      </c>
      <c r="X91" s="25" t="str">
        <f aca="false">IF(入力シート!$A95="","",入力シート!E95)</f>
        <v/>
      </c>
      <c r="Y91" s="25" t="str">
        <f aca="false">IF(入力シート!$A95="","",入力シート!F95)</f>
        <v/>
      </c>
      <c r="Z91" s="25" t="str">
        <f aca="false">IF(入力シート!$A95="","",入力シート!O95)</f>
        <v/>
      </c>
      <c r="AA91" s="25" t="str">
        <f aca="false">IF(入力シート!$A95="","","")</f>
        <v/>
      </c>
      <c r="AB91" s="25" t="str">
        <f aca="false">IF(入力シート!$A95="","",入力シート!P95)</f>
        <v/>
      </c>
      <c r="AC91" s="25" t="str">
        <f aca="false">IF(入力シート!$A95="","",入力シート!U95)</f>
        <v/>
      </c>
      <c r="AD91" s="25" t="str">
        <f aca="false">IF(入力シート!$A95="","",0)</f>
        <v/>
      </c>
      <c r="AE91" s="25" t="str">
        <f aca="false">IF(入力シート!$A95="","",入力シート!I95)</f>
        <v/>
      </c>
      <c r="AF91" s="25" t="str">
        <f aca="false">IF(入力シート!$A95="","",入力シート!M95)</f>
        <v/>
      </c>
      <c r="AG91" s="25" t="str">
        <f aca="false">IF(入力シート!$A95="","",入力シート!N95)</f>
        <v/>
      </c>
      <c r="AH91" s="25" t="str">
        <f aca="false">IF(入力シート!$A95="","","")</f>
        <v/>
      </c>
      <c r="AI91" s="25" t="str">
        <f aca="false">IF(入力シート!$A95="","","")</f>
        <v/>
      </c>
      <c r="AJ91" s="25" t="str">
        <f aca="false">IF(入力シート!$A95="","","")</f>
        <v/>
      </c>
      <c r="AK91" s="25" t="str">
        <f aca="false">IF(入力シート!$A95="","",2)</f>
        <v/>
      </c>
      <c r="AL91" s="25" t="str">
        <f aca="false">IF(入力シート!$A95="","","")</f>
        <v/>
      </c>
      <c r="AM91" s="25" t="str">
        <f aca="false">IF(入力シート!$A95="","","")</f>
        <v/>
      </c>
      <c r="AN91" s="25" t="str">
        <f aca="false">IF(入力シート!$A95="","",入力シート!C95)</f>
        <v/>
      </c>
      <c r="AO91" s="25" t="str">
        <f aca="false">IF(入力シート!$A95="","","")</f>
        <v/>
      </c>
      <c r="AP91" s="25" t="str">
        <f aca="false">IF(入力シート!$A95="","","")</f>
        <v/>
      </c>
      <c r="AQ91" s="25" t="str">
        <f aca="false">IF(入力シート!$A95="","","")</f>
        <v/>
      </c>
    </row>
    <row r="92" customFormat="false" ht="15" hidden="false" customHeight="true" outlineLevel="0" collapsed="false">
      <c r="A92" s="25" t="str">
        <f aca="false">IF(入力シート!$A96="","",1)</f>
        <v/>
      </c>
      <c r="B92" s="25" t="str">
        <f aca="false">IF(入力シート!$A96="","",1)</f>
        <v/>
      </c>
      <c r="C92" s="25" t="str">
        <f aca="false">IF(入力シート!$A96="","",0)</f>
        <v/>
      </c>
      <c r="D92" s="25" t="str">
        <f aca="false">IF(入力シート!$A96="","",TEXT(入力シート!A96,"YYYYMMDD"))</f>
        <v/>
      </c>
      <c r="E92" s="25" t="str">
        <f aca="false">IF(入力シート!$A96="","",TEXT(入力シート!Q96,"00000000"))</f>
        <v/>
      </c>
      <c r="F92" s="25" t="str">
        <f aca="false">IF(入力シート!$A96="","",14)</f>
        <v/>
      </c>
      <c r="G92" s="25" t="str">
        <f aca="false">IF(入力シート!$A96="","",1)</f>
        <v/>
      </c>
      <c r="H92" s="25" t="str">
        <f aca="false">IF(入力シート!$A96="","",1)</f>
        <v/>
      </c>
      <c r="I92" s="25" t="str">
        <f aca="false">IF(入力シート!$A96="","",3)</f>
        <v/>
      </c>
      <c r="J92" s="25" t="str">
        <f aca="false">IF(入力シート!$A96="","",1)</f>
        <v/>
      </c>
      <c r="K92" s="25" t="str">
        <f aca="false">IF(入力シート!$A96="","",入力シート!B96)</f>
        <v/>
      </c>
      <c r="L92" s="25" t="str">
        <f aca="false">IF(入力シート!$A96="","","")</f>
        <v/>
      </c>
      <c r="M92" s="25" t="str">
        <f aca="false">IF(入力シート!$A96="","","")</f>
        <v/>
      </c>
      <c r="N92" s="25" t="str">
        <f aca="false">IF(入力シート!$A96="","",入力シート!R96)</f>
        <v/>
      </c>
      <c r="O92" s="25" t="str">
        <f aca="false">IF(入力シート!$A96="","",IF(入力シート!G96="",1,入力シート!G96))</f>
        <v/>
      </c>
      <c r="P92" s="25" t="str">
        <f aca="false">IF(入力シート!$A96="","",入力シート!D96)</f>
        <v/>
      </c>
      <c r="Q92" s="25" t="str">
        <f aca="false">IF(入力シート!$A96="","","")</f>
        <v/>
      </c>
      <c r="R92" s="25" t="str">
        <f aca="false">IF(入力シート!$A96="","",入力シート!J96)</f>
        <v/>
      </c>
      <c r="S92" s="25" t="str">
        <f aca="false">IF(入力シート!$A96="","",入力シート!L96)</f>
        <v/>
      </c>
      <c r="T92" s="25" t="str">
        <f aca="false">IF(入力シート!$A96="","",入力シート!K96)</f>
        <v/>
      </c>
      <c r="U92" s="25" t="str">
        <f aca="false">IF(入力シート!$A96="","",0)</f>
        <v/>
      </c>
      <c r="V92" s="25" t="str">
        <f aca="false">IF(入力シート!$A96="","",0)</f>
        <v/>
      </c>
      <c r="W92" s="25" t="str">
        <f aca="false">IF(入力シート!$A96="","","0000")</f>
        <v/>
      </c>
      <c r="X92" s="25" t="str">
        <f aca="false">IF(入力シート!$A96="","",入力シート!E96)</f>
        <v/>
      </c>
      <c r="Y92" s="25" t="str">
        <f aca="false">IF(入力シート!$A96="","",入力シート!F96)</f>
        <v/>
      </c>
      <c r="Z92" s="25" t="str">
        <f aca="false">IF(入力シート!$A96="","",入力シート!O96)</f>
        <v/>
      </c>
      <c r="AA92" s="25" t="str">
        <f aca="false">IF(入力シート!$A96="","","")</f>
        <v/>
      </c>
      <c r="AB92" s="25" t="str">
        <f aca="false">IF(入力シート!$A96="","",入力シート!P96)</f>
        <v/>
      </c>
      <c r="AC92" s="25" t="str">
        <f aca="false">IF(入力シート!$A96="","",入力シート!U96)</f>
        <v/>
      </c>
      <c r="AD92" s="25" t="str">
        <f aca="false">IF(入力シート!$A96="","",0)</f>
        <v/>
      </c>
      <c r="AE92" s="25" t="str">
        <f aca="false">IF(入力シート!$A96="","",入力シート!I96)</f>
        <v/>
      </c>
      <c r="AF92" s="25" t="str">
        <f aca="false">IF(入力シート!$A96="","",入力シート!M96)</f>
        <v/>
      </c>
      <c r="AG92" s="25" t="str">
        <f aca="false">IF(入力シート!$A96="","",入力シート!N96)</f>
        <v/>
      </c>
      <c r="AH92" s="25" t="str">
        <f aca="false">IF(入力シート!$A96="","","")</f>
        <v/>
      </c>
      <c r="AI92" s="25" t="str">
        <f aca="false">IF(入力シート!$A96="","","")</f>
        <v/>
      </c>
      <c r="AJ92" s="25" t="str">
        <f aca="false">IF(入力シート!$A96="","","")</f>
        <v/>
      </c>
      <c r="AK92" s="25" t="str">
        <f aca="false">IF(入力シート!$A96="","",2)</f>
        <v/>
      </c>
      <c r="AL92" s="25" t="str">
        <f aca="false">IF(入力シート!$A96="","","")</f>
        <v/>
      </c>
      <c r="AM92" s="25" t="str">
        <f aca="false">IF(入力シート!$A96="","","")</f>
        <v/>
      </c>
      <c r="AN92" s="25" t="str">
        <f aca="false">IF(入力シート!$A96="","",入力シート!C96)</f>
        <v/>
      </c>
      <c r="AO92" s="25" t="str">
        <f aca="false">IF(入力シート!$A96="","","")</f>
        <v/>
      </c>
      <c r="AP92" s="25" t="str">
        <f aca="false">IF(入力シート!$A96="","","")</f>
        <v/>
      </c>
      <c r="AQ92" s="25" t="str">
        <f aca="false">IF(入力シート!$A96="","","")</f>
        <v/>
      </c>
    </row>
    <row r="93" customFormat="false" ht="15" hidden="false" customHeight="true" outlineLevel="0" collapsed="false">
      <c r="A93" s="25" t="str">
        <f aca="false">IF(入力シート!$A97="","",1)</f>
        <v/>
      </c>
      <c r="B93" s="25" t="str">
        <f aca="false">IF(入力シート!$A97="","",1)</f>
        <v/>
      </c>
      <c r="C93" s="25" t="str">
        <f aca="false">IF(入力シート!$A97="","",0)</f>
        <v/>
      </c>
      <c r="D93" s="25" t="str">
        <f aca="false">IF(入力シート!$A97="","",TEXT(入力シート!A97,"YYYYMMDD"))</f>
        <v/>
      </c>
      <c r="E93" s="25" t="str">
        <f aca="false">IF(入力シート!$A97="","",TEXT(入力シート!Q97,"00000000"))</f>
        <v/>
      </c>
      <c r="F93" s="25" t="str">
        <f aca="false">IF(入力シート!$A97="","",14)</f>
        <v/>
      </c>
      <c r="G93" s="25" t="str">
        <f aca="false">IF(入力シート!$A97="","",1)</f>
        <v/>
      </c>
      <c r="H93" s="25" t="str">
        <f aca="false">IF(入力シート!$A97="","",1)</f>
        <v/>
      </c>
      <c r="I93" s="25" t="str">
        <f aca="false">IF(入力シート!$A97="","",3)</f>
        <v/>
      </c>
      <c r="J93" s="25" t="str">
        <f aca="false">IF(入力シート!$A97="","",1)</f>
        <v/>
      </c>
      <c r="K93" s="25" t="str">
        <f aca="false">IF(入力シート!$A97="","",入力シート!B97)</f>
        <v/>
      </c>
      <c r="L93" s="25" t="str">
        <f aca="false">IF(入力シート!$A97="","","")</f>
        <v/>
      </c>
      <c r="M93" s="25" t="str">
        <f aca="false">IF(入力シート!$A97="","","")</f>
        <v/>
      </c>
      <c r="N93" s="25" t="str">
        <f aca="false">IF(入力シート!$A97="","",入力シート!R97)</f>
        <v/>
      </c>
      <c r="O93" s="25" t="str">
        <f aca="false">IF(入力シート!$A97="","",IF(入力シート!G97="",1,入力シート!G97))</f>
        <v/>
      </c>
      <c r="P93" s="25" t="str">
        <f aca="false">IF(入力シート!$A97="","",入力シート!D97)</f>
        <v/>
      </c>
      <c r="Q93" s="25" t="str">
        <f aca="false">IF(入力シート!$A97="","","")</f>
        <v/>
      </c>
      <c r="R93" s="25" t="str">
        <f aca="false">IF(入力シート!$A97="","",入力シート!J97)</f>
        <v/>
      </c>
      <c r="S93" s="25" t="str">
        <f aca="false">IF(入力シート!$A97="","",入力シート!L97)</f>
        <v/>
      </c>
      <c r="T93" s="25" t="str">
        <f aca="false">IF(入力シート!$A97="","",入力シート!K97)</f>
        <v/>
      </c>
      <c r="U93" s="25" t="str">
        <f aca="false">IF(入力シート!$A97="","",0)</f>
        <v/>
      </c>
      <c r="V93" s="25" t="str">
        <f aca="false">IF(入力シート!$A97="","",0)</f>
        <v/>
      </c>
      <c r="W93" s="25" t="str">
        <f aca="false">IF(入力シート!$A97="","","0000")</f>
        <v/>
      </c>
      <c r="X93" s="25" t="str">
        <f aca="false">IF(入力シート!$A97="","",入力シート!E97)</f>
        <v/>
      </c>
      <c r="Y93" s="25" t="str">
        <f aca="false">IF(入力シート!$A97="","",入力シート!F97)</f>
        <v/>
      </c>
      <c r="Z93" s="25" t="str">
        <f aca="false">IF(入力シート!$A97="","",入力シート!O97)</f>
        <v/>
      </c>
      <c r="AA93" s="25" t="str">
        <f aca="false">IF(入力シート!$A97="","","")</f>
        <v/>
      </c>
      <c r="AB93" s="25" t="str">
        <f aca="false">IF(入力シート!$A97="","",入力シート!P97)</f>
        <v/>
      </c>
      <c r="AC93" s="25" t="str">
        <f aca="false">IF(入力シート!$A97="","",入力シート!U97)</f>
        <v/>
      </c>
      <c r="AD93" s="25" t="str">
        <f aca="false">IF(入力シート!$A97="","",0)</f>
        <v/>
      </c>
      <c r="AE93" s="25" t="str">
        <f aca="false">IF(入力シート!$A97="","",入力シート!I97)</f>
        <v/>
      </c>
      <c r="AF93" s="25" t="str">
        <f aca="false">IF(入力シート!$A97="","",入力シート!M97)</f>
        <v/>
      </c>
      <c r="AG93" s="25" t="str">
        <f aca="false">IF(入力シート!$A97="","",入力シート!N97)</f>
        <v/>
      </c>
      <c r="AH93" s="25" t="str">
        <f aca="false">IF(入力シート!$A97="","","")</f>
        <v/>
      </c>
      <c r="AI93" s="25" t="str">
        <f aca="false">IF(入力シート!$A97="","","")</f>
        <v/>
      </c>
      <c r="AJ93" s="25" t="str">
        <f aca="false">IF(入力シート!$A97="","","")</f>
        <v/>
      </c>
      <c r="AK93" s="25" t="str">
        <f aca="false">IF(入力シート!$A97="","",2)</f>
        <v/>
      </c>
      <c r="AL93" s="25" t="str">
        <f aca="false">IF(入力シート!$A97="","","")</f>
        <v/>
      </c>
      <c r="AM93" s="25" t="str">
        <f aca="false">IF(入力シート!$A97="","","")</f>
        <v/>
      </c>
      <c r="AN93" s="25" t="str">
        <f aca="false">IF(入力シート!$A97="","",入力シート!C97)</f>
        <v/>
      </c>
      <c r="AO93" s="25" t="str">
        <f aca="false">IF(入力シート!$A97="","","")</f>
        <v/>
      </c>
      <c r="AP93" s="25" t="str">
        <f aca="false">IF(入力シート!$A97="","","")</f>
        <v/>
      </c>
      <c r="AQ93" s="25" t="str">
        <f aca="false">IF(入力シート!$A97="","","")</f>
        <v/>
      </c>
    </row>
    <row r="94" customFormat="false" ht="15" hidden="false" customHeight="true" outlineLevel="0" collapsed="false">
      <c r="A94" s="25" t="str">
        <f aca="false">IF(入力シート!$A98="","",1)</f>
        <v/>
      </c>
      <c r="B94" s="25" t="str">
        <f aca="false">IF(入力シート!$A98="","",1)</f>
        <v/>
      </c>
      <c r="C94" s="25" t="str">
        <f aca="false">IF(入力シート!$A98="","",0)</f>
        <v/>
      </c>
      <c r="D94" s="25" t="str">
        <f aca="false">IF(入力シート!$A98="","",TEXT(入力シート!A98,"YYYYMMDD"))</f>
        <v/>
      </c>
      <c r="E94" s="25" t="str">
        <f aca="false">IF(入力シート!$A98="","",TEXT(入力シート!Q98,"00000000"))</f>
        <v/>
      </c>
      <c r="F94" s="25" t="str">
        <f aca="false">IF(入力シート!$A98="","",14)</f>
        <v/>
      </c>
      <c r="G94" s="25" t="str">
        <f aca="false">IF(入力シート!$A98="","",1)</f>
        <v/>
      </c>
      <c r="H94" s="25" t="str">
        <f aca="false">IF(入力シート!$A98="","",1)</f>
        <v/>
      </c>
      <c r="I94" s="25" t="str">
        <f aca="false">IF(入力シート!$A98="","",3)</f>
        <v/>
      </c>
      <c r="J94" s="25" t="str">
        <f aca="false">IF(入力シート!$A98="","",1)</f>
        <v/>
      </c>
      <c r="K94" s="25" t="str">
        <f aca="false">IF(入力シート!$A98="","",入力シート!B98)</f>
        <v/>
      </c>
      <c r="L94" s="25" t="str">
        <f aca="false">IF(入力シート!$A98="","","")</f>
        <v/>
      </c>
      <c r="M94" s="25" t="str">
        <f aca="false">IF(入力シート!$A98="","","")</f>
        <v/>
      </c>
      <c r="N94" s="25" t="str">
        <f aca="false">IF(入力シート!$A98="","",入力シート!R98)</f>
        <v/>
      </c>
      <c r="O94" s="25" t="str">
        <f aca="false">IF(入力シート!$A98="","",IF(入力シート!G98="",1,入力シート!G98))</f>
        <v/>
      </c>
      <c r="P94" s="25" t="str">
        <f aca="false">IF(入力シート!$A98="","",入力シート!D98)</f>
        <v/>
      </c>
      <c r="Q94" s="25" t="str">
        <f aca="false">IF(入力シート!$A98="","","")</f>
        <v/>
      </c>
      <c r="R94" s="25" t="str">
        <f aca="false">IF(入力シート!$A98="","",入力シート!J98)</f>
        <v/>
      </c>
      <c r="S94" s="25" t="str">
        <f aca="false">IF(入力シート!$A98="","",入力シート!L98)</f>
        <v/>
      </c>
      <c r="T94" s="25" t="str">
        <f aca="false">IF(入力シート!$A98="","",入力シート!K98)</f>
        <v/>
      </c>
      <c r="U94" s="25" t="str">
        <f aca="false">IF(入力シート!$A98="","",0)</f>
        <v/>
      </c>
      <c r="V94" s="25" t="str">
        <f aca="false">IF(入力シート!$A98="","",0)</f>
        <v/>
      </c>
      <c r="W94" s="25" t="str">
        <f aca="false">IF(入力シート!$A98="","","0000")</f>
        <v/>
      </c>
      <c r="X94" s="25" t="str">
        <f aca="false">IF(入力シート!$A98="","",入力シート!E98)</f>
        <v/>
      </c>
      <c r="Y94" s="25" t="str">
        <f aca="false">IF(入力シート!$A98="","",入力シート!F98)</f>
        <v/>
      </c>
      <c r="Z94" s="25" t="str">
        <f aca="false">IF(入力シート!$A98="","",入力シート!O98)</f>
        <v/>
      </c>
      <c r="AA94" s="25" t="str">
        <f aca="false">IF(入力シート!$A98="","","")</f>
        <v/>
      </c>
      <c r="AB94" s="25" t="str">
        <f aca="false">IF(入力シート!$A98="","",入力シート!P98)</f>
        <v/>
      </c>
      <c r="AC94" s="25" t="str">
        <f aca="false">IF(入力シート!$A98="","",入力シート!U98)</f>
        <v/>
      </c>
      <c r="AD94" s="25" t="str">
        <f aca="false">IF(入力シート!$A98="","",0)</f>
        <v/>
      </c>
      <c r="AE94" s="25" t="str">
        <f aca="false">IF(入力シート!$A98="","",入力シート!I98)</f>
        <v/>
      </c>
      <c r="AF94" s="25" t="str">
        <f aca="false">IF(入力シート!$A98="","",入力シート!M98)</f>
        <v/>
      </c>
      <c r="AG94" s="25" t="str">
        <f aca="false">IF(入力シート!$A98="","",入力シート!N98)</f>
        <v/>
      </c>
      <c r="AH94" s="25" t="str">
        <f aca="false">IF(入力シート!$A98="","","")</f>
        <v/>
      </c>
      <c r="AI94" s="25" t="str">
        <f aca="false">IF(入力シート!$A98="","","")</f>
        <v/>
      </c>
      <c r="AJ94" s="25" t="str">
        <f aca="false">IF(入力シート!$A98="","","")</f>
        <v/>
      </c>
      <c r="AK94" s="25" t="str">
        <f aca="false">IF(入力シート!$A98="","",2)</f>
        <v/>
      </c>
      <c r="AL94" s="25" t="str">
        <f aca="false">IF(入力シート!$A98="","","")</f>
        <v/>
      </c>
      <c r="AM94" s="25" t="str">
        <f aca="false">IF(入力シート!$A98="","","")</f>
        <v/>
      </c>
      <c r="AN94" s="25" t="str">
        <f aca="false">IF(入力シート!$A98="","",入力シート!C98)</f>
        <v/>
      </c>
      <c r="AO94" s="25" t="str">
        <f aca="false">IF(入力シート!$A98="","","")</f>
        <v/>
      </c>
      <c r="AP94" s="25" t="str">
        <f aca="false">IF(入力シート!$A98="","","")</f>
        <v/>
      </c>
      <c r="AQ94" s="25" t="str">
        <f aca="false">IF(入力シート!$A98="","","")</f>
        <v/>
      </c>
    </row>
    <row r="95" customFormat="false" ht="15" hidden="false" customHeight="true" outlineLevel="0" collapsed="false">
      <c r="A95" s="25" t="str">
        <f aca="false">IF(入力シート!$A99="","",1)</f>
        <v/>
      </c>
      <c r="B95" s="25" t="str">
        <f aca="false">IF(入力シート!$A99="","",1)</f>
        <v/>
      </c>
      <c r="C95" s="25" t="str">
        <f aca="false">IF(入力シート!$A99="","",0)</f>
        <v/>
      </c>
      <c r="D95" s="25" t="str">
        <f aca="false">IF(入力シート!$A99="","",TEXT(入力シート!A99,"YYYYMMDD"))</f>
        <v/>
      </c>
      <c r="E95" s="25" t="str">
        <f aca="false">IF(入力シート!$A99="","",TEXT(入力シート!Q99,"00000000"))</f>
        <v/>
      </c>
      <c r="F95" s="25" t="str">
        <f aca="false">IF(入力シート!$A99="","",14)</f>
        <v/>
      </c>
      <c r="G95" s="25" t="str">
        <f aca="false">IF(入力シート!$A99="","",1)</f>
        <v/>
      </c>
      <c r="H95" s="25" t="str">
        <f aca="false">IF(入力シート!$A99="","",1)</f>
        <v/>
      </c>
      <c r="I95" s="25" t="str">
        <f aca="false">IF(入力シート!$A99="","",3)</f>
        <v/>
      </c>
      <c r="J95" s="25" t="str">
        <f aca="false">IF(入力シート!$A99="","",1)</f>
        <v/>
      </c>
      <c r="K95" s="25" t="str">
        <f aca="false">IF(入力シート!$A99="","",入力シート!B99)</f>
        <v/>
      </c>
      <c r="L95" s="25" t="str">
        <f aca="false">IF(入力シート!$A99="","","")</f>
        <v/>
      </c>
      <c r="M95" s="25" t="str">
        <f aca="false">IF(入力シート!$A99="","","")</f>
        <v/>
      </c>
      <c r="N95" s="25" t="str">
        <f aca="false">IF(入力シート!$A99="","",入力シート!R99)</f>
        <v/>
      </c>
      <c r="O95" s="25" t="str">
        <f aca="false">IF(入力シート!$A99="","",IF(入力シート!G99="",1,入力シート!G99))</f>
        <v/>
      </c>
      <c r="P95" s="25" t="str">
        <f aca="false">IF(入力シート!$A99="","",入力シート!D99)</f>
        <v/>
      </c>
      <c r="Q95" s="25" t="str">
        <f aca="false">IF(入力シート!$A99="","","")</f>
        <v/>
      </c>
      <c r="R95" s="25" t="str">
        <f aca="false">IF(入力シート!$A99="","",入力シート!J99)</f>
        <v/>
      </c>
      <c r="S95" s="25" t="str">
        <f aca="false">IF(入力シート!$A99="","",入力シート!L99)</f>
        <v/>
      </c>
      <c r="T95" s="25" t="str">
        <f aca="false">IF(入力シート!$A99="","",入力シート!K99)</f>
        <v/>
      </c>
      <c r="U95" s="25" t="str">
        <f aca="false">IF(入力シート!$A99="","",0)</f>
        <v/>
      </c>
      <c r="V95" s="25" t="str">
        <f aca="false">IF(入力シート!$A99="","",0)</f>
        <v/>
      </c>
      <c r="W95" s="25" t="str">
        <f aca="false">IF(入力シート!$A99="","","0000")</f>
        <v/>
      </c>
      <c r="X95" s="25" t="str">
        <f aca="false">IF(入力シート!$A99="","",入力シート!E99)</f>
        <v/>
      </c>
      <c r="Y95" s="25" t="str">
        <f aca="false">IF(入力シート!$A99="","",入力シート!F99)</f>
        <v/>
      </c>
      <c r="Z95" s="25" t="str">
        <f aca="false">IF(入力シート!$A99="","",入力シート!O99)</f>
        <v/>
      </c>
      <c r="AA95" s="25" t="str">
        <f aca="false">IF(入力シート!$A99="","","")</f>
        <v/>
      </c>
      <c r="AB95" s="25" t="str">
        <f aca="false">IF(入力シート!$A99="","",入力シート!P99)</f>
        <v/>
      </c>
      <c r="AC95" s="25" t="str">
        <f aca="false">IF(入力シート!$A99="","",入力シート!U99)</f>
        <v/>
      </c>
      <c r="AD95" s="25" t="str">
        <f aca="false">IF(入力シート!$A99="","",0)</f>
        <v/>
      </c>
      <c r="AE95" s="25" t="str">
        <f aca="false">IF(入力シート!$A99="","",入力シート!I99)</f>
        <v/>
      </c>
      <c r="AF95" s="25" t="str">
        <f aca="false">IF(入力シート!$A99="","",入力シート!M99)</f>
        <v/>
      </c>
      <c r="AG95" s="25" t="str">
        <f aca="false">IF(入力シート!$A99="","",入力シート!N99)</f>
        <v/>
      </c>
      <c r="AH95" s="25" t="str">
        <f aca="false">IF(入力シート!$A99="","","")</f>
        <v/>
      </c>
      <c r="AI95" s="25" t="str">
        <f aca="false">IF(入力シート!$A99="","","")</f>
        <v/>
      </c>
      <c r="AJ95" s="25" t="str">
        <f aca="false">IF(入力シート!$A99="","","")</f>
        <v/>
      </c>
      <c r="AK95" s="25" t="str">
        <f aca="false">IF(入力シート!$A99="","",2)</f>
        <v/>
      </c>
      <c r="AL95" s="25" t="str">
        <f aca="false">IF(入力シート!$A99="","","")</f>
        <v/>
      </c>
      <c r="AM95" s="25" t="str">
        <f aca="false">IF(入力シート!$A99="","","")</f>
        <v/>
      </c>
      <c r="AN95" s="25" t="str">
        <f aca="false">IF(入力シート!$A99="","",入力シート!C99)</f>
        <v/>
      </c>
      <c r="AO95" s="25" t="str">
        <f aca="false">IF(入力シート!$A99="","","")</f>
        <v/>
      </c>
      <c r="AP95" s="25" t="str">
        <f aca="false">IF(入力シート!$A99="","","")</f>
        <v/>
      </c>
      <c r="AQ95" s="25" t="str">
        <f aca="false">IF(入力シート!$A99="","","")</f>
        <v/>
      </c>
    </row>
    <row r="96" customFormat="false" ht="15" hidden="false" customHeight="true" outlineLevel="0" collapsed="false">
      <c r="A96" s="25" t="str">
        <f aca="false">IF(入力シート!$A100="","",1)</f>
        <v/>
      </c>
      <c r="B96" s="25" t="str">
        <f aca="false">IF(入力シート!$A100="","",1)</f>
        <v/>
      </c>
      <c r="C96" s="25" t="str">
        <f aca="false">IF(入力シート!$A100="","",0)</f>
        <v/>
      </c>
      <c r="D96" s="25" t="str">
        <f aca="false">IF(入力シート!$A100="","",TEXT(入力シート!A100,"YYYYMMDD"))</f>
        <v/>
      </c>
      <c r="E96" s="25" t="str">
        <f aca="false">IF(入力シート!$A100="","",TEXT(入力シート!Q100,"00000000"))</f>
        <v/>
      </c>
      <c r="F96" s="25" t="str">
        <f aca="false">IF(入力シート!$A100="","",14)</f>
        <v/>
      </c>
      <c r="G96" s="25" t="str">
        <f aca="false">IF(入力シート!$A100="","",1)</f>
        <v/>
      </c>
      <c r="H96" s="25" t="str">
        <f aca="false">IF(入力シート!$A100="","",1)</f>
        <v/>
      </c>
      <c r="I96" s="25" t="str">
        <f aca="false">IF(入力シート!$A100="","",3)</f>
        <v/>
      </c>
      <c r="J96" s="25" t="str">
        <f aca="false">IF(入力シート!$A100="","",1)</f>
        <v/>
      </c>
      <c r="K96" s="25" t="str">
        <f aca="false">IF(入力シート!$A100="","",入力シート!B100)</f>
        <v/>
      </c>
      <c r="L96" s="25" t="str">
        <f aca="false">IF(入力シート!$A100="","","")</f>
        <v/>
      </c>
      <c r="M96" s="25" t="str">
        <f aca="false">IF(入力シート!$A100="","","")</f>
        <v/>
      </c>
      <c r="N96" s="25" t="str">
        <f aca="false">IF(入力シート!$A100="","",入力シート!R100)</f>
        <v/>
      </c>
      <c r="O96" s="25" t="str">
        <f aca="false">IF(入力シート!$A100="","",IF(入力シート!G100="",1,入力シート!G100))</f>
        <v/>
      </c>
      <c r="P96" s="25" t="str">
        <f aca="false">IF(入力シート!$A100="","",入力シート!D100)</f>
        <v/>
      </c>
      <c r="Q96" s="25" t="str">
        <f aca="false">IF(入力シート!$A100="","","")</f>
        <v/>
      </c>
      <c r="R96" s="25" t="str">
        <f aca="false">IF(入力シート!$A100="","",入力シート!J100)</f>
        <v/>
      </c>
      <c r="S96" s="25" t="str">
        <f aca="false">IF(入力シート!$A100="","",入力シート!L100)</f>
        <v/>
      </c>
      <c r="T96" s="25" t="str">
        <f aca="false">IF(入力シート!$A100="","",入力シート!K100)</f>
        <v/>
      </c>
      <c r="U96" s="25" t="str">
        <f aca="false">IF(入力シート!$A100="","",0)</f>
        <v/>
      </c>
      <c r="V96" s="25" t="str">
        <f aca="false">IF(入力シート!$A100="","",0)</f>
        <v/>
      </c>
      <c r="W96" s="25" t="str">
        <f aca="false">IF(入力シート!$A100="","","0000")</f>
        <v/>
      </c>
      <c r="X96" s="25" t="str">
        <f aca="false">IF(入力シート!$A100="","",入力シート!E100)</f>
        <v/>
      </c>
      <c r="Y96" s="25" t="str">
        <f aca="false">IF(入力シート!$A100="","",入力シート!F100)</f>
        <v/>
      </c>
      <c r="Z96" s="25" t="str">
        <f aca="false">IF(入力シート!$A100="","",入力シート!O100)</f>
        <v/>
      </c>
      <c r="AA96" s="25" t="str">
        <f aca="false">IF(入力シート!$A100="","","")</f>
        <v/>
      </c>
      <c r="AB96" s="25" t="str">
        <f aca="false">IF(入力シート!$A100="","",入力シート!P100)</f>
        <v/>
      </c>
      <c r="AC96" s="25" t="str">
        <f aca="false">IF(入力シート!$A100="","",入力シート!U100)</f>
        <v/>
      </c>
      <c r="AD96" s="25" t="str">
        <f aca="false">IF(入力シート!$A100="","",0)</f>
        <v/>
      </c>
      <c r="AE96" s="25" t="str">
        <f aca="false">IF(入力シート!$A100="","",入力シート!I100)</f>
        <v/>
      </c>
      <c r="AF96" s="25" t="str">
        <f aca="false">IF(入力シート!$A100="","",入力シート!M100)</f>
        <v/>
      </c>
      <c r="AG96" s="25" t="str">
        <f aca="false">IF(入力シート!$A100="","",入力シート!N100)</f>
        <v/>
      </c>
      <c r="AH96" s="25" t="str">
        <f aca="false">IF(入力シート!$A100="","","")</f>
        <v/>
      </c>
      <c r="AI96" s="25" t="str">
        <f aca="false">IF(入力シート!$A100="","","")</f>
        <v/>
      </c>
      <c r="AJ96" s="25" t="str">
        <f aca="false">IF(入力シート!$A100="","","")</f>
        <v/>
      </c>
      <c r="AK96" s="25" t="str">
        <f aca="false">IF(入力シート!$A100="","",2)</f>
        <v/>
      </c>
      <c r="AL96" s="25" t="str">
        <f aca="false">IF(入力シート!$A100="","","")</f>
        <v/>
      </c>
      <c r="AM96" s="25" t="str">
        <f aca="false">IF(入力シート!$A100="","","")</f>
        <v/>
      </c>
      <c r="AN96" s="25" t="str">
        <f aca="false">IF(入力シート!$A100="","",入力シート!C100)</f>
        <v/>
      </c>
      <c r="AO96" s="25" t="str">
        <f aca="false">IF(入力シート!$A100="","","")</f>
        <v/>
      </c>
      <c r="AP96" s="25" t="str">
        <f aca="false">IF(入力シート!$A100="","","")</f>
        <v/>
      </c>
      <c r="AQ96" s="25" t="str">
        <f aca="false">IF(入力シート!$A100="","","")</f>
        <v/>
      </c>
    </row>
    <row r="97" customFormat="false" ht="15" hidden="false" customHeight="true" outlineLevel="0" collapsed="false">
      <c r="A97" s="25" t="str">
        <f aca="false">IF(入力シート!$A101="","",1)</f>
        <v/>
      </c>
      <c r="B97" s="25" t="str">
        <f aca="false">IF(入力シート!$A101="","",1)</f>
        <v/>
      </c>
      <c r="C97" s="25" t="str">
        <f aca="false">IF(入力シート!$A101="","",0)</f>
        <v/>
      </c>
      <c r="D97" s="25" t="str">
        <f aca="false">IF(入力シート!$A101="","",TEXT(入力シート!A101,"YYYYMMDD"))</f>
        <v/>
      </c>
      <c r="E97" s="25" t="str">
        <f aca="false">IF(入力シート!$A101="","",TEXT(入力シート!Q101,"00000000"))</f>
        <v/>
      </c>
      <c r="F97" s="25" t="str">
        <f aca="false">IF(入力シート!$A101="","",14)</f>
        <v/>
      </c>
      <c r="G97" s="25" t="str">
        <f aca="false">IF(入力シート!$A101="","",1)</f>
        <v/>
      </c>
      <c r="H97" s="25" t="str">
        <f aca="false">IF(入力シート!$A101="","",1)</f>
        <v/>
      </c>
      <c r="I97" s="25" t="str">
        <f aca="false">IF(入力シート!$A101="","",3)</f>
        <v/>
      </c>
      <c r="J97" s="25" t="str">
        <f aca="false">IF(入力シート!$A101="","",1)</f>
        <v/>
      </c>
      <c r="K97" s="25" t="str">
        <f aca="false">IF(入力シート!$A101="","",入力シート!B101)</f>
        <v/>
      </c>
      <c r="L97" s="25" t="str">
        <f aca="false">IF(入力シート!$A101="","","")</f>
        <v/>
      </c>
      <c r="M97" s="25" t="str">
        <f aca="false">IF(入力シート!$A101="","","")</f>
        <v/>
      </c>
      <c r="N97" s="25" t="str">
        <f aca="false">IF(入力シート!$A101="","",入力シート!R101)</f>
        <v/>
      </c>
      <c r="O97" s="25" t="str">
        <f aca="false">IF(入力シート!$A101="","",IF(入力シート!G101="",1,入力シート!G101))</f>
        <v/>
      </c>
      <c r="P97" s="25" t="str">
        <f aca="false">IF(入力シート!$A101="","",入力シート!D101)</f>
        <v/>
      </c>
      <c r="Q97" s="25" t="str">
        <f aca="false">IF(入力シート!$A101="","","")</f>
        <v/>
      </c>
      <c r="R97" s="25" t="str">
        <f aca="false">IF(入力シート!$A101="","",入力シート!J101)</f>
        <v/>
      </c>
      <c r="S97" s="25" t="str">
        <f aca="false">IF(入力シート!$A101="","",入力シート!L101)</f>
        <v/>
      </c>
      <c r="T97" s="25" t="str">
        <f aca="false">IF(入力シート!$A101="","",入力シート!K101)</f>
        <v/>
      </c>
      <c r="U97" s="25" t="str">
        <f aca="false">IF(入力シート!$A101="","",0)</f>
        <v/>
      </c>
      <c r="V97" s="25" t="str">
        <f aca="false">IF(入力シート!$A101="","",0)</f>
        <v/>
      </c>
      <c r="W97" s="25" t="str">
        <f aca="false">IF(入力シート!$A101="","","0000")</f>
        <v/>
      </c>
      <c r="X97" s="25" t="str">
        <f aca="false">IF(入力シート!$A101="","",入力シート!E101)</f>
        <v/>
      </c>
      <c r="Y97" s="25" t="str">
        <f aca="false">IF(入力シート!$A101="","",入力シート!F101)</f>
        <v/>
      </c>
      <c r="Z97" s="25" t="str">
        <f aca="false">IF(入力シート!$A101="","",入力シート!O101)</f>
        <v/>
      </c>
      <c r="AA97" s="25" t="str">
        <f aca="false">IF(入力シート!$A101="","","")</f>
        <v/>
      </c>
      <c r="AB97" s="25" t="str">
        <f aca="false">IF(入力シート!$A101="","",入力シート!P101)</f>
        <v/>
      </c>
      <c r="AC97" s="25" t="str">
        <f aca="false">IF(入力シート!$A101="","",入力シート!U101)</f>
        <v/>
      </c>
      <c r="AD97" s="25" t="str">
        <f aca="false">IF(入力シート!$A101="","",0)</f>
        <v/>
      </c>
      <c r="AE97" s="25" t="str">
        <f aca="false">IF(入力シート!$A101="","",入力シート!I101)</f>
        <v/>
      </c>
      <c r="AF97" s="25" t="str">
        <f aca="false">IF(入力シート!$A101="","",入力シート!M101)</f>
        <v/>
      </c>
      <c r="AG97" s="25" t="str">
        <f aca="false">IF(入力シート!$A101="","",入力シート!N101)</f>
        <v/>
      </c>
      <c r="AH97" s="25" t="str">
        <f aca="false">IF(入力シート!$A101="","","")</f>
        <v/>
      </c>
      <c r="AI97" s="25" t="str">
        <f aca="false">IF(入力シート!$A101="","","")</f>
        <v/>
      </c>
      <c r="AJ97" s="25" t="str">
        <f aca="false">IF(入力シート!$A101="","","")</f>
        <v/>
      </c>
      <c r="AK97" s="25" t="str">
        <f aca="false">IF(入力シート!$A101="","",2)</f>
        <v/>
      </c>
      <c r="AL97" s="25" t="str">
        <f aca="false">IF(入力シート!$A101="","","")</f>
        <v/>
      </c>
      <c r="AM97" s="25" t="str">
        <f aca="false">IF(入力シート!$A101="","","")</f>
        <v/>
      </c>
      <c r="AN97" s="25" t="str">
        <f aca="false">IF(入力シート!$A101="","",入力シート!C101)</f>
        <v/>
      </c>
      <c r="AO97" s="25" t="str">
        <f aca="false">IF(入力シート!$A101="","","")</f>
        <v/>
      </c>
      <c r="AP97" s="25" t="str">
        <f aca="false">IF(入力シート!$A101="","","")</f>
        <v/>
      </c>
      <c r="AQ97" s="25" t="str">
        <f aca="false">IF(入力シート!$A101="","","")</f>
        <v/>
      </c>
    </row>
    <row r="98" customFormat="false" ht="15" hidden="false" customHeight="true" outlineLevel="0" collapsed="false">
      <c r="A98" s="25" t="str">
        <f aca="false">IF(入力シート!$A102="","",1)</f>
        <v/>
      </c>
      <c r="B98" s="25" t="str">
        <f aca="false">IF(入力シート!$A102="","",1)</f>
        <v/>
      </c>
      <c r="C98" s="25" t="str">
        <f aca="false">IF(入力シート!$A102="","",0)</f>
        <v/>
      </c>
      <c r="D98" s="25" t="str">
        <f aca="false">IF(入力シート!$A102="","",TEXT(入力シート!A102,"YYYYMMDD"))</f>
        <v/>
      </c>
      <c r="E98" s="25" t="str">
        <f aca="false">IF(入力シート!$A102="","",TEXT(入力シート!Q102,"00000000"))</f>
        <v/>
      </c>
      <c r="F98" s="25" t="str">
        <f aca="false">IF(入力シート!$A102="","",14)</f>
        <v/>
      </c>
      <c r="G98" s="25" t="str">
        <f aca="false">IF(入力シート!$A102="","",1)</f>
        <v/>
      </c>
      <c r="H98" s="25" t="str">
        <f aca="false">IF(入力シート!$A102="","",1)</f>
        <v/>
      </c>
      <c r="I98" s="25" t="str">
        <f aca="false">IF(入力シート!$A102="","",3)</f>
        <v/>
      </c>
      <c r="J98" s="25" t="str">
        <f aca="false">IF(入力シート!$A102="","",1)</f>
        <v/>
      </c>
      <c r="K98" s="25" t="str">
        <f aca="false">IF(入力シート!$A102="","",入力シート!B102)</f>
        <v/>
      </c>
      <c r="L98" s="25" t="str">
        <f aca="false">IF(入力シート!$A102="","","")</f>
        <v/>
      </c>
      <c r="M98" s="25" t="str">
        <f aca="false">IF(入力シート!$A102="","","")</f>
        <v/>
      </c>
      <c r="N98" s="25" t="str">
        <f aca="false">IF(入力シート!$A102="","",入力シート!R102)</f>
        <v/>
      </c>
      <c r="O98" s="25" t="str">
        <f aca="false">IF(入力シート!$A102="","",IF(入力シート!G102="",1,入力シート!G102))</f>
        <v/>
      </c>
      <c r="P98" s="25" t="str">
        <f aca="false">IF(入力シート!$A102="","",入力シート!D102)</f>
        <v/>
      </c>
      <c r="Q98" s="25" t="str">
        <f aca="false">IF(入力シート!$A102="","","")</f>
        <v/>
      </c>
      <c r="R98" s="25" t="str">
        <f aca="false">IF(入力シート!$A102="","",入力シート!J102)</f>
        <v/>
      </c>
      <c r="S98" s="25" t="str">
        <f aca="false">IF(入力シート!$A102="","",入力シート!L102)</f>
        <v/>
      </c>
      <c r="T98" s="25" t="str">
        <f aca="false">IF(入力シート!$A102="","",入力シート!K102)</f>
        <v/>
      </c>
      <c r="U98" s="25" t="str">
        <f aca="false">IF(入力シート!$A102="","",0)</f>
        <v/>
      </c>
      <c r="V98" s="25" t="str">
        <f aca="false">IF(入力シート!$A102="","",0)</f>
        <v/>
      </c>
      <c r="W98" s="25" t="str">
        <f aca="false">IF(入力シート!$A102="","","0000")</f>
        <v/>
      </c>
      <c r="X98" s="25" t="str">
        <f aca="false">IF(入力シート!$A102="","",入力シート!E102)</f>
        <v/>
      </c>
      <c r="Y98" s="25" t="str">
        <f aca="false">IF(入力シート!$A102="","",入力シート!F102)</f>
        <v/>
      </c>
      <c r="Z98" s="25" t="str">
        <f aca="false">IF(入力シート!$A102="","",入力シート!O102)</f>
        <v/>
      </c>
      <c r="AA98" s="25" t="str">
        <f aca="false">IF(入力シート!$A102="","","")</f>
        <v/>
      </c>
      <c r="AB98" s="25" t="str">
        <f aca="false">IF(入力シート!$A102="","",入力シート!P102)</f>
        <v/>
      </c>
      <c r="AC98" s="25" t="str">
        <f aca="false">IF(入力シート!$A102="","",入力シート!U102)</f>
        <v/>
      </c>
      <c r="AD98" s="25" t="str">
        <f aca="false">IF(入力シート!$A102="","",0)</f>
        <v/>
      </c>
      <c r="AE98" s="25" t="str">
        <f aca="false">IF(入力シート!$A102="","",入力シート!I102)</f>
        <v/>
      </c>
      <c r="AF98" s="25" t="str">
        <f aca="false">IF(入力シート!$A102="","",入力シート!M102)</f>
        <v/>
      </c>
      <c r="AG98" s="25" t="str">
        <f aca="false">IF(入力シート!$A102="","",入力シート!N102)</f>
        <v/>
      </c>
      <c r="AH98" s="25" t="str">
        <f aca="false">IF(入力シート!$A102="","","")</f>
        <v/>
      </c>
      <c r="AI98" s="25" t="str">
        <f aca="false">IF(入力シート!$A102="","","")</f>
        <v/>
      </c>
      <c r="AJ98" s="25" t="str">
        <f aca="false">IF(入力シート!$A102="","","")</f>
        <v/>
      </c>
      <c r="AK98" s="25" t="str">
        <f aca="false">IF(入力シート!$A102="","",2)</f>
        <v/>
      </c>
      <c r="AL98" s="25" t="str">
        <f aca="false">IF(入力シート!$A102="","","")</f>
        <v/>
      </c>
      <c r="AM98" s="25" t="str">
        <f aca="false">IF(入力シート!$A102="","","")</f>
        <v/>
      </c>
      <c r="AN98" s="25" t="str">
        <f aca="false">IF(入力シート!$A102="","",入力シート!C102)</f>
        <v/>
      </c>
      <c r="AO98" s="25" t="str">
        <f aca="false">IF(入力シート!$A102="","","")</f>
        <v/>
      </c>
      <c r="AP98" s="25" t="str">
        <f aca="false">IF(入力シート!$A102="","","")</f>
        <v/>
      </c>
      <c r="AQ98" s="25" t="str">
        <f aca="false">IF(入力シート!$A102="","","")</f>
        <v/>
      </c>
    </row>
    <row r="99" customFormat="false" ht="15" hidden="false" customHeight="true" outlineLevel="0" collapsed="false">
      <c r="A99" s="25" t="str">
        <f aca="false">IF(入力シート!$A103="","",1)</f>
        <v/>
      </c>
      <c r="B99" s="25" t="str">
        <f aca="false">IF(入力シート!$A103="","",1)</f>
        <v/>
      </c>
      <c r="C99" s="25" t="str">
        <f aca="false">IF(入力シート!$A103="","",0)</f>
        <v/>
      </c>
      <c r="D99" s="25" t="str">
        <f aca="false">IF(入力シート!$A103="","",TEXT(入力シート!A103,"YYYYMMDD"))</f>
        <v/>
      </c>
      <c r="E99" s="25" t="str">
        <f aca="false">IF(入力シート!$A103="","",TEXT(入力シート!Q103,"00000000"))</f>
        <v/>
      </c>
      <c r="F99" s="25" t="str">
        <f aca="false">IF(入力シート!$A103="","",14)</f>
        <v/>
      </c>
      <c r="G99" s="25" t="str">
        <f aca="false">IF(入力シート!$A103="","",1)</f>
        <v/>
      </c>
      <c r="H99" s="25" t="str">
        <f aca="false">IF(入力シート!$A103="","",1)</f>
        <v/>
      </c>
      <c r="I99" s="25" t="str">
        <f aca="false">IF(入力シート!$A103="","",3)</f>
        <v/>
      </c>
      <c r="J99" s="25" t="str">
        <f aca="false">IF(入力シート!$A103="","",1)</f>
        <v/>
      </c>
      <c r="K99" s="25" t="str">
        <f aca="false">IF(入力シート!$A103="","",入力シート!B103)</f>
        <v/>
      </c>
      <c r="L99" s="25" t="str">
        <f aca="false">IF(入力シート!$A103="","","")</f>
        <v/>
      </c>
      <c r="M99" s="25" t="str">
        <f aca="false">IF(入力シート!$A103="","","")</f>
        <v/>
      </c>
      <c r="N99" s="25" t="str">
        <f aca="false">IF(入力シート!$A103="","",入力シート!R103)</f>
        <v/>
      </c>
      <c r="O99" s="25" t="str">
        <f aca="false">IF(入力シート!$A103="","",IF(入力シート!G103="",1,入力シート!G103))</f>
        <v/>
      </c>
      <c r="P99" s="25" t="str">
        <f aca="false">IF(入力シート!$A103="","",入力シート!D103)</f>
        <v/>
      </c>
      <c r="Q99" s="25" t="str">
        <f aca="false">IF(入力シート!$A103="","","")</f>
        <v/>
      </c>
      <c r="R99" s="25" t="str">
        <f aca="false">IF(入力シート!$A103="","",入力シート!J103)</f>
        <v/>
      </c>
      <c r="S99" s="25" t="str">
        <f aca="false">IF(入力シート!$A103="","",入力シート!L103)</f>
        <v/>
      </c>
      <c r="T99" s="25" t="str">
        <f aca="false">IF(入力シート!$A103="","",入力シート!K103)</f>
        <v/>
      </c>
      <c r="U99" s="25" t="str">
        <f aca="false">IF(入力シート!$A103="","",0)</f>
        <v/>
      </c>
      <c r="V99" s="25" t="str">
        <f aca="false">IF(入力シート!$A103="","",0)</f>
        <v/>
      </c>
      <c r="W99" s="25" t="str">
        <f aca="false">IF(入力シート!$A103="","","0000")</f>
        <v/>
      </c>
      <c r="X99" s="25" t="str">
        <f aca="false">IF(入力シート!$A103="","",入力シート!E103)</f>
        <v/>
      </c>
      <c r="Y99" s="25" t="str">
        <f aca="false">IF(入力シート!$A103="","",入力シート!F103)</f>
        <v/>
      </c>
      <c r="Z99" s="25" t="str">
        <f aca="false">IF(入力シート!$A103="","",入力シート!O103)</f>
        <v/>
      </c>
      <c r="AA99" s="25" t="str">
        <f aca="false">IF(入力シート!$A103="","","")</f>
        <v/>
      </c>
      <c r="AB99" s="25" t="str">
        <f aca="false">IF(入力シート!$A103="","",入力シート!P103)</f>
        <v/>
      </c>
      <c r="AC99" s="25" t="str">
        <f aca="false">IF(入力シート!$A103="","",入力シート!U103)</f>
        <v/>
      </c>
      <c r="AD99" s="25" t="str">
        <f aca="false">IF(入力シート!$A103="","",0)</f>
        <v/>
      </c>
      <c r="AE99" s="25" t="str">
        <f aca="false">IF(入力シート!$A103="","",入力シート!I103)</f>
        <v/>
      </c>
      <c r="AF99" s="25" t="str">
        <f aca="false">IF(入力シート!$A103="","",入力シート!M103)</f>
        <v/>
      </c>
      <c r="AG99" s="25" t="str">
        <f aca="false">IF(入力シート!$A103="","",入力シート!N103)</f>
        <v/>
      </c>
      <c r="AH99" s="25" t="str">
        <f aca="false">IF(入力シート!$A103="","","")</f>
        <v/>
      </c>
      <c r="AI99" s="25" t="str">
        <f aca="false">IF(入力シート!$A103="","","")</f>
        <v/>
      </c>
      <c r="AJ99" s="25" t="str">
        <f aca="false">IF(入力シート!$A103="","","")</f>
        <v/>
      </c>
      <c r="AK99" s="25" t="str">
        <f aca="false">IF(入力シート!$A103="","",2)</f>
        <v/>
      </c>
      <c r="AL99" s="25" t="str">
        <f aca="false">IF(入力シート!$A103="","","")</f>
        <v/>
      </c>
      <c r="AM99" s="25" t="str">
        <f aca="false">IF(入力シート!$A103="","","")</f>
        <v/>
      </c>
      <c r="AN99" s="25" t="str">
        <f aca="false">IF(入力シート!$A103="","",入力シート!C103)</f>
        <v/>
      </c>
      <c r="AO99" s="25" t="str">
        <f aca="false">IF(入力シート!$A103="","","")</f>
        <v/>
      </c>
      <c r="AP99" s="25" t="str">
        <f aca="false">IF(入力シート!$A103="","","")</f>
        <v/>
      </c>
      <c r="AQ99" s="25" t="str">
        <f aca="false">IF(入力シート!$A103="","","")</f>
        <v/>
      </c>
    </row>
    <row r="100" customFormat="false" ht="15" hidden="false" customHeight="true" outlineLevel="0" collapsed="false">
      <c r="A100" s="25" t="str">
        <f aca="false">IF(入力シート!$A104="","",1)</f>
        <v/>
      </c>
      <c r="B100" s="25" t="str">
        <f aca="false">IF(入力シート!$A104="","",1)</f>
        <v/>
      </c>
      <c r="C100" s="25" t="str">
        <f aca="false">IF(入力シート!$A104="","",0)</f>
        <v/>
      </c>
      <c r="D100" s="25" t="str">
        <f aca="false">IF(入力シート!$A104="","",TEXT(入力シート!A104,"YYYYMMDD"))</f>
        <v/>
      </c>
      <c r="E100" s="25" t="str">
        <f aca="false">IF(入力シート!$A104="","",TEXT(入力シート!Q104,"00000000"))</f>
        <v/>
      </c>
      <c r="F100" s="25" t="str">
        <f aca="false">IF(入力シート!$A104="","",14)</f>
        <v/>
      </c>
      <c r="G100" s="25" t="str">
        <f aca="false">IF(入力シート!$A104="","",1)</f>
        <v/>
      </c>
      <c r="H100" s="25" t="str">
        <f aca="false">IF(入力シート!$A104="","",1)</f>
        <v/>
      </c>
      <c r="I100" s="25" t="str">
        <f aca="false">IF(入力シート!$A104="","",3)</f>
        <v/>
      </c>
      <c r="J100" s="25" t="str">
        <f aca="false">IF(入力シート!$A104="","",1)</f>
        <v/>
      </c>
      <c r="K100" s="25" t="str">
        <f aca="false">IF(入力シート!$A104="","",入力シート!B104)</f>
        <v/>
      </c>
      <c r="L100" s="25" t="str">
        <f aca="false">IF(入力シート!$A104="","","")</f>
        <v/>
      </c>
      <c r="M100" s="25" t="str">
        <f aca="false">IF(入力シート!$A104="","","")</f>
        <v/>
      </c>
      <c r="N100" s="25" t="str">
        <f aca="false">IF(入力シート!$A104="","",入力シート!R104)</f>
        <v/>
      </c>
      <c r="O100" s="25" t="str">
        <f aca="false">IF(入力シート!$A104="","",IF(入力シート!G104="",1,入力シート!G104))</f>
        <v/>
      </c>
      <c r="P100" s="25" t="str">
        <f aca="false">IF(入力シート!$A104="","",入力シート!D104)</f>
        <v/>
      </c>
      <c r="Q100" s="25" t="str">
        <f aca="false">IF(入力シート!$A104="","","")</f>
        <v/>
      </c>
      <c r="R100" s="25" t="str">
        <f aca="false">IF(入力シート!$A104="","",入力シート!J104)</f>
        <v/>
      </c>
      <c r="S100" s="25" t="str">
        <f aca="false">IF(入力シート!$A104="","",入力シート!L104)</f>
        <v/>
      </c>
      <c r="T100" s="25" t="str">
        <f aca="false">IF(入力シート!$A104="","",入力シート!K104)</f>
        <v/>
      </c>
      <c r="U100" s="25" t="str">
        <f aca="false">IF(入力シート!$A104="","",0)</f>
        <v/>
      </c>
      <c r="V100" s="25" t="str">
        <f aca="false">IF(入力シート!$A104="","",0)</f>
        <v/>
      </c>
      <c r="W100" s="25" t="str">
        <f aca="false">IF(入力シート!$A104="","","0000")</f>
        <v/>
      </c>
      <c r="X100" s="25" t="str">
        <f aca="false">IF(入力シート!$A104="","",入力シート!E104)</f>
        <v/>
      </c>
      <c r="Y100" s="25" t="str">
        <f aca="false">IF(入力シート!$A104="","",入力シート!F104)</f>
        <v/>
      </c>
      <c r="Z100" s="25" t="str">
        <f aca="false">IF(入力シート!$A104="","",入力シート!O104)</f>
        <v/>
      </c>
      <c r="AA100" s="25" t="str">
        <f aca="false">IF(入力シート!$A104="","","")</f>
        <v/>
      </c>
      <c r="AB100" s="25" t="str">
        <f aca="false">IF(入力シート!$A104="","",入力シート!P104)</f>
        <v/>
      </c>
      <c r="AC100" s="25" t="str">
        <f aca="false">IF(入力シート!$A104="","",入力シート!U104)</f>
        <v/>
      </c>
      <c r="AD100" s="25" t="str">
        <f aca="false">IF(入力シート!$A104="","",0)</f>
        <v/>
      </c>
      <c r="AE100" s="25" t="str">
        <f aca="false">IF(入力シート!$A104="","",入力シート!I104)</f>
        <v/>
      </c>
      <c r="AF100" s="25" t="str">
        <f aca="false">IF(入力シート!$A104="","",入力シート!M104)</f>
        <v/>
      </c>
      <c r="AG100" s="25" t="str">
        <f aca="false">IF(入力シート!$A104="","",入力シート!N104)</f>
        <v/>
      </c>
      <c r="AH100" s="25" t="str">
        <f aca="false">IF(入力シート!$A104="","","")</f>
        <v/>
      </c>
      <c r="AI100" s="25" t="str">
        <f aca="false">IF(入力シート!$A104="","","")</f>
        <v/>
      </c>
      <c r="AJ100" s="25" t="str">
        <f aca="false">IF(入力シート!$A104="","","")</f>
        <v/>
      </c>
      <c r="AK100" s="25" t="str">
        <f aca="false">IF(入力シート!$A104="","",2)</f>
        <v/>
      </c>
      <c r="AL100" s="25" t="str">
        <f aca="false">IF(入力シート!$A104="","","")</f>
        <v/>
      </c>
      <c r="AM100" s="25" t="str">
        <f aca="false">IF(入力シート!$A104="","","")</f>
        <v/>
      </c>
      <c r="AN100" s="25" t="str">
        <f aca="false">IF(入力シート!$A104="","",入力シート!C104)</f>
        <v/>
      </c>
      <c r="AO100" s="25" t="str">
        <f aca="false">IF(入力シート!$A104="","","")</f>
        <v/>
      </c>
      <c r="AP100" s="25" t="str">
        <f aca="false">IF(入力シート!$A104="","","")</f>
        <v/>
      </c>
      <c r="AQ100" s="25" t="str">
        <f aca="false">IF(入力シート!$A104="","","")</f>
        <v/>
      </c>
    </row>
    <row r="101" customFormat="false" ht="15" hidden="false" customHeight="true" outlineLevel="0" collapsed="false">
      <c r="A101" s="25" t="str">
        <f aca="false">IF(入力シート!$A105="","",1)</f>
        <v/>
      </c>
      <c r="B101" s="25" t="str">
        <f aca="false">IF(入力シート!$A105="","",1)</f>
        <v/>
      </c>
      <c r="C101" s="25" t="str">
        <f aca="false">IF(入力シート!$A105="","",0)</f>
        <v/>
      </c>
      <c r="D101" s="25" t="str">
        <f aca="false">IF(入力シート!$A105="","",TEXT(入力シート!A105,"YYYYMMDD"))</f>
        <v/>
      </c>
      <c r="E101" s="25" t="str">
        <f aca="false">IF(入力シート!$A105="","",TEXT(入力シート!Q105,"00000000"))</f>
        <v/>
      </c>
      <c r="F101" s="25" t="str">
        <f aca="false">IF(入力シート!$A105="","",14)</f>
        <v/>
      </c>
      <c r="G101" s="25" t="str">
        <f aca="false">IF(入力シート!$A105="","",1)</f>
        <v/>
      </c>
      <c r="H101" s="25" t="str">
        <f aca="false">IF(入力シート!$A105="","",1)</f>
        <v/>
      </c>
      <c r="I101" s="25" t="str">
        <f aca="false">IF(入力シート!$A105="","",3)</f>
        <v/>
      </c>
      <c r="J101" s="25" t="str">
        <f aca="false">IF(入力シート!$A105="","",1)</f>
        <v/>
      </c>
      <c r="K101" s="25" t="str">
        <f aca="false">IF(入力シート!$A105="","",入力シート!B105)</f>
        <v/>
      </c>
      <c r="L101" s="25" t="str">
        <f aca="false">IF(入力シート!$A105="","","")</f>
        <v/>
      </c>
      <c r="M101" s="25" t="str">
        <f aca="false">IF(入力シート!$A105="","","")</f>
        <v/>
      </c>
      <c r="N101" s="25" t="str">
        <f aca="false">IF(入力シート!$A105="","",入力シート!R105)</f>
        <v/>
      </c>
      <c r="O101" s="25" t="str">
        <f aca="false">IF(入力シート!$A105="","",IF(入力シート!G105="",1,入力シート!G105))</f>
        <v/>
      </c>
      <c r="P101" s="25" t="str">
        <f aca="false">IF(入力シート!$A105="","",入力シート!D105)</f>
        <v/>
      </c>
      <c r="Q101" s="25" t="str">
        <f aca="false">IF(入力シート!$A105="","","")</f>
        <v/>
      </c>
      <c r="R101" s="25" t="str">
        <f aca="false">IF(入力シート!$A105="","",入力シート!J105)</f>
        <v/>
      </c>
      <c r="S101" s="25" t="str">
        <f aca="false">IF(入力シート!$A105="","",入力シート!L105)</f>
        <v/>
      </c>
      <c r="T101" s="25" t="str">
        <f aca="false">IF(入力シート!$A105="","",入力シート!K105)</f>
        <v/>
      </c>
      <c r="U101" s="25" t="str">
        <f aca="false">IF(入力シート!$A105="","",0)</f>
        <v/>
      </c>
      <c r="V101" s="25" t="str">
        <f aca="false">IF(入力シート!$A105="","",0)</f>
        <v/>
      </c>
      <c r="W101" s="25" t="str">
        <f aca="false">IF(入力シート!$A105="","","0000")</f>
        <v/>
      </c>
      <c r="X101" s="25" t="str">
        <f aca="false">IF(入力シート!$A105="","",入力シート!E105)</f>
        <v/>
      </c>
      <c r="Y101" s="25" t="str">
        <f aca="false">IF(入力シート!$A105="","",入力シート!F105)</f>
        <v/>
      </c>
      <c r="Z101" s="25" t="str">
        <f aca="false">IF(入力シート!$A105="","",入力シート!O105)</f>
        <v/>
      </c>
      <c r="AA101" s="25" t="str">
        <f aca="false">IF(入力シート!$A105="","","")</f>
        <v/>
      </c>
      <c r="AB101" s="25" t="str">
        <f aca="false">IF(入力シート!$A105="","",入力シート!P105)</f>
        <v/>
      </c>
      <c r="AC101" s="25" t="str">
        <f aca="false">IF(入力シート!$A105="","",入力シート!U105)</f>
        <v/>
      </c>
      <c r="AD101" s="25" t="str">
        <f aca="false">IF(入力シート!$A105="","",0)</f>
        <v/>
      </c>
      <c r="AE101" s="25" t="str">
        <f aca="false">IF(入力シート!$A105="","",入力シート!I105)</f>
        <v/>
      </c>
      <c r="AF101" s="25" t="str">
        <f aca="false">IF(入力シート!$A105="","",入力シート!M105)</f>
        <v/>
      </c>
      <c r="AG101" s="25" t="str">
        <f aca="false">IF(入力シート!$A105="","",入力シート!N105)</f>
        <v/>
      </c>
      <c r="AH101" s="25" t="str">
        <f aca="false">IF(入力シート!$A105="","","")</f>
        <v/>
      </c>
      <c r="AI101" s="25" t="str">
        <f aca="false">IF(入力シート!$A105="","","")</f>
        <v/>
      </c>
      <c r="AJ101" s="25" t="str">
        <f aca="false">IF(入力シート!$A105="","","")</f>
        <v/>
      </c>
      <c r="AK101" s="25" t="str">
        <f aca="false">IF(入力シート!$A105="","",2)</f>
        <v/>
      </c>
      <c r="AL101" s="25" t="str">
        <f aca="false">IF(入力シート!$A105="","","")</f>
        <v/>
      </c>
      <c r="AM101" s="25" t="str">
        <f aca="false">IF(入力シート!$A105="","","")</f>
        <v/>
      </c>
      <c r="AN101" s="25" t="str">
        <f aca="false">IF(入力シート!$A105="","",入力シート!C105)</f>
        <v/>
      </c>
      <c r="AO101" s="25" t="str">
        <f aca="false">IF(入力シート!$A105="","","")</f>
        <v/>
      </c>
      <c r="AP101" s="25" t="str">
        <f aca="false">IF(入力シート!$A105="","","")</f>
        <v/>
      </c>
      <c r="AQ101" s="25" t="str">
        <f aca="false">IF(入力シート!$A105="","","")</f>
        <v/>
      </c>
    </row>
    <row r="102" customFormat="false" ht="15" hidden="false" customHeight="true" outlineLevel="0" collapsed="false">
      <c r="A102" s="25" t="str">
        <f aca="false">IF(入力シート!$A106="","",1)</f>
        <v/>
      </c>
      <c r="B102" s="25" t="str">
        <f aca="false">IF(入力シート!$A106="","",1)</f>
        <v/>
      </c>
      <c r="C102" s="25" t="str">
        <f aca="false">IF(入力シート!$A106="","",0)</f>
        <v/>
      </c>
      <c r="D102" s="25" t="str">
        <f aca="false">IF(入力シート!$A106="","",TEXT(入力シート!A106,"YYYYMMDD"))</f>
        <v/>
      </c>
      <c r="E102" s="25" t="str">
        <f aca="false">IF(入力シート!$A106="","",TEXT(入力シート!Q106,"00000000"))</f>
        <v/>
      </c>
      <c r="F102" s="25" t="str">
        <f aca="false">IF(入力シート!$A106="","",14)</f>
        <v/>
      </c>
      <c r="G102" s="25" t="str">
        <f aca="false">IF(入力シート!$A106="","",1)</f>
        <v/>
      </c>
      <c r="H102" s="25" t="str">
        <f aca="false">IF(入力シート!$A106="","",1)</f>
        <v/>
      </c>
      <c r="I102" s="25" t="str">
        <f aca="false">IF(入力シート!$A106="","",3)</f>
        <v/>
      </c>
      <c r="J102" s="25" t="str">
        <f aca="false">IF(入力シート!$A106="","",1)</f>
        <v/>
      </c>
      <c r="K102" s="25" t="str">
        <f aca="false">IF(入力シート!$A106="","",入力シート!B106)</f>
        <v/>
      </c>
      <c r="L102" s="25" t="str">
        <f aca="false">IF(入力シート!$A106="","","")</f>
        <v/>
      </c>
      <c r="M102" s="25" t="str">
        <f aca="false">IF(入力シート!$A106="","","")</f>
        <v/>
      </c>
      <c r="N102" s="25" t="str">
        <f aca="false">IF(入力シート!$A106="","",入力シート!R106)</f>
        <v/>
      </c>
      <c r="O102" s="25" t="str">
        <f aca="false">IF(入力シート!$A106="","",IF(入力シート!G106="",1,入力シート!G106))</f>
        <v/>
      </c>
      <c r="P102" s="25" t="str">
        <f aca="false">IF(入力シート!$A106="","",入力シート!D106)</f>
        <v/>
      </c>
      <c r="Q102" s="25" t="str">
        <f aca="false">IF(入力シート!$A106="","","")</f>
        <v/>
      </c>
      <c r="R102" s="25" t="str">
        <f aca="false">IF(入力シート!$A106="","",入力シート!J106)</f>
        <v/>
      </c>
      <c r="S102" s="25" t="str">
        <f aca="false">IF(入力シート!$A106="","",入力シート!L106)</f>
        <v/>
      </c>
      <c r="T102" s="25" t="str">
        <f aca="false">IF(入力シート!$A106="","",入力シート!K106)</f>
        <v/>
      </c>
      <c r="U102" s="25" t="str">
        <f aca="false">IF(入力シート!$A106="","",0)</f>
        <v/>
      </c>
      <c r="V102" s="25" t="str">
        <f aca="false">IF(入力シート!$A106="","",0)</f>
        <v/>
      </c>
      <c r="W102" s="25" t="str">
        <f aca="false">IF(入力シート!$A106="","","0000")</f>
        <v/>
      </c>
      <c r="X102" s="25" t="str">
        <f aca="false">IF(入力シート!$A106="","",入力シート!E106)</f>
        <v/>
      </c>
      <c r="Y102" s="25" t="str">
        <f aca="false">IF(入力シート!$A106="","",入力シート!F106)</f>
        <v/>
      </c>
      <c r="Z102" s="25" t="str">
        <f aca="false">IF(入力シート!$A106="","",入力シート!O106)</f>
        <v/>
      </c>
      <c r="AA102" s="25" t="str">
        <f aca="false">IF(入力シート!$A106="","","")</f>
        <v/>
      </c>
      <c r="AB102" s="25" t="str">
        <f aca="false">IF(入力シート!$A106="","",入力シート!P106)</f>
        <v/>
      </c>
      <c r="AC102" s="25" t="str">
        <f aca="false">IF(入力シート!$A106="","",入力シート!U106)</f>
        <v/>
      </c>
      <c r="AD102" s="25" t="str">
        <f aca="false">IF(入力シート!$A106="","",0)</f>
        <v/>
      </c>
      <c r="AE102" s="25" t="str">
        <f aca="false">IF(入力シート!$A106="","",入力シート!I106)</f>
        <v/>
      </c>
      <c r="AF102" s="25" t="str">
        <f aca="false">IF(入力シート!$A106="","",入力シート!M106)</f>
        <v/>
      </c>
      <c r="AG102" s="25" t="str">
        <f aca="false">IF(入力シート!$A106="","",入力シート!N106)</f>
        <v/>
      </c>
      <c r="AH102" s="25" t="str">
        <f aca="false">IF(入力シート!$A106="","","")</f>
        <v/>
      </c>
      <c r="AI102" s="25" t="str">
        <f aca="false">IF(入力シート!$A106="","","")</f>
        <v/>
      </c>
      <c r="AJ102" s="25" t="str">
        <f aca="false">IF(入力シート!$A106="","","")</f>
        <v/>
      </c>
      <c r="AK102" s="25" t="str">
        <f aca="false">IF(入力シート!$A106="","",2)</f>
        <v/>
      </c>
      <c r="AL102" s="25" t="str">
        <f aca="false">IF(入力シート!$A106="","","")</f>
        <v/>
      </c>
      <c r="AM102" s="25" t="str">
        <f aca="false">IF(入力シート!$A106="","","")</f>
        <v/>
      </c>
      <c r="AN102" s="25" t="str">
        <f aca="false">IF(入力シート!$A106="","",入力シート!C106)</f>
        <v/>
      </c>
      <c r="AO102" s="25" t="str">
        <f aca="false">IF(入力シート!$A106="","","")</f>
        <v/>
      </c>
      <c r="AP102" s="25" t="str">
        <f aca="false">IF(入力シート!$A106="","","")</f>
        <v/>
      </c>
      <c r="AQ102" s="25" t="str">
        <f aca="false">IF(入力シート!$A106="","","")</f>
        <v/>
      </c>
    </row>
    <row r="103" customFormat="false" ht="15" hidden="false" customHeight="true" outlineLevel="0" collapsed="false">
      <c r="A103" s="25" t="str">
        <f aca="false">IF(入力シート!$A107="","",1)</f>
        <v/>
      </c>
      <c r="B103" s="25" t="str">
        <f aca="false">IF(入力シート!$A107="","",1)</f>
        <v/>
      </c>
      <c r="C103" s="25" t="str">
        <f aca="false">IF(入力シート!$A107="","",0)</f>
        <v/>
      </c>
      <c r="D103" s="25" t="str">
        <f aca="false">IF(入力シート!$A107="","",TEXT(入力シート!A107,"YYYYMMDD"))</f>
        <v/>
      </c>
      <c r="E103" s="25" t="str">
        <f aca="false">IF(入力シート!$A107="","",TEXT(入力シート!Q107,"00000000"))</f>
        <v/>
      </c>
      <c r="F103" s="25" t="str">
        <f aca="false">IF(入力シート!$A107="","",14)</f>
        <v/>
      </c>
      <c r="G103" s="25" t="str">
        <f aca="false">IF(入力シート!$A107="","",1)</f>
        <v/>
      </c>
      <c r="H103" s="25" t="str">
        <f aca="false">IF(入力シート!$A107="","",1)</f>
        <v/>
      </c>
      <c r="I103" s="25" t="str">
        <f aca="false">IF(入力シート!$A107="","",3)</f>
        <v/>
      </c>
      <c r="J103" s="25" t="str">
        <f aca="false">IF(入力シート!$A107="","",1)</f>
        <v/>
      </c>
      <c r="K103" s="25" t="str">
        <f aca="false">IF(入力シート!$A107="","",入力シート!B107)</f>
        <v/>
      </c>
      <c r="L103" s="25" t="str">
        <f aca="false">IF(入力シート!$A107="","","")</f>
        <v/>
      </c>
      <c r="M103" s="25" t="str">
        <f aca="false">IF(入力シート!$A107="","","")</f>
        <v/>
      </c>
      <c r="N103" s="25" t="str">
        <f aca="false">IF(入力シート!$A107="","",入力シート!R107)</f>
        <v/>
      </c>
      <c r="O103" s="25" t="str">
        <f aca="false">IF(入力シート!$A107="","",IF(入力シート!G107="",1,入力シート!G107))</f>
        <v/>
      </c>
      <c r="P103" s="25" t="str">
        <f aca="false">IF(入力シート!$A107="","",入力シート!D107)</f>
        <v/>
      </c>
      <c r="Q103" s="25" t="str">
        <f aca="false">IF(入力シート!$A107="","","")</f>
        <v/>
      </c>
      <c r="R103" s="25" t="str">
        <f aca="false">IF(入力シート!$A107="","",入力シート!J107)</f>
        <v/>
      </c>
      <c r="S103" s="25" t="str">
        <f aca="false">IF(入力シート!$A107="","",入力シート!L107)</f>
        <v/>
      </c>
      <c r="T103" s="25" t="str">
        <f aca="false">IF(入力シート!$A107="","",入力シート!K107)</f>
        <v/>
      </c>
      <c r="U103" s="25" t="str">
        <f aca="false">IF(入力シート!$A107="","",0)</f>
        <v/>
      </c>
      <c r="V103" s="25" t="str">
        <f aca="false">IF(入力シート!$A107="","",0)</f>
        <v/>
      </c>
      <c r="W103" s="25" t="str">
        <f aca="false">IF(入力シート!$A107="","","0000")</f>
        <v/>
      </c>
      <c r="X103" s="25" t="str">
        <f aca="false">IF(入力シート!$A107="","",入力シート!E107)</f>
        <v/>
      </c>
      <c r="Y103" s="25" t="str">
        <f aca="false">IF(入力シート!$A107="","",入力シート!F107)</f>
        <v/>
      </c>
      <c r="Z103" s="25" t="str">
        <f aca="false">IF(入力シート!$A107="","",入力シート!O107)</f>
        <v/>
      </c>
      <c r="AA103" s="25" t="str">
        <f aca="false">IF(入力シート!$A107="","","")</f>
        <v/>
      </c>
      <c r="AB103" s="25" t="str">
        <f aca="false">IF(入力シート!$A107="","",入力シート!P107)</f>
        <v/>
      </c>
      <c r="AC103" s="25" t="str">
        <f aca="false">IF(入力シート!$A107="","",入力シート!U107)</f>
        <v/>
      </c>
      <c r="AD103" s="25" t="str">
        <f aca="false">IF(入力シート!$A107="","",0)</f>
        <v/>
      </c>
      <c r="AE103" s="25" t="str">
        <f aca="false">IF(入力シート!$A107="","",入力シート!I107)</f>
        <v/>
      </c>
      <c r="AF103" s="25" t="str">
        <f aca="false">IF(入力シート!$A107="","",入力シート!M107)</f>
        <v/>
      </c>
      <c r="AG103" s="25" t="str">
        <f aca="false">IF(入力シート!$A107="","",入力シート!N107)</f>
        <v/>
      </c>
      <c r="AH103" s="25" t="str">
        <f aca="false">IF(入力シート!$A107="","","")</f>
        <v/>
      </c>
      <c r="AI103" s="25" t="str">
        <f aca="false">IF(入力シート!$A107="","","")</f>
        <v/>
      </c>
      <c r="AJ103" s="25" t="str">
        <f aca="false">IF(入力シート!$A107="","","")</f>
        <v/>
      </c>
      <c r="AK103" s="25" t="str">
        <f aca="false">IF(入力シート!$A107="","",2)</f>
        <v/>
      </c>
      <c r="AL103" s="25" t="str">
        <f aca="false">IF(入力シート!$A107="","","")</f>
        <v/>
      </c>
      <c r="AM103" s="25" t="str">
        <f aca="false">IF(入力シート!$A107="","","")</f>
        <v/>
      </c>
      <c r="AN103" s="25" t="str">
        <f aca="false">IF(入力シート!$A107="","",入力シート!C107)</f>
        <v/>
      </c>
      <c r="AO103" s="25" t="str">
        <f aca="false">IF(入力シート!$A107="","","")</f>
        <v/>
      </c>
      <c r="AP103" s="25" t="str">
        <f aca="false">IF(入力シート!$A107="","","")</f>
        <v/>
      </c>
      <c r="AQ103" s="25" t="str">
        <f aca="false">IF(入力シート!$A107="","","")</f>
        <v/>
      </c>
    </row>
    <row r="104" customFormat="false" ht="15" hidden="false" customHeight="true" outlineLevel="0" collapsed="false">
      <c r="A104" s="25" t="str">
        <f aca="false">IF(入力シート!$A108="","",1)</f>
        <v/>
      </c>
      <c r="B104" s="25" t="str">
        <f aca="false">IF(入力シート!$A108="","",1)</f>
        <v/>
      </c>
      <c r="C104" s="25" t="str">
        <f aca="false">IF(入力シート!$A108="","",0)</f>
        <v/>
      </c>
      <c r="D104" s="25" t="str">
        <f aca="false">IF(入力シート!$A108="","",TEXT(入力シート!A108,"YYYYMMDD"))</f>
        <v/>
      </c>
      <c r="E104" s="25" t="str">
        <f aca="false">IF(入力シート!$A108="","",TEXT(入力シート!Q108,"00000000"))</f>
        <v/>
      </c>
      <c r="F104" s="25" t="str">
        <f aca="false">IF(入力シート!$A108="","",14)</f>
        <v/>
      </c>
      <c r="G104" s="25" t="str">
        <f aca="false">IF(入力シート!$A108="","",1)</f>
        <v/>
      </c>
      <c r="H104" s="25" t="str">
        <f aca="false">IF(入力シート!$A108="","",1)</f>
        <v/>
      </c>
      <c r="I104" s="25" t="str">
        <f aca="false">IF(入力シート!$A108="","",3)</f>
        <v/>
      </c>
      <c r="J104" s="25" t="str">
        <f aca="false">IF(入力シート!$A108="","",1)</f>
        <v/>
      </c>
      <c r="K104" s="25" t="str">
        <f aca="false">IF(入力シート!$A108="","",入力シート!B108)</f>
        <v/>
      </c>
      <c r="L104" s="25" t="str">
        <f aca="false">IF(入力シート!$A108="","","")</f>
        <v/>
      </c>
      <c r="M104" s="25" t="str">
        <f aca="false">IF(入力シート!$A108="","","")</f>
        <v/>
      </c>
      <c r="N104" s="25" t="str">
        <f aca="false">IF(入力シート!$A108="","",入力シート!R108)</f>
        <v/>
      </c>
      <c r="O104" s="25" t="str">
        <f aca="false">IF(入力シート!$A108="","",IF(入力シート!G108="",1,入力シート!G108))</f>
        <v/>
      </c>
      <c r="P104" s="25" t="str">
        <f aca="false">IF(入力シート!$A108="","",入力シート!D108)</f>
        <v/>
      </c>
      <c r="Q104" s="25" t="str">
        <f aca="false">IF(入力シート!$A108="","","")</f>
        <v/>
      </c>
      <c r="R104" s="25" t="str">
        <f aca="false">IF(入力シート!$A108="","",入力シート!J108)</f>
        <v/>
      </c>
      <c r="S104" s="25" t="str">
        <f aca="false">IF(入力シート!$A108="","",入力シート!L108)</f>
        <v/>
      </c>
      <c r="T104" s="25" t="str">
        <f aca="false">IF(入力シート!$A108="","",入力シート!K108)</f>
        <v/>
      </c>
      <c r="U104" s="25" t="str">
        <f aca="false">IF(入力シート!$A108="","",0)</f>
        <v/>
      </c>
      <c r="V104" s="25" t="str">
        <f aca="false">IF(入力シート!$A108="","",0)</f>
        <v/>
      </c>
      <c r="W104" s="25" t="str">
        <f aca="false">IF(入力シート!$A108="","","0000")</f>
        <v/>
      </c>
      <c r="X104" s="25" t="str">
        <f aca="false">IF(入力シート!$A108="","",入力シート!E108)</f>
        <v/>
      </c>
      <c r="Y104" s="25" t="str">
        <f aca="false">IF(入力シート!$A108="","",入力シート!F108)</f>
        <v/>
      </c>
      <c r="Z104" s="25" t="str">
        <f aca="false">IF(入力シート!$A108="","",入力シート!O108)</f>
        <v/>
      </c>
      <c r="AA104" s="25" t="str">
        <f aca="false">IF(入力シート!$A108="","","")</f>
        <v/>
      </c>
      <c r="AB104" s="25" t="str">
        <f aca="false">IF(入力シート!$A108="","",入力シート!P108)</f>
        <v/>
      </c>
      <c r="AC104" s="25" t="str">
        <f aca="false">IF(入力シート!$A108="","",入力シート!U108)</f>
        <v/>
      </c>
      <c r="AD104" s="25" t="str">
        <f aca="false">IF(入力シート!$A108="","",0)</f>
        <v/>
      </c>
      <c r="AE104" s="25" t="str">
        <f aca="false">IF(入力シート!$A108="","",入力シート!I108)</f>
        <v/>
      </c>
      <c r="AF104" s="25" t="str">
        <f aca="false">IF(入力シート!$A108="","",入力シート!M108)</f>
        <v/>
      </c>
      <c r="AG104" s="25" t="str">
        <f aca="false">IF(入力シート!$A108="","",入力シート!N108)</f>
        <v/>
      </c>
      <c r="AH104" s="25" t="str">
        <f aca="false">IF(入力シート!$A108="","","")</f>
        <v/>
      </c>
      <c r="AI104" s="25" t="str">
        <f aca="false">IF(入力シート!$A108="","","")</f>
        <v/>
      </c>
      <c r="AJ104" s="25" t="str">
        <f aca="false">IF(入力シート!$A108="","","")</f>
        <v/>
      </c>
      <c r="AK104" s="25" t="str">
        <f aca="false">IF(入力シート!$A108="","",2)</f>
        <v/>
      </c>
      <c r="AL104" s="25" t="str">
        <f aca="false">IF(入力シート!$A108="","","")</f>
        <v/>
      </c>
      <c r="AM104" s="25" t="str">
        <f aca="false">IF(入力シート!$A108="","","")</f>
        <v/>
      </c>
      <c r="AN104" s="25" t="str">
        <f aca="false">IF(入力シート!$A108="","",入力シート!C108)</f>
        <v/>
      </c>
      <c r="AO104" s="25" t="str">
        <f aca="false">IF(入力シート!$A108="","","")</f>
        <v/>
      </c>
      <c r="AP104" s="25" t="str">
        <f aca="false">IF(入力シート!$A108="","","")</f>
        <v/>
      </c>
      <c r="AQ104" s="25" t="str">
        <f aca="false">IF(入力シート!$A108="","","")</f>
        <v/>
      </c>
    </row>
    <row r="105" customFormat="false" ht="15" hidden="false" customHeight="true" outlineLevel="0" collapsed="false">
      <c r="A105" s="25" t="str">
        <f aca="false">IF(入力シート!$A109="","",1)</f>
        <v/>
      </c>
      <c r="B105" s="25" t="str">
        <f aca="false">IF(入力シート!$A109="","",1)</f>
        <v/>
      </c>
      <c r="C105" s="25" t="str">
        <f aca="false">IF(入力シート!$A109="","",0)</f>
        <v/>
      </c>
      <c r="D105" s="25" t="str">
        <f aca="false">IF(入力シート!$A109="","",TEXT(入力シート!A109,"YYYYMMDD"))</f>
        <v/>
      </c>
      <c r="E105" s="25" t="str">
        <f aca="false">IF(入力シート!$A109="","",TEXT(入力シート!Q109,"00000000"))</f>
        <v/>
      </c>
      <c r="F105" s="25" t="str">
        <f aca="false">IF(入力シート!$A109="","",14)</f>
        <v/>
      </c>
      <c r="G105" s="25" t="str">
        <f aca="false">IF(入力シート!$A109="","",1)</f>
        <v/>
      </c>
      <c r="H105" s="25" t="str">
        <f aca="false">IF(入力シート!$A109="","",1)</f>
        <v/>
      </c>
      <c r="I105" s="25" t="str">
        <f aca="false">IF(入力シート!$A109="","",3)</f>
        <v/>
      </c>
      <c r="J105" s="25" t="str">
        <f aca="false">IF(入力シート!$A109="","",1)</f>
        <v/>
      </c>
      <c r="K105" s="25" t="str">
        <f aca="false">IF(入力シート!$A109="","",入力シート!B109)</f>
        <v/>
      </c>
      <c r="L105" s="25" t="str">
        <f aca="false">IF(入力シート!$A109="","","")</f>
        <v/>
      </c>
      <c r="M105" s="25" t="str">
        <f aca="false">IF(入力シート!$A109="","","")</f>
        <v/>
      </c>
      <c r="N105" s="25" t="str">
        <f aca="false">IF(入力シート!$A109="","",入力シート!R109)</f>
        <v/>
      </c>
      <c r="O105" s="25" t="str">
        <f aca="false">IF(入力シート!$A109="","",IF(入力シート!G109="",1,入力シート!G109))</f>
        <v/>
      </c>
      <c r="P105" s="25" t="str">
        <f aca="false">IF(入力シート!$A109="","",入力シート!D109)</f>
        <v/>
      </c>
      <c r="Q105" s="25" t="str">
        <f aca="false">IF(入力シート!$A109="","","")</f>
        <v/>
      </c>
      <c r="R105" s="25" t="str">
        <f aca="false">IF(入力シート!$A109="","",入力シート!J109)</f>
        <v/>
      </c>
      <c r="S105" s="25" t="str">
        <f aca="false">IF(入力シート!$A109="","",入力シート!L109)</f>
        <v/>
      </c>
      <c r="T105" s="25" t="str">
        <f aca="false">IF(入力シート!$A109="","",入力シート!K109)</f>
        <v/>
      </c>
      <c r="U105" s="25" t="str">
        <f aca="false">IF(入力シート!$A109="","",0)</f>
        <v/>
      </c>
      <c r="V105" s="25" t="str">
        <f aca="false">IF(入力シート!$A109="","",0)</f>
        <v/>
      </c>
      <c r="W105" s="25" t="str">
        <f aca="false">IF(入力シート!$A109="","","0000")</f>
        <v/>
      </c>
      <c r="X105" s="25" t="str">
        <f aca="false">IF(入力シート!$A109="","",入力シート!E109)</f>
        <v/>
      </c>
      <c r="Y105" s="25" t="str">
        <f aca="false">IF(入力シート!$A109="","",入力シート!F109)</f>
        <v/>
      </c>
      <c r="Z105" s="25" t="str">
        <f aca="false">IF(入力シート!$A109="","",入力シート!O109)</f>
        <v/>
      </c>
      <c r="AA105" s="25" t="str">
        <f aca="false">IF(入力シート!$A109="","","")</f>
        <v/>
      </c>
      <c r="AB105" s="25" t="str">
        <f aca="false">IF(入力シート!$A109="","",入力シート!P109)</f>
        <v/>
      </c>
      <c r="AC105" s="25" t="str">
        <f aca="false">IF(入力シート!$A109="","",入力シート!U109)</f>
        <v/>
      </c>
      <c r="AD105" s="25" t="str">
        <f aca="false">IF(入力シート!$A109="","",0)</f>
        <v/>
      </c>
      <c r="AE105" s="25" t="str">
        <f aca="false">IF(入力シート!$A109="","",入力シート!I109)</f>
        <v/>
      </c>
      <c r="AF105" s="25" t="str">
        <f aca="false">IF(入力シート!$A109="","",入力シート!M109)</f>
        <v/>
      </c>
      <c r="AG105" s="25" t="str">
        <f aca="false">IF(入力シート!$A109="","",入力シート!N109)</f>
        <v/>
      </c>
      <c r="AH105" s="25" t="str">
        <f aca="false">IF(入力シート!$A109="","","")</f>
        <v/>
      </c>
      <c r="AI105" s="25" t="str">
        <f aca="false">IF(入力シート!$A109="","","")</f>
        <v/>
      </c>
      <c r="AJ105" s="25" t="str">
        <f aca="false">IF(入力シート!$A109="","","")</f>
        <v/>
      </c>
      <c r="AK105" s="25" t="str">
        <f aca="false">IF(入力シート!$A109="","",2)</f>
        <v/>
      </c>
      <c r="AL105" s="25" t="str">
        <f aca="false">IF(入力シート!$A109="","","")</f>
        <v/>
      </c>
      <c r="AM105" s="25" t="str">
        <f aca="false">IF(入力シート!$A109="","","")</f>
        <v/>
      </c>
      <c r="AN105" s="25" t="str">
        <f aca="false">IF(入力シート!$A109="","",入力シート!C109)</f>
        <v/>
      </c>
      <c r="AO105" s="25" t="str">
        <f aca="false">IF(入力シート!$A109="","","")</f>
        <v/>
      </c>
      <c r="AP105" s="25" t="str">
        <f aca="false">IF(入力シート!$A109="","","")</f>
        <v/>
      </c>
      <c r="AQ105" s="25" t="str">
        <f aca="false">IF(入力シート!$A109="","","")</f>
        <v/>
      </c>
    </row>
    <row r="106" customFormat="false" ht="15" hidden="false" customHeight="true" outlineLevel="0" collapsed="false">
      <c r="A106" s="25" t="str">
        <f aca="false">IF(入力シート!$A110="","",1)</f>
        <v/>
      </c>
      <c r="B106" s="25" t="str">
        <f aca="false">IF(入力シート!$A110="","",1)</f>
        <v/>
      </c>
      <c r="C106" s="25" t="str">
        <f aca="false">IF(入力シート!$A110="","",0)</f>
        <v/>
      </c>
      <c r="D106" s="25" t="str">
        <f aca="false">IF(入力シート!$A110="","",TEXT(入力シート!A110,"YYYYMMDD"))</f>
        <v/>
      </c>
      <c r="E106" s="25" t="str">
        <f aca="false">IF(入力シート!$A110="","",TEXT(入力シート!Q110,"00000000"))</f>
        <v/>
      </c>
      <c r="F106" s="25" t="str">
        <f aca="false">IF(入力シート!$A110="","",14)</f>
        <v/>
      </c>
      <c r="G106" s="25" t="str">
        <f aca="false">IF(入力シート!$A110="","",1)</f>
        <v/>
      </c>
      <c r="H106" s="25" t="str">
        <f aca="false">IF(入力シート!$A110="","",1)</f>
        <v/>
      </c>
      <c r="I106" s="25" t="str">
        <f aca="false">IF(入力シート!$A110="","",3)</f>
        <v/>
      </c>
      <c r="J106" s="25" t="str">
        <f aca="false">IF(入力シート!$A110="","",1)</f>
        <v/>
      </c>
      <c r="K106" s="25" t="str">
        <f aca="false">IF(入力シート!$A110="","",入力シート!B110)</f>
        <v/>
      </c>
      <c r="L106" s="25" t="str">
        <f aca="false">IF(入力シート!$A110="","","")</f>
        <v/>
      </c>
      <c r="M106" s="25" t="str">
        <f aca="false">IF(入力シート!$A110="","","")</f>
        <v/>
      </c>
      <c r="N106" s="25" t="str">
        <f aca="false">IF(入力シート!$A110="","",入力シート!R110)</f>
        <v/>
      </c>
      <c r="O106" s="25" t="str">
        <f aca="false">IF(入力シート!$A110="","",IF(入力シート!G110="",1,入力シート!G110))</f>
        <v/>
      </c>
      <c r="P106" s="25" t="str">
        <f aca="false">IF(入力シート!$A110="","",入力シート!D110)</f>
        <v/>
      </c>
      <c r="Q106" s="25" t="str">
        <f aca="false">IF(入力シート!$A110="","","")</f>
        <v/>
      </c>
      <c r="R106" s="25" t="str">
        <f aca="false">IF(入力シート!$A110="","",入力シート!J110)</f>
        <v/>
      </c>
      <c r="S106" s="25" t="str">
        <f aca="false">IF(入力シート!$A110="","",入力シート!L110)</f>
        <v/>
      </c>
      <c r="T106" s="25" t="str">
        <f aca="false">IF(入力シート!$A110="","",入力シート!K110)</f>
        <v/>
      </c>
      <c r="U106" s="25" t="str">
        <f aca="false">IF(入力シート!$A110="","",0)</f>
        <v/>
      </c>
      <c r="V106" s="25" t="str">
        <f aca="false">IF(入力シート!$A110="","",0)</f>
        <v/>
      </c>
      <c r="W106" s="25" t="str">
        <f aca="false">IF(入力シート!$A110="","","0000")</f>
        <v/>
      </c>
      <c r="X106" s="25" t="str">
        <f aca="false">IF(入力シート!$A110="","",入力シート!E110)</f>
        <v/>
      </c>
      <c r="Y106" s="25" t="str">
        <f aca="false">IF(入力シート!$A110="","",入力シート!F110)</f>
        <v/>
      </c>
      <c r="Z106" s="25" t="str">
        <f aca="false">IF(入力シート!$A110="","",入力シート!O110)</f>
        <v/>
      </c>
      <c r="AA106" s="25" t="str">
        <f aca="false">IF(入力シート!$A110="","","")</f>
        <v/>
      </c>
      <c r="AB106" s="25" t="str">
        <f aca="false">IF(入力シート!$A110="","",入力シート!P110)</f>
        <v/>
      </c>
      <c r="AC106" s="25" t="str">
        <f aca="false">IF(入力シート!$A110="","",入力シート!U110)</f>
        <v/>
      </c>
      <c r="AD106" s="25" t="str">
        <f aca="false">IF(入力シート!$A110="","",0)</f>
        <v/>
      </c>
      <c r="AE106" s="25" t="str">
        <f aca="false">IF(入力シート!$A110="","",入力シート!I110)</f>
        <v/>
      </c>
      <c r="AF106" s="25" t="str">
        <f aca="false">IF(入力シート!$A110="","",入力シート!M110)</f>
        <v/>
      </c>
      <c r="AG106" s="25" t="str">
        <f aca="false">IF(入力シート!$A110="","",入力シート!N110)</f>
        <v/>
      </c>
      <c r="AH106" s="25" t="str">
        <f aca="false">IF(入力シート!$A110="","","")</f>
        <v/>
      </c>
      <c r="AI106" s="25" t="str">
        <f aca="false">IF(入力シート!$A110="","","")</f>
        <v/>
      </c>
      <c r="AJ106" s="25" t="str">
        <f aca="false">IF(入力シート!$A110="","","")</f>
        <v/>
      </c>
      <c r="AK106" s="25" t="str">
        <f aca="false">IF(入力シート!$A110="","",2)</f>
        <v/>
      </c>
      <c r="AL106" s="25" t="str">
        <f aca="false">IF(入力シート!$A110="","","")</f>
        <v/>
      </c>
      <c r="AM106" s="25" t="str">
        <f aca="false">IF(入力シート!$A110="","","")</f>
        <v/>
      </c>
      <c r="AN106" s="25" t="str">
        <f aca="false">IF(入力シート!$A110="","",入力シート!C110)</f>
        <v/>
      </c>
      <c r="AO106" s="25" t="str">
        <f aca="false">IF(入力シート!$A110="","","")</f>
        <v/>
      </c>
      <c r="AP106" s="25" t="str">
        <f aca="false">IF(入力シート!$A110="","","")</f>
        <v/>
      </c>
      <c r="AQ106" s="25" t="str">
        <f aca="false">IF(入力シート!$A110="","","")</f>
        <v/>
      </c>
    </row>
    <row r="107" customFormat="false" ht="15" hidden="false" customHeight="true" outlineLevel="0" collapsed="false">
      <c r="A107" s="25" t="str">
        <f aca="false">IF(入力シート!$A111="","",1)</f>
        <v/>
      </c>
      <c r="B107" s="25" t="str">
        <f aca="false">IF(入力シート!$A111="","",1)</f>
        <v/>
      </c>
      <c r="C107" s="25" t="str">
        <f aca="false">IF(入力シート!$A111="","",0)</f>
        <v/>
      </c>
      <c r="D107" s="25" t="str">
        <f aca="false">IF(入力シート!$A111="","",TEXT(入力シート!A111,"YYYYMMDD"))</f>
        <v/>
      </c>
      <c r="E107" s="25" t="str">
        <f aca="false">IF(入力シート!$A111="","",TEXT(入力シート!Q111,"00000000"))</f>
        <v/>
      </c>
      <c r="F107" s="25" t="str">
        <f aca="false">IF(入力シート!$A111="","",14)</f>
        <v/>
      </c>
      <c r="G107" s="25" t="str">
        <f aca="false">IF(入力シート!$A111="","",1)</f>
        <v/>
      </c>
      <c r="H107" s="25" t="str">
        <f aca="false">IF(入力シート!$A111="","",1)</f>
        <v/>
      </c>
      <c r="I107" s="25" t="str">
        <f aca="false">IF(入力シート!$A111="","",3)</f>
        <v/>
      </c>
      <c r="J107" s="25" t="str">
        <f aca="false">IF(入力シート!$A111="","",1)</f>
        <v/>
      </c>
      <c r="K107" s="25" t="str">
        <f aca="false">IF(入力シート!$A111="","",入力シート!B111)</f>
        <v/>
      </c>
      <c r="L107" s="25" t="str">
        <f aca="false">IF(入力シート!$A111="","","")</f>
        <v/>
      </c>
      <c r="M107" s="25" t="str">
        <f aca="false">IF(入力シート!$A111="","","")</f>
        <v/>
      </c>
      <c r="N107" s="25" t="str">
        <f aca="false">IF(入力シート!$A111="","",入力シート!R111)</f>
        <v/>
      </c>
      <c r="O107" s="25" t="str">
        <f aca="false">IF(入力シート!$A111="","",IF(入力シート!G111="",1,入力シート!G111))</f>
        <v/>
      </c>
      <c r="P107" s="25" t="str">
        <f aca="false">IF(入力シート!$A111="","",入力シート!D111)</f>
        <v/>
      </c>
      <c r="Q107" s="25" t="str">
        <f aca="false">IF(入力シート!$A111="","","")</f>
        <v/>
      </c>
      <c r="R107" s="25" t="str">
        <f aca="false">IF(入力シート!$A111="","",入力シート!J111)</f>
        <v/>
      </c>
      <c r="S107" s="25" t="str">
        <f aca="false">IF(入力シート!$A111="","",入力シート!L111)</f>
        <v/>
      </c>
      <c r="T107" s="25" t="str">
        <f aca="false">IF(入力シート!$A111="","",入力シート!K111)</f>
        <v/>
      </c>
      <c r="U107" s="25" t="str">
        <f aca="false">IF(入力シート!$A111="","",0)</f>
        <v/>
      </c>
      <c r="V107" s="25" t="str">
        <f aca="false">IF(入力シート!$A111="","",0)</f>
        <v/>
      </c>
      <c r="W107" s="25" t="str">
        <f aca="false">IF(入力シート!$A111="","","0000")</f>
        <v/>
      </c>
      <c r="X107" s="25" t="str">
        <f aca="false">IF(入力シート!$A111="","",入力シート!E111)</f>
        <v/>
      </c>
      <c r="Y107" s="25" t="str">
        <f aca="false">IF(入力シート!$A111="","",入力シート!F111)</f>
        <v/>
      </c>
      <c r="Z107" s="25" t="str">
        <f aca="false">IF(入力シート!$A111="","",入力シート!O111)</f>
        <v/>
      </c>
      <c r="AA107" s="25" t="str">
        <f aca="false">IF(入力シート!$A111="","","")</f>
        <v/>
      </c>
      <c r="AB107" s="25" t="str">
        <f aca="false">IF(入力シート!$A111="","",入力シート!P111)</f>
        <v/>
      </c>
      <c r="AC107" s="25" t="str">
        <f aca="false">IF(入力シート!$A111="","",入力シート!U111)</f>
        <v/>
      </c>
      <c r="AD107" s="25" t="str">
        <f aca="false">IF(入力シート!$A111="","",0)</f>
        <v/>
      </c>
      <c r="AE107" s="25" t="str">
        <f aca="false">IF(入力シート!$A111="","",入力シート!I111)</f>
        <v/>
      </c>
      <c r="AF107" s="25" t="str">
        <f aca="false">IF(入力シート!$A111="","",入力シート!M111)</f>
        <v/>
      </c>
      <c r="AG107" s="25" t="str">
        <f aca="false">IF(入力シート!$A111="","",入力シート!N111)</f>
        <v/>
      </c>
      <c r="AH107" s="25" t="str">
        <f aca="false">IF(入力シート!$A111="","","")</f>
        <v/>
      </c>
      <c r="AI107" s="25" t="str">
        <f aca="false">IF(入力シート!$A111="","","")</f>
        <v/>
      </c>
      <c r="AJ107" s="25" t="str">
        <f aca="false">IF(入力シート!$A111="","","")</f>
        <v/>
      </c>
      <c r="AK107" s="25" t="str">
        <f aca="false">IF(入力シート!$A111="","",2)</f>
        <v/>
      </c>
      <c r="AL107" s="25" t="str">
        <f aca="false">IF(入力シート!$A111="","","")</f>
        <v/>
      </c>
      <c r="AM107" s="25" t="str">
        <f aca="false">IF(入力シート!$A111="","","")</f>
        <v/>
      </c>
      <c r="AN107" s="25" t="str">
        <f aca="false">IF(入力シート!$A111="","",入力シート!C111)</f>
        <v/>
      </c>
      <c r="AO107" s="25" t="str">
        <f aca="false">IF(入力シート!$A111="","","")</f>
        <v/>
      </c>
      <c r="AP107" s="25" t="str">
        <f aca="false">IF(入力シート!$A111="","","")</f>
        <v/>
      </c>
      <c r="AQ107" s="25" t="str">
        <f aca="false">IF(入力シート!$A111="","","")</f>
        <v/>
      </c>
    </row>
    <row r="108" customFormat="false" ht="15" hidden="false" customHeight="true" outlineLevel="0" collapsed="false">
      <c r="A108" s="25" t="str">
        <f aca="false">IF(入力シート!$A112="","",1)</f>
        <v/>
      </c>
      <c r="B108" s="25" t="str">
        <f aca="false">IF(入力シート!$A112="","",1)</f>
        <v/>
      </c>
      <c r="C108" s="25" t="str">
        <f aca="false">IF(入力シート!$A112="","",0)</f>
        <v/>
      </c>
      <c r="D108" s="25" t="str">
        <f aca="false">IF(入力シート!$A112="","",TEXT(入力シート!A112,"YYYYMMDD"))</f>
        <v/>
      </c>
      <c r="E108" s="25" t="str">
        <f aca="false">IF(入力シート!$A112="","",TEXT(入力シート!Q112,"00000000"))</f>
        <v/>
      </c>
      <c r="F108" s="25" t="str">
        <f aca="false">IF(入力シート!$A112="","",14)</f>
        <v/>
      </c>
      <c r="G108" s="25" t="str">
        <f aca="false">IF(入力シート!$A112="","",1)</f>
        <v/>
      </c>
      <c r="H108" s="25" t="str">
        <f aca="false">IF(入力シート!$A112="","",1)</f>
        <v/>
      </c>
      <c r="I108" s="25" t="str">
        <f aca="false">IF(入力シート!$A112="","",3)</f>
        <v/>
      </c>
      <c r="J108" s="25" t="str">
        <f aca="false">IF(入力シート!$A112="","",1)</f>
        <v/>
      </c>
      <c r="K108" s="25" t="str">
        <f aca="false">IF(入力シート!$A112="","",入力シート!B112)</f>
        <v/>
      </c>
      <c r="L108" s="25" t="str">
        <f aca="false">IF(入力シート!$A112="","","")</f>
        <v/>
      </c>
      <c r="M108" s="25" t="str">
        <f aca="false">IF(入力シート!$A112="","","")</f>
        <v/>
      </c>
      <c r="N108" s="25" t="str">
        <f aca="false">IF(入力シート!$A112="","",入力シート!R112)</f>
        <v/>
      </c>
      <c r="O108" s="25" t="str">
        <f aca="false">IF(入力シート!$A112="","",IF(入力シート!G112="",1,入力シート!G112))</f>
        <v/>
      </c>
      <c r="P108" s="25" t="str">
        <f aca="false">IF(入力シート!$A112="","",入力シート!D112)</f>
        <v/>
      </c>
      <c r="Q108" s="25" t="str">
        <f aca="false">IF(入力シート!$A112="","","")</f>
        <v/>
      </c>
      <c r="R108" s="25" t="str">
        <f aca="false">IF(入力シート!$A112="","",入力シート!J112)</f>
        <v/>
      </c>
      <c r="S108" s="25" t="str">
        <f aca="false">IF(入力シート!$A112="","",入力シート!L112)</f>
        <v/>
      </c>
      <c r="T108" s="25" t="str">
        <f aca="false">IF(入力シート!$A112="","",入力シート!K112)</f>
        <v/>
      </c>
      <c r="U108" s="25" t="str">
        <f aca="false">IF(入力シート!$A112="","",0)</f>
        <v/>
      </c>
      <c r="V108" s="25" t="str">
        <f aca="false">IF(入力シート!$A112="","",0)</f>
        <v/>
      </c>
      <c r="W108" s="25" t="str">
        <f aca="false">IF(入力シート!$A112="","","0000")</f>
        <v/>
      </c>
      <c r="X108" s="25" t="str">
        <f aca="false">IF(入力シート!$A112="","",入力シート!E112)</f>
        <v/>
      </c>
      <c r="Y108" s="25" t="str">
        <f aca="false">IF(入力シート!$A112="","",入力シート!F112)</f>
        <v/>
      </c>
      <c r="Z108" s="25" t="str">
        <f aca="false">IF(入力シート!$A112="","",入力シート!O112)</f>
        <v/>
      </c>
      <c r="AA108" s="25" t="str">
        <f aca="false">IF(入力シート!$A112="","","")</f>
        <v/>
      </c>
      <c r="AB108" s="25" t="str">
        <f aca="false">IF(入力シート!$A112="","",入力シート!P112)</f>
        <v/>
      </c>
      <c r="AC108" s="25" t="str">
        <f aca="false">IF(入力シート!$A112="","",入力シート!U112)</f>
        <v/>
      </c>
      <c r="AD108" s="25" t="str">
        <f aca="false">IF(入力シート!$A112="","",0)</f>
        <v/>
      </c>
      <c r="AE108" s="25" t="str">
        <f aca="false">IF(入力シート!$A112="","",入力シート!I112)</f>
        <v/>
      </c>
      <c r="AF108" s="25" t="str">
        <f aca="false">IF(入力シート!$A112="","",入力シート!M112)</f>
        <v/>
      </c>
      <c r="AG108" s="25" t="str">
        <f aca="false">IF(入力シート!$A112="","",入力シート!N112)</f>
        <v/>
      </c>
      <c r="AH108" s="25" t="str">
        <f aca="false">IF(入力シート!$A112="","","")</f>
        <v/>
      </c>
      <c r="AI108" s="25" t="str">
        <f aca="false">IF(入力シート!$A112="","","")</f>
        <v/>
      </c>
      <c r="AJ108" s="25" t="str">
        <f aca="false">IF(入力シート!$A112="","","")</f>
        <v/>
      </c>
      <c r="AK108" s="25" t="str">
        <f aca="false">IF(入力シート!$A112="","",2)</f>
        <v/>
      </c>
      <c r="AL108" s="25" t="str">
        <f aca="false">IF(入力シート!$A112="","","")</f>
        <v/>
      </c>
      <c r="AM108" s="25" t="str">
        <f aca="false">IF(入力シート!$A112="","","")</f>
        <v/>
      </c>
      <c r="AN108" s="25" t="str">
        <f aca="false">IF(入力シート!$A112="","",入力シート!C112)</f>
        <v/>
      </c>
      <c r="AO108" s="25" t="str">
        <f aca="false">IF(入力シート!$A112="","","")</f>
        <v/>
      </c>
      <c r="AP108" s="25" t="str">
        <f aca="false">IF(入力シート!$A112="","","")</f>
        <v/>
      </c>
      <c r="AQ108" s="25" t="str">
        <f aca="false">IF(入力シート!$A112="","","")</f>
        <v/>
      </c>
    </row>
    <row r="109" customFormat="false" ht="15" hidden="false" customHeight="true" outlineLevel="0" collapsed="false">
      <c r="A109" s="25" t="str">
        <f aca="false">IF(入力シート!$A113="","",1)</f>
        <v/>
      </c>
      <c r="B109" s="25" t="str">
        <f aca="false">IF(入力シート!$A113="","",1)</f>
        <v/>
      </c>
      <c r="C109" s="25" t="str">
        <f aca="false">IF(入力シート!$A113="","",0)</f>
        <v/>
      </c>
      <c r="D109" s="25" t="str">
        <f aca="false">IF(入力シート!$A113="","",TEXT(入力シート!A113,"YYYYMMDD"))</f>
        <v/>
      </c>
      <c r="E109" s="25" t="str">
        <f aca="false">IF(入力シート!$A113="","",TEXT(入力シート!Q113,"00000000"))</f>
        <v/>
      </c>
      <c r="F109" s="25" t="str">
        <f aca="false">IF(入力シート!$A113="","",14)</f>
        <v/>
      </c>
      <c r="G109" s="25" t="str">
        <f aca="false">IF(入力シート!$A113="","",1)</f>
        <v/>
      </c>
      <c r="H109" s="25" t="str">
        <f aca="false">IF(入力シート!$A113="","",1)</f>
        <v/>
      </c>
      <c r="I109" s="25" t="str">
        <f aca="false">IF(入力シート!$A113="","",3)</f>
        <v/>
      </c>
      <c r="J109" s="25" t="str">
        <f aca="false">IF(入力シート!$A113="","",1)</f>
        <v/>
      </c>
      <c r="K109" s="25" t="str">
        <f aca="false">IF(入力シート!$A113="","",入力シート!B113)</f>
        <v/>
      </c>
      <c r="L109" s="25" t="str">
        <f aca="false">IF(入力シート!$A113="","","")</f>
        <v/>
      </c>
      <c r="M109" s="25" t="str">
        <f aca="false">IF(入力シート!$A113="","","")</f>
        <v/>
      </c>
      <c r="N109" s="25" t="str">
        <f aca="false">IF(入力シート!$A113="","",入力シート!R113)</f>
        <v/>
      </c>
      <c r="O109" s="25" t="str">
        <f aca="false">IF(入力シート!$A113="","",IF(入力シート!G113="",1,入力シート!G113))</f>
        <v/>
      </c>
      <c r="P109" s="25" t="str">
        <f aca="false">IF(入力シート!$A113="","",入力シート!D113)</f>
        <v/>
      </c>
      <c r="Q109" s="25" t="str">
        <f aca="false">IF(入力シート!$A113="","","")</f>
        <v/>
      </c>
      <c r="R109" s="25" t="str">
        <f aca="false">IF(入力シート!$A113="","",入力シート!J113)</f>
        <v/>
      </c>
      <c r="S109" s="25" t="str">
        <f aca="false">IF(入力シート!$A113="","",入力シート!L113)</f>
        <v/>
      </c>
      <c r="T109" s="25" t="str">
        <f aca="false">IF(入力シート!$A113="","",入力シート!K113)</f>
        <v/>
      </c>
      <c r="U109" s="25" t="str">
        <f aca="false">IF(入力シート!$A113="","",0)</f>
        <v/>
      </c>
      <c r="V109" s="25" t="str">
        <f aca="false">IF(入力シート!$A113="","",0)</f>
        <v/>
      </c>
      <c r="W109" s="25" t="str">
        <f aca="false">IF(入力シート!$A113="","","0000")</f>
        <v/>
      </c>
      <c r="X109" s="25" t="str">
        <f aca="false">IF(入力シート!$A113="","",入力シート!E113)</f>
        <v/>
      </c>
      <c r="Y109" s="25" t="str">
        <f aca="false">IF(入力シート!$A113="","",入力シート!F113)</f>
        <v/>
      </c>
      <c r="Z109" s="25" t="str">
        <f aca="false">IF(入力シート!$A113="","",入力シート!O113)</f>
        <v/>
      </c>
      <c r="AA109" s="25" t="str">
        <f aca="false">IF(入力シート!$A113="","","")</f>
        <v/>
      </c>
      <c r="AB109" s="25" t="str">
        <f aca="false">IF(入力シート!$A113="","",入力シート!P113)</f>
        <v/>
      </c>
      <c r="AC109" s="25" t="str">
        <f aca="false">IF(入力シート!$A113="","",入力シート!U113)</f>
        <v/>
      </c>
      <c r="AD109" s="25" t="str">
        <f aca="false">IF(入力シート!$A113="","",0)</f>
        <v/>
      </c>
      <c r="AE109" s="25" t="str">
        <f aca="false">IF(入力シート!$A113="","",入力シート!I113)</f>
        <v/>
      </c>
      <c r="AF109" s="25" t="str">
        <f aca="false">IF(入力シート!$A113="","",入力シート!M113)</f>
        <v/>
      </c>
      <c r="AG109" s="25" t="str">
        <f aca="false">IF(入力シート!$A113="","",入力シート!N113)</f>
        <v/>
      </c>
      <c r="AH109" s="25" t="str">
        <f aca="false">IF(入力シート!$A113="","","")</f>
        <v/>
      </c>
      <c r="AI109" s="25" t="str">
        <f aca="false">IF(入力シート!$A113="","","")</f>
        <v/>
      </c>
      <c r="AJ109" s="25" t="str">
        <f aca="false">IF(入力シート!$A113="","","")</f>
        <v/>
      </c>
      <c r="AK109" s="25" t="str">
        <f aca="false">IF(入力シート!$A113="","",2)</f>
        <v/>
      </c>
      <c r="AL109" s="25" t="str">
        <f aca="false">IF(入力シート!$A113="","","")</f>
        <v/>
      </c>
      <c r="AM109" s="25" t="str">
        <f aca="false">IF(入力シート!$A113="","","")</f>
        <v/>
      </c>
      <c r="AN109" s="25" t="str">
        <f aca="false">IF(入力シート!$A113="","",入力シート!C113)</f>
        <v/>
      </c>
      <c r="AO109" s="25" t="str">
        <f aca="false">IF(入力シート!$A113="","","")</f>
        <v/>
      </c>
      <c r="AP109" s="25" t="str">
        <f aca="false">IF(入力シート!$A113="","","")</f>
        <v/>
      </c>
      <c r="AQ109" s="25" t="str">
        <f aca="false">IF(入力シート!$A113="","","")</f>
        <v/>
      </c>
    </row>
    <row r="110" customFormat="false" ht="15" hidden="false" customHeight="true" outlineLevel="0" collapsed="false">
      <c r="A110" s="25" t="str">
        <f aca="false">IF(入力シート!$A114="","",1)</f>
        <v/>
      </c>
      <c r="B110" s="25" t="str">
        <f aca="false">IF(入力シート!$A114="","",1)</f>
        <v/>
      </c>
      <c r="C110" s="25" t="str">
        <f aca="false">IF(入力シート!$A114="","",0)</f>
        <v/>
      </c>
      <c r="D110" s="25" t="str">
        <f aca="false">IF(入力シート!$A114="","",TEXT(入力シート!A114,"YYYYMMDD"))</f>
        <v/>
      </c>
      <c r="E110" s="25" t="str">
        <f aca="false">IF(入力シート!$A114="","",TEXT(入力シート!Q114,"00000000"))</f>
        <v/>
      </c>
      <c r="F110" s="25" t="str">
        <f aca="false">IF(入力シート!$A114="","",14)</f>
        <v/>
      </c>
      <c r="G110" s="25" t="str">
        <f aca="false">IF(入力シート!$A114="","",1)</f>
        <v/>
      </c>
      <c r="H110" s="25" t="str">
        <f aca="false">IF(入力シート!$A114="","",1)</f>
        <v/>
      </c>
      <c r="I110" s="25" t="str">
        <f aca="false">IF(入力シート!$A114="","",3)</f>
        <v/>
      </c>
      <c r="J110" s="25" t="str">
        <f aca="false">IF(入力シート!$A114="","",1)</f>
        <v/>
      </c>
      <c r="K110" s="25" t="str">
        <f aca="false">IF(入力シート!$A114="","",入力シート!B114)</f>
        <v/>
      </c>
      <c r="L110" s="25" t="str">
        <f aca="false">IF(入力シート!$A114="","","")</f>
        <v/>
      </c>
      <c r="M110" s="25" t="str">
        <f aca="false">IF(入力シート!$A114="","","")</f>
        <v/>
      </c>
      <c r="N110" s="25" t="str">
        <f aca="false">IF(入力シート!$A114="","",入力シート!R114)</f>
        <v/>
      </c>
      <c r="O110" s="25" t="str">
        <f aca="false">IF(入力シート!$A114="","",IF(入力シート!G114="",1,入力シート!G114))</f>
        <v/>
      </c>
      <c r="P110" s="25" t="str">
        <f aca="false">IF(入力シート!$A114="","",入力シート!D114)</f>
        <v/>
      </c>
      <c r="Q110" s="25" t="str">
        <f aca="false">IF(入力シート!$A114="","","")</f>
        <v/>
      </c>
      <c r="R110" s="25" t="str">
        <f aca="false">IF(入力シート!$A114="","",入力シート!J114)</f>
        <v/>
      </c>
      <c r="S110" s="25" t="str">
        <f aca="false">IF(入力シート!$A114="","",入力シート!L114)</f>
        <v/>
      </c>
      <c r="T110" s="25" t="str">
        <f aca="false">IF(入力シート!$A114="","",入力シート!K114)</f>
        <v/>
      </c>
      <c r="U110" s="25" t="str">
        <f aca="false">IF(入力シート!$A114="","",0)</f>
        <v/>
      </c>
      <c r="V110" s="25" t="str">
        <f aca="false">IF(入力シート!$A114="","",0)</f>
        <v/>
      </c>
      <c r="W110" s="25" t="str">
        <f aca="false">IF(入力シート!$A114="","","0000")</f>
        <v/>
      </c>
      <c r="X110" s="25" t="str">
        <f aca="false">IF(入力シート!$A114="","",入力シート!E114)</f>
        <v/>
      </c>
      <c r="Y110" s="25" t="str">
        <f aca="false">IF(入力シート!$A114="","",入力シート!F114)</f>
        <v/>
      </c>
      <c r="Z110" s="25" t="str">
        <f aca="false">IF(入力シート!$A114="","",入力シート!O114)</f>
        <v/>
      </c>
      <c r="AA110" s="25" t="str">
        <f aca="false">IF(入力シート!$A114="","","")</f>
        <v/>
      </c>
      <c r="AB110" s="25" t="str">
        <f aca="false">IF(入力シート!$A114="","",入力シート!P114)</f>
        <v/>
      </c>
      <c r="AC110" s="25" t="str">
        <f aca="false">IF(入力シート!$A114="","",入力シート!U114)</f>
        <v/>
      </c>
      <c r="AD110" s="25" t="str">
        <f aca="false">IF(入力シート!$A114="","",0)</f>
        <v/>
      </c>
      <c r="AE110" s="25" t="str">
        <f aca="false">IF(入力シート!$A114="","",入力シート!I114)</f>
        <v/>
      </c>
      <c r="AF110" s="25" t="str">
        <f aca="false">IF(入力シート!$A114="","",入力シート!M114)</f>
        <v/>
      </c>
      <c r="AG110" s="25" t="str">
        <f aca="false">IF(入力シート!$A114="","",入力シート!N114)</f>
        <v/>
      </c>
      <c r="AH110" s="25" t="str">
        <f aca="false">IF(入力シート!$A114="","","")</f>
        <v/>
      </c>
      <c r="AI110" s="25" t="str">
        <f aca="false">IF(入力シート!$A114="","","")</f>
        <v/>
      </c>
      <c r="AJ110" s="25" t="str">
        <f aca="false">IF(入力シート!$A114="","","")</f>
        <v/>
      </c>
      <c r="AK110" s="25" t="str">
        <f aca="false">IF(入力シート!$A114="","",2)</f>
        <v/>
      </c>
      <c r="AL110" s="25" t="str">
        <f aca="false">IF(入力シート!$A114="","","")</f>
        <v/>
      </c>
      <c r="AM110" s="25" t="str">
        <f aca="false">IF(入力シート!$A114="","","")</f>
        <v/>
      </c>
      <c r="AN110" s="25" t="str">
        <f aca="false">IF(入力シート!$A114="","",入力シート!C114)</f>
        <v/>
      </c>
      <c r="AO110" s="25" t="str">
        <f aca="false">IF(入力シート!$A114="","","")</f>
        <v/>
      </c>
      <c r="AP110" s="25" t="str">
        <f aca="false">IF(入力シート!$A114="","","")</f>
        <v/>
      </c>
      <c r="AQ110" s="25" t="str">
        <f aca="false">IF(入力シート!$A114="","","")</f>
        <v/>
      </c>
    </row>
    <row r="111" customFormat="false" ht="15" hidden="false" customHeight="true" outlineLevel="0" collapsed="false">
      <c r="A111" s="25" t="str">
        <f aca="false">IF(入力シート!$A115="","",1)</f>
        <v/>
      </c>
      <c r="B111" s="25" t="str">
        <f aca="false">IF(入力シート!$A115="","",1)</f>
        <v/>
      </c>
      <c r="C111" s="25" t="str">
        <f aca="false">IF(入力シート!$A115="","",0)</f>
        <v/>
      </c>
      <c r="D111" s="25" t="str">
        <f aca="false">IF(入力シート!$A115="","",TEXT(入力シート!A115,"YYYYMMDD"))</f>
        <v/>
      </c>
      <c r="E111" s="25" t="str">
        <f aca="false">IF(入力シート!$A115="","",TEXT(入力シート!Q115,"00000000"))</f>
        <v/>
      </c>
      <c r="F111" s="25" t="str">
        <f aca="false">IF(入力シート!$A115="","",14)</f>
        <v/>
      </c>
      <c r="G111" s="25" t="str">
        <f aca="false">IF(入力シート!$A115="","",1)</f>
        <v/>
      </c>
      <c r="H111" s="25" t="str">
        <f aca="false">IF(入力シート!$A115="","",1)</f>
        <v/>
      </c>
      <c r="I111" s="25" t="str">
        <f aca="false">IF(入力シート!$A115="","",3)</f>
        <v/>
      </c>
      <c r="J111" s="25" t="str">
        <f aca="false">IF(入力シート!$A115="","",1)</f>
        <v/>
      </c>
      <c r="K111" s="25" t="str">
        <f aca="false">IF(入力シート!$A115="","",入力シート!B115)</f>
        <v/>
      </c>
      <c r="L111" s="25" t="str">
        <f aca="false">IF(入力シート!$A115="","","")</f>
        <v/>
      </c>
      <c r="M111" s="25" t="str">
        <f aca="false">IF(入力シート!$A115="","","")</f>
        <v/>
      </c>
      <c r="N111" s="25" t="str">
        <f aca="false">IF(入力シート!$A115="","",入力シート!R115)</f>
        <v/>
      </c>
      <c r="O111" s="25" t="str">
        <f aca="false">IF(入力シート!$A115="","",IF(入力シート!G115="",1,入力シート!G115))</f>
        <v/>
      </c>
      <c r="P111" s="25" t="str">
        <f aca="false">IF(入力シート!$A115="","",入力シート!D115)</f>
        <v/>
      </c>
      <c r="Q111" s="25" t="str">
        <f aca="false">IF(入力シート!$A115="","","")</f>
        <v/>
      </c>
      <c r="R111" s="25" t="str">
        <f aca="false">IF(入力シート!$A115="","",入力シート!J115)</f>
        <v/>
      </c>
      <c r="S111" s="25" t="str">
        <f aca="false">IF(入力シート!$A115="","",入力シート!L115)</f>
        <v/>
      </c>
      <c r="T111" s="25" t="str">
        <f aca="false">IF(入力シート!$A115="","",入力シート!K115)</f>
        <v/>
      </c>
      <c r="U111" s="25" t="str">
        <f aca="false">IF(入力シート!$A115="","",0)</f>
        <v/>
      </c>
      <c r="V111" s="25" t="str">
        <f aca="false">IF(入力シート!$A115="","",0)</f>
        <v/>
      </c>
      <c r="W111" s="25" t="str">
        <f aca="false">IF(入力シート!$A115="","","0000")</f>
        <v/>
      </c>
      <c r="X111" s="25" t="str">
        <f aca="false">IF(入力シート!$A115="","",入力シート!E115)</f>
        <v/>
      </c>
      <c r="Y111" s="25" t="str">
        <f aca="false">IF(入力シート!$A115="","",入力シート!F115)</f>
        <v/>
      </c>
      <c r="Z111" s="25" t="str">
        <f aca="false">IF(入力シート!$A115="","",入力シート!O115)</f>
        <v/>
      </c>
      <c r="AA111" s="25" t="str">
        <f aca="false">IF(入力シート!$A115="","","")</f>
        <v/>
      </c>
      <c r="AB111" s="25" t="str">
        <f aca="false">IF(入力シート!$A115="","",入力シート!P115)</f>
        <v/>
      </c>
      <c r="AC111" s="25" t="str">
        <f aca="false">IF(入力シート!$A115="","",入力シート!U115)</f>
        <v/>
      </c>
      <c r="AD111" s="25" t="str">
        <f aca="false">IF(入力シート!$A115="","",0)</f>
        <v/>
      </c>
      <c r="AE111" s="25" t="str">
        <f aca="false">IF(入力シート!$A115="","",入力シート!I115)</f>
        <v/>
      </c>
      <c r="AF111" s="25" t="str">
        <f aca="false">IF(入力シート!$A115="","",入力シート!M115)</f>
        <v/>
      </c>
      <c r="AG111" s="25" t="str">
        <f aca="false">IF(入力シート!$A115="","",入力シート!N115)</f>
        <v/>
      </c>
      <c r="AH111" s="25" t="str">
        <f aca="false">IF(入力シート!$A115="","","")</f>
        <v/>
      </c>
      <c r="AI111" s="25" t="str">
        <f aca="false">IF(入力シート!$A115="","","")</f>
        <v/>
      </c>
      <c r="AJ111" s="25" t="str">
        <f aca="false">IF(入力シート!$A115="","","")</f>
        <v/>
      </c>
      <c r="AK111" s="25" t="str">
        <f aca="false">IF(入力シート!$A115="","",2)</f>
        <v/>
      </c>
      <c r="AL111" s="25" t="str">
        <f aca="false">IF(入力シート!$A115="","","")</f>
        <v/>
      </c>
      <c r="AM111" s="25" t="str">
        <f aca="false">IF(入力シート!$A115="","","")</f>
        <v/>
      </c>
      <c r="AN111" s="25" t="str">
        <f aca="false">IF(入力シート!$A115="","",入力シート!C115)</f>
        <v/>
      </c>
      <c r="AO111" s="25" t="str">
        <f aca="false">IF(入力シート!$A115="","","")</f>
        <v/>
      </c>
      <c r="AP111" s="25" t="str">
        <f aca="false">IF(入力シート!$A115="","","")</f>
        <v/>
      </c>
      <c r="AQ111" s="25" t="str">
        <f aca="false">IF(入力シート!$A115="","","")</f>
        <v/>
      </c>
    </row>
    <row r="112" customFormat="false" ht="15" hidden="false" customHeight="true" outlineLevel="0" collapsed="false">
      <c r="A112" s="25" t="str">
        <f aca="false">IF(入力シート!$A116="","",1)</f>
        <v/>
      </c>
      <c r="B112" s="25" t="str">
        <f aca="false">IF(入力シート!$A116="","",1)</f>
        <v/>
      </c>
      <c r="C112" s="25" t="str">
        <f aca="false">IF(入力シート!$A116="","",0)</f>
        <v/>
      </c>
      <c r="D112" s="25" t="str">
        <f aca="false">IF(入力シート!$A116="","",TEXT(入力シート!A116,"YYYYMMDD"))</f>
        <v/>
      </c>
      <c r="E112" s="25" t="str">
        <f aca="false">IF(入力シート!$A116="","",TEXT(入力シート!Q116,"00000000"))</f>
        <v/>
      </c>
      <c r="F112" s="25" t="str">
        <f aca="false">IF(入力シート!$A116="","",14)</f>
        <v/>
      </c>
      <c r="G112" s="25" t="str">
        <f aca="false">IF(入力シート!$A116="","",1)</f>
        <v/>
      </c>
      <c r="H112" s="25" t="str">
        <f aca="false">IF(入力シート!$A116="","",1)</f>
        <v/>
      </c>
      <c r="I112" s="25" t="str">
        <f aca="false">IF(入力シート!$A116="","",3)</f>
        <v/>
      </c>
      <c r="J112" s="25" t="str">
        <f aca="false">IF(入力シート!$A116="","",1)</f>
        <v/>
      </c>
      <c r="K112" s="25" t="str">
        <f aca="false">IF(入力シート!$A116="","",入力シート!B116)</f>
        <v/>
      </c>
      <c r="L112" s="25" t="str">
        <f aca="false">IF(入力シート!$A116="","","")</f>
        <v/>
      </c>
      <c r="M112" s="25" t="str">
        <f aca="false">IF(入力シート!$A116="","","")</f>
        <v/>
      </c>
      <c r="N112" s="25" t="str">
        <f aca="false">IF(入力シート!$A116="","",入力シート!R116)</f>
        <v/>
      </c>
      <c r="O112" s="25" t="str">
        <f aca="false">IF(入力シート!$A116="","",IF(入力シート!G116="",1,入力シート!G116))</f>
        <v/>
      </c>
      <c r="P112" s="25" t="str">
        <f aca="false">IF(入力シート!$A116="","",入力シート!D116)</f>
        <v/>
      </c>
      <c r="Q112" s="25" t="str">
        <f aca="false">IF(入力シート!$A116="","","")</f>
        <v/>
      </c>
      <c r="R112" s="25" t="str">
        <f aca="false">IF(入力シート!$A116="","",入力シート!J116)</f>
        <v/>
      </c>
      <c r="S112" s="25" t="str">
        <f aca="false">IF(入力シート!$A116="","",入力シート!L116)</f>
        <v/>
      </c>
      <c r="T112" s="25" t="str">
        <f aca="false">IF(入力シート!$A116="","",入力シート!K116)</f>
        <v/>
      </c>
      <c r="U112" s="25" t="str">
        <f aca="false">IF(入力シート!$A116="","",0)</f>
        <v/>
      </c>
      <c r="V112" s="25" t="str">
        <f aca="false">IF(入力シート!$A116="","",0)</f>
        <v/>
      </c>
      <c r="W112" s="25" t="str">
        <f aca="false">IF(入力シート!$A116="","","0000")</f>
        <v/>
      </c>
      <c r="X112" s="25" t="str">
        <f aca="false">IF(入力シート!$A116="","",入力シート!E116)</f>
        <v/>
      </c>
      <c r="Y112" s="25" t="str">
        <f aca="false">IF(入力シート!$A116="","",入力シート!F116)</f>
        <v/>
      </c>
      <c r="Z112" s="25" t="str">
        <f aca="false">IF(入力シート!$A116="","",入力シート!O116)</f>
        <v/>
      </c>
      <c r="AA112" s="25" t="str">
        <f aca="false">IF(入力シート!$A116="","","")</f>
        <v/>
      </c>
      <c r="AB112" s="25" t="str">
        <f aca="false">IF(入力シート!$A116="","",入力シート!P116)</f>
        <v/>
      </c>
      <c r="AC112" s="25" t="str">
        <f aca="false">IF(入力シート!$A116="","",入力シート!U116)</f>
        <v/>
      </c>
      <c r="AD112" s="25" t="str">
        <f aca="false">IF(入力シート!$A116="","",0)</f>
        <v/>
      </c>
      <c r="AE112" s="25" t="str">
        <f aca="false">IF(入力シート!$A116="","",入力シート!I116)</f>
        <v/>
      </c>
      <c r="AF112" s="25" t="str">
        <f aca="false">IF(入力シート!$A116="","",入力シート!M116)</f>
        <v/>
      </c>
      <c r="AG112" s="25" t="str">
        <f aca="false">IF(入力シート!$A116="","",入力シート!N116)</f>
        <v/>
      </c>
      <c r="AH112" s="25" t="str">
        <f aca="false">IF(入力シート!$A116="","","")</f>
        <v/>
      </c>
      <c r="AI112" s="25" t="str">
        <f aca="false">IF(入力シート!$A116="","","")</f>
        <v/>
      </c>
      <c r="AJ112" s="25" t="str">
        <f aca="false">IF(入力シート!$A116="","","")</f>
        <v/>
      </c>
      <c r="AK112" s="25" t="str">
        <f aca="false">IF(入力シート!$A116="","",2)</f>
        <v/>
      </c>
      <c r="AL112" s="25" t="str">
        <f aca="false">IF(入力シート!$A116="","","")</f>
        <v/>
      </c>
      <c r="AM112" s="25" t="str">
        <f aca="false">IF(入力シート!$A116="","","")</f>
        <v/>
      </c>
      <c r="AN112" s="25" t="str">
        <f aca="false">IF(入力シート!$A116="","",入力シート!C116)</f>
        <v/>
      </c>
      <c r="AO112" s="25" t="str">
        <f aca="false">IF(入力シート!$A116="","","")</f>
        <v/>
      </c>
      <c r="AP112" s="25" t="str">
        <f aca="false">IF(入力シート!$A116="","","")</f>
        <v/>
      </c>
      <c r="AQ112" s="25" t="str">
        <f aca="false">IF(入力シート!$A116="","","")</f>
        <v/>
      </c>
    </row>
    <row r="113" customFormat="false" ht="15" hidden="false" customHeight="true" outlineLevel="0" collapsed="false">
      <c r="A113" s="25" t="str">
        <f aca="false">IF(入力シート!$A117="","",1)</f>
        <v/>
      </c>
      <c r="B113" s="25" t="str">
        <f aca="false">IF(入力シート!$A117="","",1)</f>
        <v/>
      </c>
      <c r="C113" s="25" t="str">
        <f aca="false">IF(入力シート!$A117="","",0)</f>
        <v/>
      </c>
      <c r="D113" s="25" t="str">
        <f aca="false">IF(入力シート!$A117="","",TEXT(入力シート!A117,"YYYYMMDD"))</f>
        <v/>
      </c>
      <c r="E113" s="25" t="str">
        <f aca="false">IF(入力シート!$A117="","",TEXT(入力シート!Q117,"00000000"))</f>
        <v/>
      </c>
      <c r="F113" s="25" t="str">
        <f aca="false">IF(入力シート!$A117="","",14)</f>
        <v/>
      </c>
      <c r="G113" s="25" t="str">
        <f aca="false">IF(入力シート!$A117="","",1)</f>
        <v/>
      </c>
      <c r="H113" s="25" t="str">
        <f aca="false">IF(入力シート!$A117="","",1)</f>
        <v/>
      </c>
      <c r="I113" s="25" t="str">
        <f aca="false">IF(入力シート!$A117="","",3)</f>
        <v/>
      </c>
      <c r="J113" s="25" t="str">
        <f aca="false">IF(入力シート!$A117="","",1)</f>
        <v/>
      </c>
      <c r="K113" s="25" t="str">
        <f aca="false">IF(入力シート!$A117="","",入力シート!B117)</f>
        <v/>
      </c>
      <c r="L113" s="25" t="str">
        <f aca="false">IF(入力シート!$A117="","","")</f>
        <v/>
      </c>
      <c r="M113" s="25" t="str">
        <f aca="false">IF(入力シート!$A117="","","")</f>
        <v/>
      </c>
      <c r="N113" s="25" t="str">
        <f aca="false">IF(入力シート!$A117="","",入力シート!R117)</f>
        <v/>
      </c>
      <c r="O113" s="25" t="str">
        <f aca="false">IF(入力シート!$A117="","",IF(入力シート!G117="",1,入力シート!G117))</f>
        <v/>
      </c>
      <c r="P113" s="25" t="str">
        <f aca="false">IF(入力シート!$A117="","",入力シート!D117)</f>
        <v/>
      </c>
      <c r="Q113" s="25" t="str">
        <f aca="false">IF(入力シート!$A117="","","")</f>
        <v/>
      </c>
      <c r="R113" s="25" t="str">
        <f aca="false">IF(入力シート!$A117="","",入力シート!J117)</f>
        <v/>
      </c>
      <c r="S113" s="25" t="str">
        <f aca="false">IF(入力シート!$A117="","",入力シート!L117)</f>
        <v/>
      </c>
      <c r="T113" s="25" t="str">
        <f aca="false">IF(入力シート!$A117="","",入力シート!K117)</f>
        <v/>
      </c>
      <c r="U113" s="25" t="str">
        <f aca="false">IF(入力シート!$A117="","",0)</f>
        <v/>
      </c>
      <c r="V113" s="25" t="str">
        <f aca="false">IF(入力シート!$A117="","",0)</f>
        <v/>
      </c>
      <c r="W113" s="25" t="str">
        <f aca="false">IF(入力シート!$A117="","","0000")</f>
        <v/>
      </c>
      <c r="X113" s="25" t="str">
        <f aca="false">IF(入力シート!$A117="","",入力シート!E117)</f>
        <v/>
      </c>
      <c r="Y113" s="25" t="str">
        <f aca="false">IF(入力シート!$A117="","",入力シート!F117)</f>
        <v/>
      </c>
      <c r="Z113" s="25" t="str">
        <f aca="false">IF(入力シート!$A117="","",入力シート!O117)</f>
        <v/>
      </c>
      <c r="AA113" s="25" t="str">
        <f aca="false">IF(入力シート!$A117="","","")</f>
        <v/>
      </c>
      <c r="AB113" s="25" t="str">
        <f aca="false">IF(入力シート!$A117="","",入力シート!P117)</f>
        <v/>
      </c>
      <c r="AC113" s="25" t="str">
        <f aca="false">IF(入力シート!$A117="","",入力シート!U117)</f>
        <v/>
      </c>
      <c r="AD113" s="25" t="str">
        <f aca="false">IF(入力シート!$A117="","",0)</f>
        <v/>
      </c>
      <c r="AE113" s="25" t="str">
        <f aca="false">IF(入力シート!$A117="","",入力シート!I117)</f>
        <v/>
      </c>
      <c r="AF113" s="25" t="str">
        <f aca="false">IF(入力シート!$A117="","",入力シート!M117)</f>
        <v/>
      </c>
      <c r="AG113" s="25" t="str">
        <f aca="false">IF(入力シート!$A117="","",入力シート!N117)</f>
        <v/>
      </c>
      <c r="AH113" s="25" t="str">
        <f aca="false">IF(入力シート!$A117="","","")</f>
        <v/>
      </c>
      <c r="AI113" s="25" t="str">
        <f aca="false">IF(入力シート!$A117="","","")</f>
        <v/>
      </c>
      <c r="AJ113" s="25" t="str">
        <f aca="false">IF(入力シート!$A117="","","")</f>
        <v/>
      </c>
      <c r="AK113" s="25" t="str">
        <f aca="false">IF(入力シート!$A117="","",2)</f>
        <v/>
      </c>
      <c r="AL113" s="25" t="str">
        <f aca="false">IF(入力シート!$A117="","","")</f>
        <v/>
      </c>
      <c r="AM113" s="25" t="str">
        <f aca="false">IF(入力シート!$A117="","","")</f>
        <v/>
      </c>
      <c r="AN113" s="25" t="str">
        <f aca="false">IF(入力シート!$A117="","",入力シート!C117)</f>
        <v/>
      </c>
      <c r="AO113" s="25" t="str">
        <f aca="false">IF(入力シート!$A117="","","")</f>
        <v/>
      </c>
      <c r="AP113" s="25" t="str">
        <f aca="false">IF(入力シート!$A117="","","")</f>
        <v/>
      </c>
      <c r="AQ113" s="25" t="str">
        <f aca="false">IF(入力シート!$A117="","","")</f>
        <v/>
      </c>
    </row>
    <row r="114" customFormat="false" ht="15" hidden="false" customHeight="true" outlineLevel="0" collapsed="false">
      <c r="A114" s="25" t="str">
        <f aca="false">IF(入力シート!$A118="","",1)</f>
        <v/>
      </c>
      <c r="B114" s="25" t="str">
        <f aca="false">IF(入力シート!$A118="","",1)</f>
        <v/>
      </c>
      <c r="C114" s="25" t="str">
        <f aca="false">IF(入力シート!$A118="","",0)</f>
        <v/>
      </c>
      <c r="D114" s="25" t="str">
        <f aca="false">IF(入力シート!$A118="","",TEXT(入力シート!A118,"YYYYMMDD"))</f>
        <v/>
      </c>
      <c r="E114" s="25" t="str">
        <f aca="false">IF(入力シート!$A118="","",TEXT(入力シート!Q118,"00000000"))</f>
        <v/>
      </c>
      <c r="F114" s="25" t="str">
        <f aca="false">IF(入力シート!$A118="","",14)</f>
        <v/>
      </c>
      <c r="G114" s="25" t="str">
        <f aca="false">IF(入力シート!$A118="","",1)</f>
        <v/>
      </c>
      <c r="H114" s="25" t="str">
        <f aca="false">IF(入力シート!$A118="","",1)</f>
        <v/>
      </c>
      <c r="I114" s="25" t="str">
        <f aca="false">IF(入力シート!$A118="","",3)</f>
        <v/>
      </c>
      <c r="J114" s="25" t="str">
        <f aca="false">IF(入力シート!$A118="","",1)</f>
        <v/>
      </c>
      <c r="K114" s="25" t="str">
        <f aca="false">IF(入力シート!$A118="","",入力シート!B118)</f>
        <v/>
      </c>
      <c r="L114" s="25" t="str">
        <f aca="false">IF(入力シート!$A118="","","")</f>
        <v/>
      </c>
      <c r="M114" s="25" t="str">
        <f aca="false">IF(入力シート!$A118="","","")</f>
        <v/>
      </c>
      <c r="N114" s="25" t="str">
        <f aca="false">IF(入力シート!$A118="","",入力シート!R118)</f>
        <v/>
      </c>
      <c r="O114" s="25" t="str">
        <f aca="false">IF(入力シート!$A118="","",IF(入力シート!G118="",1,入力シート!G118))</f>
        <v/>
      </c>
      <c r="P114" s="25" t="str">
        <f aca="false">IF(入力シート!$A118="","",入力シート!D118)</f>
        <v/>
      </c>
      <c r="Q114" s="25" t="str">
        <f aca="false">IF(入力シート!$A118="","","")</f>
        <v/>
      </c>
      <c r="R114" s="25" t="str">
        <f aca="false">IF(入力シート!$A118="","",入力シート!J118)</f>
        <v/>
      </c>
      <c r="S114" s="25" t="str">
        <f aca="false">IF(入力シート!$A118="","",入力シート!L118)</f>
        <v/>
      </c>
      <c r="T114" s="25" t="str">
        <f aca="false">IF(入力シート!$A118="","",入力シート!K118)</f>
        <v/>
      </c>
      <c r="U114" s="25" t="str">
        <f aca="false">IF(入力シート!$A118="","",0)</f>
        <v/>
      </c>
      <c r="V114" s="25" t="str">
        <f aca="false">IF(入力シート!$A118="","",0)</f>
        <v/>
      </c>
      <c r="W114" s="25" t="str">
        <f aca="false">IF(入力シート!$A118="","","0000")</f>
        <v/>
      </c>
      <c r="X114" s="25" t="str">
        <f aca="false">IF(入力シート!$A118="","",入力シート!E118)</f>
        <v/>
      </c>
      <c r="Y114" s="25" t="str">
        <f aca="false">IF(入力シート!$A118="","",入力シート!F118)</f>
        <v/>
      </c>
      <c r="Z114" s="25" t="str">
        <f aca="false">IF(入力シート!$A118="","",入力シート!O118)</f>
        <v/>
      </c>
      <c r="AA114" s="25" t="str">
        <f aca="false">IF(入力シート!$A118="","","")</f>
        <v/>
      </c>
      <c r="AB114" s="25" t="str">
        <f aca="false">IF(入力シート!$A118="","",入力シート!P118)</f>
        <v/>
      </c>
      <c r="AC114" s="25" t="str">
        <f aca="false">IF(入力シート!$A118="","",入力シート!U118)</f>
        <v/>
      </c>
      <c r="AD114" s="25" t="str">
        <f aca="false">IF(入力シート!$A118="","",0)</f>
        <v/>
      </c>
      <c r="AE114" s="25" t="str">
        <f aca="false">IF(入力シート!$A118="","",入力シート!I118)</f>
        <v/>
      </c>
      <c r="AF114" s="25" t="str">
        <f aca="false">IF(入力シート!$A118="","",入力シート!M118)</f>
        <v/>
      </c>
      <c r="AG114" s="25" t="str">
        <f aca="false">IF(入力シート!$A118="","",入力シート!N118)</f>
        <v/>
      </c>
      <c r="AH114" s="25" t="str">
        <f aca="false">IF(入力シート!$A118="","","")</f>
        <v/>
      </c>
      <c r="AI114" s="25" t="str">
        <f aca="false">IF(入力シート!$A118="","","")</f>
        <v/>
      </c>
      <c r="AJ114" s="25" t="str">
        <f aca="false">IF(入力シート!$A118="","","")</f>
        <v/>
      </c>
      <c r="AK114" s="25" t="str">
        <f aca="false">IF(入力シート!$A118="","",2)</f>
        <v/>
      </c>
      <c r="AL114" s="25" t="str">
        <f aca="false">IF(入力シート!$A118="","","")</f>
        <v/>
      </c>
      <c r="AM114" s="25" t="str">
        <f aca="false">IF(入力シート!$A118="","","")</f>
        <v/>
      </c>
      <c r="AN114" s="25" t="str">
        <f aca="false">IF(入力シート!$A118="","",入力シート!C118)</f>
        <v/>
      </c>
      <c r="AO114" s="25" t="str">
        <f aca="false">IF(入力シート!$A118="","","")</f>
        <v/>
      </c>
      <c r="AP114" s="25" t="str">
        <f aca="false">IF(入力シート!$A118="","","")</f>
        <v/>
      </c>
      <c r="AQ114" s="25" t="str">
        <f aca="false">IF(入力シート!$A118="","","")</f>
        <v/>
      </c>
    </row>
    <row r="115" customFormat="false" ht="15" hidden="false" customHeight="true" outlineLevel="0" collapsed="false">
      <c r="A115" s="25" t="str">
        <f aca="false">IF(入力シート!$A119="","",1)</f>
        <v/>
      </c>
      <c r="B115" s="25" t="str">
        <f aca="false">IF(入力シート!$A119="","",1)</f>
        <v/>
      </c>
      <c r="C115" s="25" t="str">
        <f aca="false">IF(入力シート!$A119="","",0)</f>
        <v/>
      </c>
      <c r="D115" s="25" t="str">
        <f aca="false">IF(入力シート!$A119="","",TEXT(入力シート!A119,"YYYYMMDD"))</f>
        <v/>
      </c>
      <c r="E115" s="25" t="str">
        <f aca="false">IF(入力シート!$A119="","",TEXT(入力シート!Q119,"00000000"))</f>
        <v/>
      </c>
      <c r="F115" s="25" t="str">
        <f aca="false">IF(入力シート!$A119="","",14)</f>
        <v/>
      </c>
      <c r="G115" s="25" t="str">
        <f aca="false">IF(入力シート!$A119="","",1)</f>
        <v/>
      </c>
      <c r="H115" s="25" t="str">
        <f aca="false">IF(入力シート!$A119="","",1)</f>
        <v/>
      </c>
      <c r="I115" s="25" t="str">
        <f aca="false">IF(入力シート!$A119="","",3)</f>
        <v/>
      </c>
      <c r="J115" s="25" t="str">
        <f aca="false">IF(入力シート!$A119="","",1)</f>
        <v/>
      </c>
      <c r="K115" s="25" t="str">
        <f aca="false">IF(入力シート!$A119="","",入力シート!B119)</f>
        <v/>
      </c>
      <c r="L115" s="25" t="str">
        <f aca="false">IF(入力シート!$A119="","","")</f>
        <v/>
      </c>
      <c r="M115" s="25" t="str">
        <f aca="false">IF(入力シート!$A119="","","")</f>
        <v/>
      </c>
      <c r="N115" s="25" t="str">
        <f aca="false">IF(入力シート!$A119="","",入力シート!R119)</f>
        <v/>
      </c>
      <c r="O115" s="25" t="str">
        <f aca="false">IF(入力シート!$A119="","",IF(入力シート!G119="",1,入力シート!G119))</f>
        <v/>
      </c>
      <c r="P115" s="25" t="str">
        <f aca="false">IF(入力シート!$A119="","",入力シート!D119)</f>
        <v/>
      </c>
      <c r="Q115" s="25" t="str">
        <f aca="false">IF(入力シート!$A119="","","")</f>
        <v/>
      </c>
      <c r="R115" s="25" t="str">
        <f aca="false">IF(入力シート!$A119="","",入力シート!J119)</f>
        <v/>
      </c>
      <c r="S115" s="25" t="str">
        <f aca="false">IF(入力シート!$A119="","",入力シート!L119)</f>
        <v/>
      </c>
      <c r="T115" s="25" t="str">
        <f aca="false">IF(入力シート!$A119="","",入力シート!K119)</f>
        <v/>
      </c>
      <c r="U115" s="25" t="str">
        <f aca="false">IF(入力シート!$A119="","",0)</f>
        <v/>
      </c>
      <c r="V115" s="25" t="str">
        <f aca="false">IF(入力シート!$A119="","",0)</f>
        <v/>
      </c>
      <c r="W115" s="25" t="str">
        <f aca="false">IF(入力シート!$A119="","","0000")</f>
        <v/>
      </c>
      <c r="X115" s="25" t="str">
        <f aca="false">IF(入力シート!$A119="","",入力シート!E119)</f>
        <v/>
      </c>
      <c r="Y115" s="25" t="str">
        <f aca="false">IF(入力シート!$A119="","",入力シート!F119)</f>
        <v/>
      </c>
      <c r="Z115" s="25" t="str">
        <f aca="false">IF(入力シート!$A119="","",入力シート!O119)</f>
        <v/>
      </c>
      <c r="AA115" s="25" t="str">
        <f aca="false">IF(入力シート!$A119="","","")</f>
        <v/>
      </c>
      <c r="AB115" s="25" t="str">
        <f aca="false">IF(入力シート!$A119="","",入力シート!P119)</f>
        <v/>
      </c>
      <c r="AC115" s="25" t="str">
        <f aca="false">IF(入力シート!$A119="","",入力シート!U119)</f>
        <v/>
      </c>
      <c r="AD115" s="25" t="str">
        <f aca="false">IF(入力シート!$A119="","",0)</f>
        <v/>
      </c>
      <c r="AE115" s="25" t="str">
        <f aca="false">IF(入力シート!$A119="","",入力シート!I119)</f>
        <v/>
      </c>
      <c r="AF115" s="25" t="str">
        <f aca="false">IF(入力シート!$A119="","",入力シート!M119)</f>
        <v/>
      </c>
      <c r="AG115" s="25" t="str">
        <f aca="false">IF(入力シート!$A119="","",入力シート!N119)</f>
        <v/>
      </c>
      <c r="AH115" s="25" t="str">
        <f aca="false">IF(入力シート!$A119="","","")</f>
        <v/>
      </c>
      <c r="AI115" s="25" t="str">
        <f aca="false">IF(入力シート!$A119="","","")</f>
        <v/>
      </c>
      <c r="AJ115" s="25" t="str">
        <f aca="false">IF(入力シート!$A119="","","")</f>
        <v/>
      </c>
      <c r="AK115" s="25" t="str">
        <f aca="false">IF(入力シート!$A119="","",2)</f>
        <v/>
      </c>
      <c r="AL115" s="25" t="str">
        <f aca="false">IF(入力シート!$A119="","","")</f>
        <v/>
      </c>
      <c r="AM115" s="25" t="str">
        <f aca="false">IF(入力シート!$A119="","","")</f>
        <v/>
      </c>
      <c r="AN115" s="25" t="str">
        <f aca="false">IF(入力シート!$A119="","",入力シート!C119)</f>
        <v/>
      </c>
      <c r="AO115" s="25" t="str">
        <f aca="false">IF(入力シート!$A119="","","")</f>
        <v/>
      </c>
      <c r="AP115" s="25" t="str">
        <f aca="false">IF(入力シート!$A119="","","")</f>
        <v/>
      </c>
      <c r="AQ115" s="25" t="str">
        <f aca="false">IF(入力シート!$A119="","","")</f>
        <v/>
      </c>
    </row>
    <row r="116" customFormat="false" ht="15" hidden="false" customHeight="true" outlineLevel="0" collapsed="false">
      <c r="A116" s="25" t="str">
        <f aca="false">IF(入力シート!$A120="","",1)</f>
        <v/>
      </c>
      <c r="B116" s="25" t="str">
        <f aca="false">IF(入力シート!$A120="","",1)</f>
        <v/>
      </c>
      <c r="C116" s="25" t="str">
        <f aca="false">IF(入力シート!$A120="","",0)</f>
        <v/>
      </c>
      <c r="D116" s="25" t="str">
        <f aca="false">IF(入力シート!$A120="","",TEXT(入力シート!A120,"YYYYMMDD"))</f>
        <v/>
      </c>
      <c r="E116" s="25" t="str">
        <f aca="false">IF(入力シート!$A120="","",TEXT(入力シート!Q120,"00000000"))</f>
        <v/>
      </c>
      <c r="F116" s="25" t="str">
        <f aca="false">IF(入力シート!$A120="","",14)</f>
        <v/>
      </c>
      <c r="G116" s="25" t="str">
        <f aca="false">IF(入力シート!$A120="","",1)</f>
        <v/>
      </c>
      <c r="H116" s="25" t="str">
        <f aca="false">IF(入力シート!$A120="","",1)</f>
        <v/>
      </c>
      <c r="I116" s="25" t="str">
        <f aca="false">IF(入力シート!$A120="","",3)</f>
        <v/>
      </c>
      <c r="J116" s="25" t="str">
        <f aca="false">IF(入力シート!$A120="","",1)</f>
        <v/>
      </c>
      <c r="K116" s="25" t="str">
        <f aca="false">IF(入力シート!$A120="","",入力シート!B120)</f>
        <v/>
      </c>
      <c r="L116" s="25" t="str">
        <f aca="false">IF(入力シート!$A120="","","")</f>
        <v/>
      </c>
      <c r="M116" s="25" t="str">
        <f aca="false">IF(入力シート!$A120="","","")</f>
        <v/>
      </c>
      <c r="N116" s="25" t="str">
        <f aca="false">IF(入力シート!$A120="","",入力シート!R120)</f>
        <v/>
      </c>
      <c r="O116" s="25" t="str">
        <f aca="false">IF(入力シート!$A120="","",IF(入力シート!G120="",1,入力シート!G120))</f>
        <v/>
      </c>
      <c r="P116" s="25" t="str">
        <f aca="false">IF(入力シート!$A120="","",入力シート!D120)</f>
        <v/>
      </c>
      <c r="Q116" s="25" t="str">
        <f aca="false">IF(入力シート!$A120="","","")</f>
        <v/>
      </c>
      <c r="R116" s="25" t="str">
        <f aca="false">IF(入力シート!$A120="","",入力シート!J120)</f>
        <v/>
      </c>
      <c r="S116" s="25" t="str">
        <f aca="false">IF(入力シート!$A120="","",入力シート!L120)</f>
        <v/>
      </c>
      <c r="T116" s="25" t="str">
        <f aca="false">IF(入力シート!$A120="","",入力シート!K120)</f>
        <v/>
      </c>
      <c r="U116" s="25" t="str">
        <f aca="false">IF(入力シート!$A120="","",0)</f>
        <v/>
      </c>
      <c r="V116" s="25" t="str">
        <f aca="false">IF(入力シート!$A120="","",0)</f>
        <v/>
      </c>
      <c r="W116" s="25" t="str">
        <f aca="false">IF(入力シート!$A120="","","0000")</f>
        <v/>
      </c>
      <c r="X116" s="25" t="str">
        <f aca="false">IF(入力シート!$A120="","",入力シート!E120)</f>
        <v/>
      </c>
      <c r="Y116" s="25" t="str">
        <f aca="false">IF(入力シート!$A120="","",入力シート!F120)</f>
        <v/>
      </c>
      <c r="Z116" s="25" t="str">
        <f aca="false">IF(入力シート!$A120="","",入力シート!O120)</f>
        <v/>
      </c>
      <c r="AA116" s="25" t="str">
        <f aca="false">IF(入力シート!$A120="","","")</f>
        <v/>
      </c>
      <c r="AB116" s="25" t="str">
        <f aca="false">IF(入力シート!$A120="","",入力シート!P120)</f>
        <v/>
      </c>
      <c r="AC116" s="25" t="str">
        <f aca="false">IF(入力シート!$A120="","",入力シート!U120)</f>
        <v/>
      </c>
      <c r="AD116" s="25" t="str">
        <f aca="false">IF(入力シート!$A120="","",0)</f>
        <v/>
      </c>
      <c r="AE116" s="25" t="str">
        <f aca="false">IF(入力シート!$A120="","",入力シート!I120)</f>
        <v/>
      </c>
      <c r="AF116" s="25" t="str">
        <f aca="false">IF(入力シート!$A120="","",入力シート!M120)</f>
        <v/>
      </c>
      <c r="AG116" s="25" t="str">
        <f aca="false">IF(入力シート!$A120="","",入力シート!N120)</f>
        <v/>
      </c>
      <c r="AH116" s="25" t="str">
        <f aca="false">IF(入力シート!$A120="","","")</f>
        <v/>
      </c>
      <c r="AI116" s="25" t="str">
        <f aca="false">IF(入力シート!$A120="","","")</f>
        <v/>
      </c>
      <c r="AJ116" s="25" t="str">
        <f aca="false">IF(入力シート!$A120="","","")</f>
        <v/>
      </c>
      <c r="AK116" s="25" t="str">
        <f aca="false">IF(入力シート!$A120="","",2)</f>
        <v/>
      </c>
      <c r="AL116" s="25" t="str">
        <f aca="false">IF(入力シート!$A120="","","")</f>
        <v/>
      </c>
      <c r="AM116" s="25" t="str">
        <f aca="false">IF(入力シート!$A120="","","")</f>
        <v/>
      </c>
      <c r="AN116" s="25" t="str">
        <f aca="false">IF(入力シート!$A120="","",入力シート!C120)</f>
        <v/>
      </c>
      <c r="AO116" s="25" t="str">
        <f aca="false">IF(入力シート!$A120="","","")</f>
        <v/>
      </c>
      <c r="AP116" s="25" t="str">
        <f aca="false">IF(入力シート!$A120="","","")</f>
        <v/>
      </c>
      <c r="AQ116" s="25" t="str">
        <f aca="false">IF(入力シート!$A120="","","")</f>
        <v/>
      </c>
    </row>
    <row r="117" customFormat="false" ht="15" hidden="false" customHeight="true" outlineLevel="0" collapsed="false">
      <c r="A117" s="25" t="str">
        <f aca="false">IF(入力シート!$A121="","",1)</f>
        <v/>
      </c>
      <c r="B117" s="25" t="str">
        <f aca="false">IF(入力シート!$A121="","",1)</f>
        <v/>
      </c>
      <c r="C117" s="25" t="str">
        <f aca="false">IF(入力シート!$A121="","",0)</f>
        <v/>
      </c>
      <c r="D117" s="25" t="str">
        <f aca="false">IF(入力シート!$A121="","",TEXT(入力シート!A121,"YYYYMMDD"))</f>
        <v/>
      </c>
      <c r="E117" s="25" t="str">
        <f aca="false">IF(入力シート!$A121="","",TEXT(入力シート!Q121,"00000000"))</f>
        <v/>
      </c>
      <c r="F117" s="25" t="str">
        <f aca="false">IF(入力シート!$A121="","",14)</f>
        <v/>
      </c>
      <c r="G117" s="25" t="str">
        <f aca="false">IF(入力シート!$A121="","",1)</f>
        <v/>
      </c>
      <c r="H117" s="25" t="str">
        <f aca="false">IF(入力シート!$A121="","",1)</f>
        <v/>
      </c>
      <c r="I117" s="25" t="str">
        <f aca="false">IF(入力シート!$A121="","",3)</f>
        <v/>
      </c>
      <c r="J117" s="25" t="str">
        <f aca="false">IF(入力シート!$A121="","",1)</f>
        <v/>
      </c>
      <c r="K117" s="25" t="str">
        <f aca="false">IF(入力シート!$A121="","",入力シート!B121)</f>
        <v/>
      </c>
      <c r="L117" s="25" t="str">
        <f aca="false">IF(入力シート!$A121="","","")</f>
        <v/>
      </c>
      <c r="M117" s="25" t="str">
        <f aca="false">IF(入力シート!$A121="","","")</f>
        <v/>
      </c>
      <c r="N117" s="25" t="str">
        <f aca="false">IF(入力シート!$A121="","",入力シート!R121)</f>
        <v/>
      </c>
      <c r="O117" s="25" t="str">
        <f aca="false">IF(入力シート!$A121="","",IF(入力シート!G121="",1,入力シート!G121))</f>
        <v/>
      </c>
      <c r="P117" s="25" t="str">
        <f aca="false">IF(入力シート!$A121="","",入力シート!D121)</f>
        <v/>
      </c>
      <c r="Q117" s="25" t="str">
        <f aca="false">IF(入力シート!$A121="","","")</f>
        <v/>
      </c>
      <c r="R117" s="25" t="str">
        <f aca="false">IF(入力シート!$A121="","",入力シート!J121)</f>
        <v/>
      </c>
      <c r="S117" s="25" t="str">
        <f aca="false">IF(入力シート!$A121="","",入力シート!L121)</f>
        <v/>
      </c>
      <c r="T117" s="25" t="str">
        <f aca="false">IF(入力シート!$A121="","",入力シート!K121)</f>
        <v/>
      </c>
      <c r="U117" s="25" t="str">
        <f aca="false">IF(入力シート!$A121="","",0)</f>
        <v/>
      </c>
      <c r="V117" s="25" t="str">
        <f aca="false">IF(入力シート!$A121="","",0)</f>
        <v/>
      </c>
      <c r="W117" s="25" t="str">
        <f aca="false">IF(入力シート!$A121="","","0000")</f>
        <v/>
      </c>
      <c r="X117" s="25" t="str">
        <f aca="false">IF(入力シート!$A121="","",入力シート!E121)</f>
        <v/>
      </c>
      <c r="Y117" s="25" t="str">
        <f aca="false">IF(入力シート!$A121="","",入力シート!F121)</f>
        <v/>
      </c>
      <c r="Z117" s="25" t="str">
        <f aca="false">IF(入力シート!$A121="","",入力シート!O121)</f>
        <v/>
      </c>
      <c r="AA117" s="25" t="str">
        <f aca="false">IF(入力シート!$A121="","","")</f>
        <v/>
      </c>
      <c r="AB117" s="25" t="str">
        <f aca="false">IF(入力シート!$A121="","",入力シート!P121)</f>
        <v/>
      </c>
      <c r="AC117" s="25" t="str">
        <f aca="false">IF(入力シート!$A121="","",入力シート!U121)</f>
        <v/>
      </c>
      <c r="AD117" s="25" t="str">
        <f aca="false">IF(入力シート!$A121="","",0)</f>
        <v/>
      </c>
      <c r="AE117" s="25" t="str">
        <f aca="false">IF(入力シート!$A121="","",入力シート!I121)</f>
        <v/>
      </c>
      <c r="AF117" s="25" t="str">
        <f aca="false">IF(入力シート!$A121="","",入力シート!M121)</f>
        <v/>
      </c>
      <c r="AG117" s="25" t="str">
        <f aca="false">IF(入力シート!$A121="","",入力シート!N121)</f>
        <v/>
      </c>
      <c r="AH117" s="25" t="str">
        <f aca="false">IF(入力シート!$A121="","","")</f>
        <v/>
      </c>
      <c r="AI117" s="25" t="str">
        <f aca="false">IF(入力シート!$A121="","","")</f>
        <v/>
      </c>
      <c r="AJ117" s="25" t="str">
        <f aca="false">IF(入力シート!$A121="","","")</f>
        <v/>
      </c>
      <c r="AK117" s="25" t="str">
        <f aca="false">IF(入力シート!$A121="","",2)</f>
        <v/>
      </c>
      <c r="AL117" s="25" t="str">
        <f aca="false">IF(入力シート!$A121="","","")</f>
        <v/>
      </c>
      <c r="AM117" s="25" t="str">
        <f aca="false">IF(入力シート!$A121="","","")</f>
        <v/>
      </c>
      <c r="AN117" s="25" t="str">
        <f aca="false">IF(入力シート!$A121="","",入力シート!C121)</f>
        <v/>
      </c>
      <c r="AO117" s="25" t="str">
        <f aca="false">IF(入力シート!$A121="","","")</f>
        <v/>
      </c>
      <c r="AP117" s="25" t="str">
        <f aca="false">IF(入力シート!$A121="","","")</f>
        <v/>
      </c>
      <c r="AQ117" s="25" t="str">
        <f aca="false">IF(入力シート!$A121="","","")</f>
        <v/>
      </c>
    </row>
    <row r="118" customFormat="false" ht="15" hidden="false" customHeight="true" outlineLevel="0" collapsed="false">
      <c r="A118" s="25" t="str">
        <f aca="false">IF(入力シート!$A122="","",1)</f>
        <v/>
      </c>
      <c r="B118" s="25" t="str">
        <f aca="false">IF(入力シート!$A122="","",1)</f>
        <v/>
      </c>
      <c r="C118" s="25" t="str">
        <f aca="false">IF(入力シート!$A122="","",0)</f>
        <v/>
      </c>
      <c r="D118" s="25" t="str">
        <f aca="false">IF(入力シート!$A122="","",TEXT(入力シート!A122,"YYYYMMDD"))</f>
        <v/>
      </c>
      <c r="E118" s="25" t="str">
        <f aca="false">IF(入力シート!$A122="","",TEXT(入力シート!Q122,"00000000"))</f>
        <v/>
      </c>
      <c r="F118" s="25" t="str">
        <f aca="false">IF(入力シート!$A122="","",14)</f>
        <v/>
      </c>
      <c r="G118" s="25" t="str">
        <f aca="false">IF(入力シート!$A122="","",1)</f>
        <v/>
      </c>
      <c r="H118" s="25" t="str">
        <f aca="false">IF(入力シート!$A122="","",1)</f>
        <v/>
      </c>
      <c r="I118" s="25" t="str">
        <f aca="false">IF(入力シート!$A122="","",3)</f>
        <v/>
      </c>
      <c r="J118" s="25" t="str">
        <f aca="false">IF(入力シート!$A122="","",1)</f>
        <v/>
      </c>
      <c r="K118" s="25" t="str">
        <f aca="false">IF(入力シート!$A122="","",入力シート!B122)</f>
        <v/>
      </c>
      <c r="L118" s="25" t="str">
        <f aca="false">IF(入力シート!$A122="","","")</f>
        <v/>
      </c>
      <c r="M118" s="25" t="str">
        <f aca="false">IF(入力シート!$A122="","","")</f>
        <v/>
      </c>
      <c r="N118" s="25" t="str">
        <f aca="false">IF(入力シート!$A122="","",入力シート!R122)</f>
        <v/>
      </c>
      <c r="O118" s="25" t="str">
        <f aca="false">IF(入力シート!$A122="","",IF(入力シート!G122="",1,入力シート!G122))</f>
        <v/>
      </c>
      <c r="P118" s="25" t="str">
        <f aca="false">IF(入力シート!$A122="","",入力シート!D122)</f>
        <v/>
      </c>
      <c r="Q118" s="25" t="str">
        <f aca="false">IF(入力シート!$A122="","","")</f>
        <v/>
      </c>
      <c r="R118" s="25" t="str">
        <f aca="false">IF(入力シート!$A122="","",入力シート!J122)</f>
        <v/>
      </c>
      <c r="S118" s="25" t="str">
        <f aca="false">IF(入力シート!$A122="","",入力シート!L122)</f>
        <v/>
      </c>
      <c r="T118" s="25" t="str">
        <f aca="false">IF(入力シート!$A122="","",入力シート!K122)</f>
        <v/>
      </c>
      <c r="U118" s="25" t="str">
        <f aca="false">IF(入力シート!$A122="","",0)</f>
        <v/>
      </c>
      <c r="V118" s="25" t="str">
        <f aca="false">IF(入力シート!$A122="","",0)</f>
        <v/>
      </c>
      <c r="W118" s="25" t="str">
        <f aca="false">IF(入力シート!$A122="","","0000")</f>
        <v/>
      </c>
      <c r="X118" s="25" t="str">
        <f aca="false">IF(入力シート!$A122="","",入力シート!E122)</f>
        <v/>
      </c>
      <c r="Y118" s="25" t="str">
        <f aca="false">IF(入力シート!$A122="","",入力シート!F122)</f>
        <v/>
      </c>
      <c r="Z118" s="25" t="str">
        <f aca="false">IF(入力シート!$A122="","",入力シート!O122)</f>
        <v/>
      </c>
      <c r="AA118" s="25" t="str">
        <f aca="false">IF(入力シート!$A122="","","")</f>
        <v/>
      </c>
      <c r="AB118" s="25" t="str">
        <f aca="false">IF(入力シート!$A122="","",入力シート!P122)</f>
        <v/>
      </c>
      <c r="AC118" s="25" t="str">
        <f aca="false">IF(入力シート!$A122="","",入力シート!U122)</f>
        <v/>
      </c>
      <c r="AD118" s="25" t="str">
        <f aca="false">IF(入力シート!$A122="","",0)</f>
        <v/>
      </c>
      <c r="AE118" s="25" t="str">
        <f aca="false">IF(入力シート!$A122="","",入力シート!I122)</f>
        <v/>
      </c>
      <c r="AF118" s="25" t="str">
        <f aca="false">IF(入力シート!$A122="","",入力シート!M122)</f>
        <v/>
      </c>
      <c r="AG118" s="25" t="str">
        <f aca="false">IF(入力シート!$A122="","",入力シート!N122)</f>
        <v/>
      </c>
      <c r="AH118" s="25" t="str">
        <f aca="false">IF(入力シート!$A122="","","")</f>
        <v/>
      </c>
      <c r="AI118" s="25" t="str">
        <f aca="false">IF(入力シート!$A122="","","")</f>
        <v/>
      </c>
      <c r="AJ118" s="25" t="str">
        <f aca="false">IF(入力シート!$A122="","","")</f>
        <v/>
      </c>
      <c r="AK118" s="25" t="str">
        <f aca="false">IF(入力シート!$A122="","",2)</f>
        <v/>
      </c>
      <c r="AL118" s="25" t="str">
        <f aca="false">IF(入力シート!$A122="","","")</f>
        <v/>
      </c>
      <c r="AM118" s="25" t="str">
        <f aca="false">IF(入力シート!$A122="","","")</f>
        <v/>
      </c>
      <c r="AN118" s="25" t="str">
        <f aca="false">IF(入力シート!$A122="","",入力シート!C122)</f>
        <v/>
      </c>
      <c r="AO118" s="25" t="str">
        <f aca="false">IF(入力シート!$A122="","","")</f>
        <v/>
      </c>
      <c r="AP118" s="25" t="str">
        <f aca="false">IF(入力シート!$A122="","","")</f>
        <v/>
      </c>
      <c r="AQ118" s="25" t="str">
        <f aca="false">IF(入力シート!$A122="","","")</f>
        <v/>
      </c>
    </row>
    <row r="119" customFormat="false" ht="15" hidden="false" customHeight="true" outlineLevel="0" collapsed="false">
      <c r="A119" s="25" t="str">
        <f aca="false">IF(入力シート!$A123="","",1)</f>
        <v/>
      </c>
      <c r="B119" s="25" t="str">
        <f aca="false">IF(入力シート!$A123="","",1)</f>
        <v/>
      </c>
      <c r="C119" s="25" t="str">
        <f aca="false">IF(入力シート!$A123="","",0)</f>
        <v/>
      </c>
      <c r="D119" s="25" t="str">
        <f aca="false">IF(入力シート!$A123="","",TEXT(入力シート!A123,"YYYYMMDD"))</f>
        <v/>
      </c>
      <c r="E119" s="25" t="str">
        <f aca="false">IF(入力シート!$A123="","",TEXT(入力シート!Q123,"00000000"))</f>
        <v/>
      </c>
      <c r="F119" s="25" t="str">
        <f aca="false">IF(入力シート!$A123="","",14)</f>
        <v/>
      </c>
      <c r="G119" s="25" t="str">
        <f aca="false">IF(入力シート!$A123="","",1)</f>
        <v/>
      </c>
      <c r="H119" s="25" t="str">
        <f aca="false">IF(入力シート!$A123="","",1)</f>
        <v/>
      </c>
      <c r="I119" s="25" t="str">
        <f aca="false">IF(入力シート!$A123="","",3)</f>
        <v/>
      </c>
      <c r="J119" s="25" t="str">
        <f aca="false">IF(入力シート!$A123="","",1)</f>
        <v/>
      </c>
      <c r="K119" s="25" t="str">
        <f aca="false">IF(入力シート!$A123="","",入力シート!B123)</f>
        <v/>
      </c>
      <c r="L119" s="25" t="str">
        <f aca="false">IF(入力シート!$A123="","","")</f>
        <v/>
      </c>
      <c r="M119" s="25" t="str">
        <f aca="false">IF(入力シート!$A123="","","")</f>
        <v/>
      </c>
      <c r="N119" s="25" t="str">
        <f aca="false">IF(入力シート!$A123="","",入力シート!R123)</f>
        <v/>
      </c>
      <c r="O119" s="25" t="str">
        <f aca="false">IF(入力シート!$A123="","",IF(入力シート!G123="",1,入力シート!G123))</f>
        <v/>
      </c>
      <c r="P119" s="25" t="str">
        <f aca="false">IF(入力シート!$A123="","",入力シート!D123)</f>
        <v/>
      </c>
      <c r="Q119" s="25" t="str">
        <f aca="false">IF(入力シート!$A123="","","")</f>
        <v/>
      </c>
      <c r="R119" s="25" t="str">
        <f aca="false">IF(入力シート!$A123="","",入力シート!J123)</f>
        <v/>
      </c>
      <c r="S119" s="25" t="str">
        <f aca="false">IF(入力シート!$A123="","",入力シート!L123)</f>
        <v/>
      </c>
      <c r="T119" s="25" t="str">
        <f aca="false">IF(入力シート!$A123="","",入力シート!K123)</f>
        <v/>
      </c>
      <c r="U119" s="25" t="str">
        <f aca="false">IF(入力シート!$A123="","",0)</f>
        <v/>
      </c>
      <c r="V119" s="25" t="str">
        <f aca="false">IF(入力シート!$A123="","",0)</f>
        <v/>
      </c>
      <c r="W119" s="25" t="str">
        <f aca="false">IF(入力シート!$A123="","","0000")</f>
        <v/>
      </c>
      <c r="X119" s="25" t="str">
        <f aca="false">IF(入力シート!$A123="","",入力シート!E123)</f>
        <v/>
      </c>
      <c r="Y119" s="25" t="str">
        <f aca="false">IF(入力シート!$A123="","",入力シート!F123)</f>
        <v/>
      </c>
      <c r="Z119" s="25" t="str">
        <f aca="false">IF(入力シート!$A123="","",入力シート!O123)</f>
        <v/>
      </c>
      <c r="AA119" s="25" t="str">
        <f aca="false">IF(入力シート!$A123="","","")</f>
        <v/>
      </c>
      <c r="AB119" s="25" t="str">
        <f aca="false">IF(入力シート!$A123="","",入力シート!P123)</f>
        <v/>
      </c>
      <c r="AC119" s="25" t="str">
        <f aca="false">IF(入力シート!$A123="","",入力シート!U123)</f>
        <v/>
      </c>
      <c r="AD119" s="25" t="str">
        <f aca="false">IF(入力シート!$A123="","",0)</f>
        <v/>
      </c>
      <c r="AE119" s="25" t="str">
        <f aca="false">IF(入力シート!$A123="","",入力シート!I123)</f>
        <v/>
      </c>
      <c r="AF119" s="25" t="str">
        <f aca="false">IF(入力シート!$A123="","",入力シート!M123)</f>
        <v/>
      </c>
      <c r="AG119" s="25" t="str">
        <f aca="false">IF(入力シート!$A123="","",入力シート!N123)</f>
        <v/>
      </c>
      <c r="AH119" s="25" t="str">
        <f aca="false">IF(入力シート!$A123="","","")</f>
        <v/>
      </c>
      <c r="AI119" s="25" t="str">
        <f aca="false">IF(入力シート!$A123="","","")</f>
        <v/>
      </c>
      <c r="AJ119" s="25" t="str">
        <f aca="false">IF(入力シート!$A123="","","")</f>
        <v/>
      </c>
      <c r="AK119" s="25" t="str">
        <f aca="false">IF(入力シート!$A123="","",2)</f>
        <v/>
      </c>
      <c r="AL119" s="25" t="str">
        <f aca="false">IF(入力シート!$A123="","","")</f>
        <v/>
      </c>
      <c r="AM119" s="25" t="str">
        <f aca="false">IF(入力シート!$A123="","","")</f>
        <v/>
      </c>
      <c r="AN119" s="25" t="str">
        <f aca="false">IF(入力シート!$A123="","",入力シート!C123)</f>
        <v/>
      </c>
      <c r="AO119" s="25" t="str">
        <f aca="false">IF(入力シート!$A123="","","")</f>
        <v/>
      </c>
      <c r="AP119" s="25" t="str">
        <f aca="false">IF(入力シート!$A123="","","")</f>
        <v/>
      </c>
      <c r="AQ119" s="25" t="str">
        <f aca="false">IF(入力シート!$A123="","","")</f>
        <v/>
      </c>
    </row>
    <row r="120" customFormat="false" ht="15" hidden="false" customHeight="true" outlineLevel="0" collapsed="false">
      <c r="A120" s="25" t="str">
        <f aca="false">IF(入力シート!$A124="","",1)</f>
        <v/>
      </c>
      <c r="B120" s="25" t="str">
        <f aca="false">IF(入力シート!$A124="","",1)</f>
        <v/>
      </c>
      <c r="C120" s="25" t="str">
        <f aca="false">IF(入力シート!$A124="","",0)</f>
        <v/>
      </c>
      <c r="D120" s="25" t="str">
        <f aca="false">IF(入力シート!$A124="","",TEXT(入力シート!A124,"YYYYMMDD"))</f>
        <v/>
      </c>
      <c r="E120" s="25" t="str">
        <f aca="false">IF(入力シート!$A124="","",TEXT(入力シート!Q124,"00000000"))</f>
        <v/>
      </c>
      <c r="F120" s="25" t="str">
        <f aca="false">IF(入力シート!$A124="","",14)</f>
        <v/>
      </c>
      <c r="G120" s="25" t="str">
        <f aca="false">IF(入力シート!$A124="","",1)</f>
        <v/>
      </c>
      <c r="H120" s="25" t="str">
        <f aca="false">IF(入力シート!$A124="","",1)</f>
        <v/>
      </c>
      <c r="I120" s="25" t="str">
        <f aca="false">IF(入力シート!$A124="","",3)</f>
        <v/>
      </c>
      <c r="J120" s="25" t="str">
        <f aca="false">IF(入力シート!$A124="","",1)</f>
        <v/>
      </c>
      <c r="K120" s="25" t="str">
        <f aca="false">IF(入力シート!$A124="","",入力シート!B124)</f>
        <v/>
      </c>
      <c r="L120" s="25" t="str">
        <f aca="false">IF(入力シート!$A124="","","")</f>
        <v/>
      </c>
      <c r="M120" s="25" t="str">
        <f aca="false">IF(入力シート!$A124="","","")</f>
        <v/>
      </c>
      <c r="N120" s="25" t="str">
        <f aca="false">IF(入力シート!$A124="","",入力シート!R124)</f>
        <v/>
      </c>
      <c r="O120" s="25" t="str">
        <f aca="false">IF(入力シート!$A124="","",IF(入力シート!G124="",1,入力シート!G124))</f>
        <v/>
      </c>
      <c r="P120" s="25" t="str">
        <f aca="false">IF(入力シート!$A124="","",入力シート!D124)</f>
        <v/>
      </c>
      <c r="Q120" s="25" t="str">
        <f aca="false">IF(入力シート!$A124="","","")</f>
        <v/>
      </c>
      <c r="R120" s="25" t="str">
        <f aca="false">IF(入力シート!$A124="","",入力シート!J124)</f>
        <v/>
      </c>
      <c r="S120" s="25" t="str">
        <f aca="false">IF(入力シート!$A124="","",入力シート!L124)</f>
        <v/>
      </c>
      <c r="T120" s="25" t="str">
        <f aca="false">IF(入力シート!$A124="","",入力シート!K124)</f>
        <v/>
      </c>
      <c r="U120" s="25" t="str">
        <f aca="false">IF(入力シート!$A124="","",0)</f>
        <v/>
      </c>
      <c r="V120" s="25" t="str">
        <f aca="false">IF(入力シート!$A124="","",0)</f>
        <v/>
      </c>
      <c r="W120" s="25" t="str">
        <f aca="false">IF(入力シート!$A124="","","0000")</f>
        <v/>
      </c>
      <c r="X120" s="25" t="str">
        <f aca="false">IF(入力シート!$A124="","",入力シート!E124)</f>
        <v/>
      </c>
      <c r="Y120" s="25" t="str">
        <f aca="false">IF(入力シート!$A124="","",入力シート!F124)</f>
        <v/>
      </c>
      <c r="Z120" s="25" t="str">
        <f aca="false">IF(入力シート!$A124="","",入力シート!O124)</f>
        <v/>
      </c>
      <c r="AA120" s="25" t="str">
        <f aca="false">IF(入力シート!$A124="","","")</f>
        <v/>
      </c>
      <c r="AB120" s="25" t="str">
        <f aca="false">IF(入力シート!$A124="","",入力シート!P124)</f>
        <v/>
      </c>
      <c r="AC120" s="25" t="str">
        <f aca="false">IF(入力シート!$A124="","",入力シート!U124)</f>
        <v/>
      </c>
      <c r="AD120" s="25" t="str">
        <f aca="false">IF(入力シート!$A124="","",0)</f>
        <v/>
      </c>
      <c r="AE120" s="25" t="str">
        <f aca="false">IF(入力シート!$A124="","",入力シート!I124)</f>
        <v/>
      </c>
      <c r="AF120" s="25" t="str">
        <f aca="false">IF(入力シート!$A124="","",入力シート!M124)</f>
        <v/>
      </c>
      <c r="AG120" s="25" t="str">
        <f aca="false">IF(入力シート!$A124="","",入力シート!N124)</f>
        <v/>
      </c>
      <c r="AH120" s="25" t="str">
        <f aca="false">IF(入力シート!$A124="","","")</f>
        <v/>
      </c>
      <c r="AI120" s="25" t="str">
        <f aca="false">IF(入力シート!$A124="","","")</f>
        <v/>
      </c>
      <c r="AJ120" s="25" t="str">
        <f aca="false">IF(入力シート!$A124="","","")</f>
        <v/>
      </c>
      <c r="AK120" s="25" t="str">
        <f aca="false">IF(入力シート!$A124="","",2)</f>
        <v/>
      </c>
      <c r="AL120" s="25" t="str">
        <f aca="false">IF(入力シート!$A124="","","")</f>
        <v/>
      </c>
      <c r="AM120" s="25" t="str">
        <f aca="false">IF(入力シート!$A124="","","")</f>
        <v/>
      </c>
      <c r="AN120" s="25" t="str">
        <f aca="false">IF(入力シート!$A124="","",入力シート!C124)</f>
        <v/>
      </c>
      <c r="AO120" s="25" t="str">
        <f aca="false">IF(入力シート!$A124="","","")</f>
        <v/>
      </c>
      <c r="AP120" s="25" t="str">
        <f aca="false">IF(入力シート!$A124="","","")</f>
        <v/>
      </c>
      <c r="AQ120" s="25" t="str">
        <f aca="false">IF(入力シート!$A124="","","")</f>
        <v/>
      </c>
    </row>
    <row r="121" customFormat="false" ht="15" hidden="false" customHeight="true" outlineLevel="0" collapsed="false">
      <c r="A121" s="25" t="str">
        <f aca="false">IF(入力シート!$A125="","",1)</f>
        <v/>
      </c>
      <c r="B121" s="25" t="str">
        <f aca="false">IF(入力シート!$A125="","",1)</f>
        <v/>
      </c>
      <c r="C121" s="25" t="str">
        <f aca="false">IF(入力シート!$A125="","",0)</f>
        <v/>
      </c>
      <c r="D121" s="25" t="str">
        <f aca="false">IF(入力シート!$A125="","",TEXT(入力シート!A125,"YYYYMMDD"))</f>
        <v/>
      </c>
      <c r="E121" s="25" t="str">
        <f aca="false">IF(入力シート!$A125="","",TEXT(入力シート!Q125,"00000000"))</f>
        <v/>
      </c>
      <c r="F121" s="25" t="str">
        <f aca="false">IF(入力シート!$A125="","",14)</f>
        <v/>
      </c>
      <c r="G121" s="25" t="str">
        <f aca="false">IF(入力シート!$A125="","",1)</f>
        <v/>
      </c>
      <c r="H121" s="25" t="str">
        <f aca="false">IF(入力シート!$A125="","",1)</f>
        <v/>
      </c>
      <c r="I121" s="25" t="str">
        <f aca="false">IF(入力シート!$A125="","",3)</f>
        <v/>
      </c>
      <c r="J121" s="25" t="str">
        <f aca="false">IF(入力シート!$A125="","",1)</f>
        <v/>
      </c>
      <c r="K121" s="25" t="str">
        <f aca="false">IF(入力シート!$A125="","",入力シート!B125)</f>
        <v/>
      </c>
      <c r="L121" s="25" t="str">
        <f aca="false">IF(入力シート!$A125="","","")</f>
        <v/>
      </c>
      <c r="M121" s="25" t="str">
        <f aca="false">IF(入力シート!$A125="","","")</f>
        <v/>
      </c>
      <c r="N121" s="25" t="str">
        <f aca="false">IF(入力シート!$A125="","",入力シート!R125)</f>
        <v/>
      </c>
      <c r="O121" s="25" t="str">
        <f aca="false">IF(入力シート!$A125="","",IF(入力シート!G125="",1,入力シート!G125))</f>
        <v/>
      </c>
      <c r="P121" s="25" t="str">
        <f aca="false">IF(入力シート!$A125="","",入力シート!D125)</f>
        <v/>
      </c>
      <c r="Q121" s="25" t="str">
        <f aca="false">IF(入力シート!$A125="","","")</f>
        <v/>
      </c>
      <c r="R121" s="25" t="str">
        <f aca="false">IF(入力シート!$A125="","",入力シート!J125)</f>
        <v/>
      </c>
      <c r="S121" s="25" t="str">
        <f aca="false">IF(入力シート!$A125="","",入力シート!L125)</f>
        <v/>
      </c>
      <c r="T121" s="25" t="str">
        <f aca="false">IF(入力シート!$A125="","",入力シート!K125)</f>
        <v/>
      </c>
      <c r="U121" s="25" t="str">
        <f aca="false">IF(入力シート!$A125="","",0)</f>
        <v/>
      </c>
      <c r="V121" s="25" t="str">
        <f aca="false">IF(入力シート!$A125="","",0)</f>
        <v/>
      </c>
      <c r="W121" s="25" t="str">
        <f aca="false">IF(入力シート!$A125="","","0000")</f>
        <v/>
      </c>
      <c r="X121" s="25" t="str">
        <f aca="false">IF(入力シート!$A125="","",入力シート!E125)</f>
        <v/>
      </c>
      <c r="Y121" s="25" t="str">
        <f aca="false">IF(入力シート!$A125="","",入力シート!F125)</f>
        <v/>
      </c>
      <c r="Z121" s="25" t="str">
        <f aca="false">IF(入力シート!$A125="","",入力シート!O125)</f>
        <v/>
      </c>
      <c r="AA121" s="25" t="str">
        <f aca="false">IF(入力シート!$A125="","","")</f>
        <v/>
      </c>
      <c r="AB121" s="25" t="str">
        <f aca="false">IF(入力シート!$A125="","",入力シート!P125)</f>
        <v/>
      </c>
      <c r="AC121" s="25" t="str">
        <f aca="false">IF(入力シート!$A125="","",入力シート!U125)</f>
        <v/>
      </c>
      <c r="AD121" s="25" t="str">
        <f aca="false">IF(入力シート!$A125="","",0)</f>
        <v/>
      </c>
      <c r="AE121" s="25" t="str">
        <f aca="false">IF(入力シート!$A125="","",入力シート!I125)</f>
        <v/>
      </c>
      <c r="AF121" s="25" t="str">
        <f aca="false">IF(入力シート!$A125="","",入力シート!M125)</f>
        <v/>
      </c>
      <c r="AG121" s="25" t="str">
        <f aca="false">IF(入力シート!$A125="","",入力シート!N125)</f>
        <v/>
      </c>
      <c r="AH121" s="25" t="str">
        <f aca="false">IF(入力シート!$A125="","","")</f>
        <v/>
      </c>
      <c r="AI121" s="25" t="str">
        <f aca="false">IF(入力シート!$A125="","","")</f>
        <v/>
      </c>
      <c r="AJ121" s="25" t="str">
        <f aca="false">IF(入力シート!$A125="","","")</f>
        <v/>
      </c>
      <c r="AK121" s="25" t="str">
        <f aca="false">IF(入力シート!$A125="","",2)</f>
        <v/>
      </c>
      <c r="AL121" s="25" t="str">
        <f aca="false">IF(入力シート!$A125="","","")</f>
        <v/>
      </c>
      <c r="AM121" s="25" t="str">
        <f aca="false">IF(入力シート!$A125="","","")</f>
        <v/>
      </c>
      <c r="AN121" s="25" t="str">
        <f aca="false">IF(入力シート!$A125="","",入力シート!C125)</f>
        <v/>
      </c>
      <c r="AO121" s="25" t="str">
        <f aca="false">IF(入力シート!$A125="","","")</f>
        <v/>
      </c>
      <c r="AP121" s="25" t="str">
        <f aca="false">IF(入力シート!$A125="","","")</f>
        <v/>
      </c>
      <c r="AQ121" s="25" t="str">
        <f aca="false">IF(入力シート!$A125="","","")</f>
        <v/>
      </c>
    </row>
    <row r="122" customFormat="false" ht="15" hidden="false" customHeight="true" outlineLevel="0" collapsed="false">
      <c r="A122" s="25" t="str">
        <f aca="false">IF(入力シート!$A126="","",1)</f>
        <v/>
      </c>
      <c r="B122" s="25" t="str">
        <f aca="false">IF(入力シート!$A126="","",1)</f>
        <v/>
      </c>
      <c r="C122" s="25" t="str">
        <f aca="false">IF(入力シート!$A126="","",0)</f>
        <v/>
      </c>
      <c r="D122" s="25" t="str">
        <f aca="false">IF(入力シート!$A126="","",TEXT(入力シート!A126,"YYYYMMDD"))</f>
        <v/>
      </c>
      <c r="E122" s="25" t="str">
        <f aca="false">IF(入力シート!$A126="","",TEXT(入力シート!Q126,"00000000"))</f>
        <v/>
      </c>
      <c r="F122" s="25" t="str">
        <f aca="false">IF(入力シート!$A126="","",14)</f>
        <v/>
      </c>
      <c r="G122" s="25" t="str">
        <f aca="false">IF(入力シート!$A126="","",1)</f>
        <v/>
      </c>
      <c r="H122" s="25" t="str">
        <f aca="false">IF(入力シート!$A126="","",1)</f>
        <v/>
      </c>
      <c r="I122" s="25" t="str">
        <f aca="false">IF(入力シート!$A126="","",3)</f>
        <v/>
      </c>
      <c r="J122" s="25" t="str">
        <f aca="false">IF(入力シート!$A126="","",1)</f>
        <v/>
      </c>
      <c r="K122" s="25" t="str">
        <f aca="false">IF(入力シート!$A126="","",入力シート!B126)</f>
        <v/>
      </c>
      <c r="L122" s="25" t="str">
        <f aca="false">IF(入力シート!$A126="","","")</f>
        <v/>
      </c>
      <c r="M122" s="25" t="str">
        <f aca="false">IF(入力シート!$A126="","","")</f>
        <v/>
      </c>
      <c r="N122" s="25" t="str">
        <f aca="false">IF(入力シート!$A126="","",入力シート!R126)</f>
        <v/>
      </c>
      <c r="O122" s="25" t="str">
        <f aca="false">IF(入力シート!$A126="","",IF(入力シート!G126="",1,入力シート!G126))</f>
        <v/>
      </c>
      <c r="P122" s="25" t="str">
        <f aca="false">IF(入力シート!$A126="","",入力シート!D126)</f>
        <v/>
      </c>
      <c r="Q122" s="25" t="str">
        <f aca="false">IF(入力シート!$A126="","","")</f>
        <v/>
      </c>
      <c r="R122" s="25" t="str">
        <f aca="false">IF(入力シート!$A126="","",入力シート!J126)</f>
        <v/>
      </c>
      <c r="S122" s="25" t="str">
        <f aca="false">IF(入力シート!$A126="","",入力シート!L126)</f>
        <v/>
      </c>
      <c r="T122" s="25" t="str">
        <f aca="false">IF(入力シート!$A126="","",入力シート!K126)</f>
        <v/>
      </c>
      <c r="U122" s="25" t="str">
        <f aca="false">IF(入力シート!$A126="","",0)</f>
        <v/>
      </c>
      <c r="V122" s="25" t="str">
        <f aca="false">IF(入力シート!$A126="","",0)</f>
        <v/>
      </c>
      <c r="W122" s="25" t="str">
        <f aca="false">IF(入力シート!$A126="","","0000")</f>
        <v/>
      </c>
      <c r="X122" s="25" t="str">
        <f aca="false">IF(入力シート!$A126="","",入力シート!E126)</f>
        <v/>
      </c>
      <c r="Y122" s="25" t="str">
        <f aca="false">IF(入力シート!$A126="","",入力シート!F126)</f>
        <v/>
      </c>
      <c r="Z122" s="25" t="str">
        <f aca="false">IF(入力シート!$A126="","",入力シート!O126)</f>
        <v/>
      </c>
      <c r="AA122" s="25" t="str">
        <f aca="false">IF(入力シート!$A126="","","")</f>
        <v/>
      </c>
      <c r="AB122" s="25" t="str">
        <f aca="false">IF(入力シート!$A126="","",入力シート!P126)</f>
        <v/>
      </c>
      <c r="AC122" s="25" t="str">
        <f aca="false">IF(入力シート!$A126="","",入力シート!U126)</f>
        <v/>
      </c>
      <c r="AD122" s="25" t="str">
        <f aca="false">IF(入力シート!$A126="","",0)</f>
        <v/>
      </c>
      <c r="AE122" s="25" t="str">
        <f aca="false">IF(入力シート!$A126="","",入力シート!I126)</f>
        <v/>
      </c>
      <c r="AF122" s="25" t="str">
        <f aca="false">IF(入力シート!$A126="","",入力シート!M126)</f>
        <v/>
      </c>
      <c r="AG122" s="25" t="str">
        <f aca="false">IF(入力シート!$A126="","",入力シート!N126)</f>
        <v/>
      </c>
      <c r="AH122" s="25" t="str">
        <f aca="false">IF(入力シート!$A126="","","")</f>
        <v/>
      </c>
      <c r="AI122" s="25" t="str">
        <f aca="false">IF(入力シート!$A126="","","")</f>
        <v/>
      </c>
      <c r="AJ122" s="25" t="str">
        <f aca="false">IF(入力シート!$A126="","","")</f>
        <v/>
      </c>
      <c r="AK122" s="25" t="str">
        <f aca="false">IF(入力シート!$A126="","",2)</f>
        <v/>
      </c>
      <c r="AL122" s="25" t="str">
        <f aca="false">IF(入力シート!$A126="","","")</f>
        <v/>
      </c>
      <c r="AM122" s="25" t="str">
        <f aca="false">IF(入力シート!$A126="","","")</f>
        <v/>
      </c>
      <c r="AN122" s="25" t="str">
        <f aca="false">IF(入力シート!$A126="","",入力シート!C126)</f>
        <v/>
      </c>
      <c r="AO122" s="25" t="str">
        <f aca="false">IF(入力シート!$A126="","","")</f>
        <v/>
      </c>
      <c r="AP122" s="25" t="str">
        <f aca="false">IF(入力シート!$A126="","","")</f>
        <v/>
      </c>
      <c r="AQ122" s="25" t="str">
        <f aca="false">IF(入力シート!$A126="","","")</f>
        <v/>
      </c>
    </row>
    <row r="123" customFormat="false" ht="15" hidden="false" customHeight="true" outlineLevel="0" collapsed="false">
      <c r="A123" s="25" t="str">
        <f aca="false">IF(入力シート!$A127="","",1)</f>
        <v/>
      </c>
      <c r="B123" s="25" t="str">
        <f aca="false">IF(入力シート!$A127="","",1)</f>
        <v/>
      </c>
      <c r="C123" s="25" t="str">
        <f aca="false">IF(入力シート!$A127="","",0)</f>
        <v/>
      </c>
      <c r="D123" s="25" t="str">
        <f aca="false">IF(入力シート!$A127="","",TEXT(入力シート!A127,"YYYYMMDD"))</f>
        <v/>
      </c>
      <c r="E123" s="25" t="str">
        <f aca="false">IF(入力シート!$A127="","",TEXT(入力シート!Q127,"00000000"))</f>
        <v/>
      </c>
      <c r="F123" s="25" t="str">
        <f aca="false">IF(入力シート!$A127="","",14)</f>
        <v/>
      </c>
      <c r="G123" s="25" t="str">
        <f aca="false">IF(入力シート!$A127="","",1)</f>
        <v/>
      </c>
      <c r="H123" s="25" t="str">
        <f aca="false">IF(入力シート!$A127="","",1)</f>
        <v/>
      </c>
      <c r="I123" s="25" t="str">
        <f aca="false">IF(入力シート!$A127="","",3)</f>
        <v/>
      </c>
      <c r="J123" s="25" t="str">
        <f aca="false">IF(入力シート!$A127="","",1)</f>
        <v/>
      </c>
      <c r="K123" s="25" t="str">
        <f aca="false">IF(入力シート!$A127="","",入力シート!B127)</f>
        <v/>
      </c>
      <c r="L123" s="25" t="str">
        <f aca="false">IF(入力シート!$A127="","","")</f>
        <v/>
      </c>
      <c r="M123" s="25" t="str">
        <f aca="false">IF(入力シート!$A127="","","")</f>
        <v/>
      </c>
      <c r="N123" s="25" t="str">
        <f aca="false">IF(入力シート!$A127="","",入力シート!R127)</f>
        <v/>
      </c>
      <c r="O123" s="25" t="str">
        <f aca="false">IF(入力シート!$A127="","",IF(入力シート!G127="",1,入力シート!G127))</f>
        <v/>
      </c>
      <c r="P123" s="25" t="str">
        <f aca="false">IF(入力シート!$A127="","",入力シート!D127)</f>
        <v/>
      </c>
      <c r="Q123" s="25" t="str">
        <f aca="false">IF(入力シート!$A127="","","")</f>
        <v/>
      </c>
      <c r="R123" s="25" t="str">
        <f aca="false">IF(入力シート!$A127="","",入力シート!J127)</f>
        <v/>
      </c>
      <c r="S123" s="25" t="str">
        <f aca="false">IF(入力シート!$A127="","",入力シート!L127)</f>
        <v/>
      </c>
      <c r="T123" s="25" t="str">
        <f aca="false">IF(入力シート!$A127="","",入力シート!K127)</f>
        <v/>
      </c>
      <c r="U123" s="25" t="str">
        <f aca="false">IF(入力シート!$A127="","",0)</f>
        <v/>
      </c>
      <c r="V123" s="25" t="str">
        <f aca="false">IF(入力シート!$A127="","",0)</f>
        <v/>
      </c>
      <c r="W123" s="25" t="str">
        <f aca="false">IF(入力シート!$A127="","","0000")</f>
        <v/>
      </c>
      <c r="X123" s="25" t="str">
        <f aca="false">IF(入力シート!$A127="","",入力シート!E127)</f>
        <v/>
      </c>
      <c r="Y123" s="25" t="str">
        <f aca="false">IF(入力シート!$A127="","",入力シート!F127)</f>
        <v/>
      </c>
      <c r="Z123" s="25" t="str">
        <f aca="false">IF(入力シート!$A127="","",入力シート!O127)</f>
        <v/>
      </c>
      <c r="AA123" s="25" t="str">
        <f aca="false">IF(入力シート!$A127="","","")</f>
        <v/>
      </c>
      <c r="AB123" s="25" t="str">
        <f aca="false">IF(入力シート!$A127="","",入力シート!P127)</f>
        <v/>
      </c>
      <c r="AC123" s="25" t="str">
        <f aca="false">IF(入力シート!$A127="","",入力シート!U127)</f>
        <v/>
      </c>
      <c r="AD123" s="25" t="str">
        <f aca="false">IF(入力シート!$A127="","",0)</f>
        <v/>
      </c>
      <c r="AE123" s="25" t="str">
        <f aca="false">IF(入力シート!$A127="","",入力シート!I127)</f>
        <v/>
      </c>
      <c r="AF123" s="25" t="str">
        <f aca="false">IF(入力シート!$A127="","",入力シート!M127)</f>
        <v/>
      </c>
      <c r="AG123" s="25" t="str">
        <f aca="false">IF(入力シート!$A127="","",入力シート!N127)</f>
        <v/>
      </c>
      <c r="AH123" s="25" t="str">
        <f aca="false">IF(入力シート!$A127="","","")</f>
        <v/>
      </c>
      <c r="AI123" s="25" t="str">
        <f aca="false">IF(入力シート!$A127="","","")</f>
        <v/>
      </c>
      <c r="AJ123" s="25" t="str">
        <f aca="false">IF(入力シート!$A127="","","")</f>
        <v/>
      </c>
      <c r="AK123" s="25" t="str">
        <f aca="false">IF(入力シート!$A127="","",2)</f>
        <v/>
      </c>
      <c r="AL123" s="25" t="str">
        <f aca="false">IF(入力シート!$A127="","","")</f>
        <v/>
      </c>
      <c r="AM123" s="25" t="str">
        <f aca="false">IF(入力シート!$A127="","","")</f>
        <v/>
      </c>
      <c r="AN123" s="25" t="str">
        <f aca="false">IF(入力シート!$A127="","",入力シート!C127)</f>
        <v/>
      </c>
      <c r="AO123" s="25" t="str">
        <f aca="false">IF(入力シート!$A127="","","")</f>
        <v/>
      </c>
      <c r="AP123" s="25" t="str">
        <f aca="false">IF(入力シート!$A127="","","")</f>
        <v/>
      </c>
      <c r="AQ123" s="25" t="str">
        <f aca="false">IF(入力シート!$A127="","","")</f>
        <v/>
      </c>
    </row>
    <row r="124" customFormat="false" ht="15" hidden="false" customHeight="true" outlineLevel="0" collapsed="false">
      <c r="A124" s="25" t="str">
        <f aca="false">IF(入力シート!$A128="","",1)</f>
        <v/>
      </c>
      <c r="B124" s="25" t="str">
        <f aca="false">IF(入力シート!$A128="","",1)</f>
        <v/>
      </c>
      <c r="C124" s="25" t="str">
        <f aca="false">IF(入力シート!$A128="","",0)</f>
        <v/>
      </c>
      <c r="D124" s="25" t="str">
        <f aca="false">IF(入力シート!$A128="","",TEXT(入力シート!A128,"YYYYMMDD"))</f>
        <v/>
      </c>
      <c r="E124" s="25" t="str">
        <f aca="false">IF(入力シート!$A128="","",TEXT(入力シート!Q128,"00000000"))</f>
        <v/>
      </c>
      <c r="F124" s="25" t="str">
        <f aca="false">IF(入力シート!$A128="","",14)</f>
        <v/>
      </c>
      <c r="G124" s="25" t="str">
        <f aca="false">IF(入力シート!$A128="","",1)</f>
        <v/>
      </c>
      <c r="H124" s="25" t="str">
        <f aca="false">IF(入力シート!$A128="","",1)</f>
        <v/>
      </c>
      <c r="I124" s="25" t="str">
        <f aca="false">IF(入力シート!$A128="","",3)</f>
        <v/>
      </c>
      <c r="J124" s="25" t="str">
        <f aca="false">IF(入力シート!$A128="","",1)</f>
        <v/>
      </c>
      <c r="K124" s="25" t="str">
        <f aca="false">IF(入力シート!$A128="","",入力シート!B128)</f>
        <v/>
      </c>
      <c r="L124" s="25" t="str">
        <f aca="false">IF(入力シート!$A128="","","")</f>
        <v/>
      </c>
      <c r="M124" s="25" t="str">
        <f aca="false">IF(入力シート!$A128="","","")</f>
        <v/>
      </c>
      <c r="N124" s="25" t="str">
        <f aca="false">IF(入力シート!$A128="","",入力シート!R128)</f>
        <v/>
      </c>
      <c r="O124" s="25" t="str">
        <f aca="false">IF(入力シート!$A128="","",IF(入力シート!G128="",1,入力シート!G128))</f>
        <v/>
      </c>
      <c r="P124" s="25" t="str">
        <f aca="false">IF(入力シート!$A128="","",入力シート!D128)</f>
        <v/>
      </c>
      <c r="Q124" s="25" t="str">
        <f aca="false">IF(入力シート!$A128="","","")</f>
        <v/>
      </c>
      <c r="R124" s="25" t="str">
        <f aca="false">IF(入力シート!$A128="","",入力シート!J128)</f>
        <v/>
      </c>
      <c r="S124" s="25" t="str">
        <f aca="false">IF(入力シート!$A128="","",入力シート!L128)</f>
        <v/>
      </c>
      <c r="T124" s="25" t="str">
        <f aca="false">IF(入力シート!$A128="","",入力シート!K128)</f>
        <v/>
      </c>
      <c r="U124" s="25" t="str">
        <f aca="false">IF(入力シート!$A128="","",0)</f>
        <v/>
      </c>
      <c r="V124" s="25" t="str">
        <f aca="false">IF(入力シート!$A128="","",0)</f>
        <v/>
      </c>
      <c r="W124" s="25" t="str">
        <f aca="false">IF(入力シート!$A128="","","0000")</f>
        <v/>
      </c>
      <c r="X124" s="25" t="str">
        <f aca="false">IF(入力シート!$A128="","",入力シート!E128)</f>
        <v/>
      </c>
      <c r="Y124" s="25" t="str">
        <f aca="false">IF(入力シート!$A128="","",入力シート!F128)</f>
        <v/>
      </c>
      <c r="Z124" s="25" t="str">
        <f aca="false">IF(入力シート!$A128="","",入力シート!O128)</f>
        <v/>
      </c>
      <c r="AA124" s="25" t="str">
        <f aca="false">IF(入力シート!$A128="","","")</f>
        <v/>
      </c>
      <c r="AB124" s="25" t="str">
        <f aca="false">IF(入力シート!$A128="","",入力シート!P128)</f>
        <v/>
      </c>
      <c r="AC124" s="25" t="str">
        <f aca="false">IF(入力シート!$A128="","",入力シート!U128)</f>
        <v/>
      </c>
      <c r="AD124" s="25" t="str">
        <f aca="false">IF(入力シート!$A128="","",0)</f>
        <v/>
      </c>
      <c r="AE124" s="25" t="str">
        <f aca="false">IF(入力シート!$A128="","",入力シート!I128)</f>
        <v/>
      </c>
      <c r="AF124" s="25" t="str">
        <f aca="false">IF(入力シート!$A128="","",入力シート!M128)</f>
        <v/>
      </c>
      <c r="AG124" s="25" t="str">
        <f aca="false">IF(入力シート!$A128="","",入力シート!N128)</f>
        <v/>
      </c>
      <c r="AH124" s="25" t="str">
        <f aca="false">IF(入力シート!$A128="","","")</f>
        <v/>
      </c>
      <c r="AI124" s="25" t="str">
        <f aca="false">IF(入力シート!$A128="","","")</f>
        <v/>
      </c>
      <c r="AJ124" s="25" t="str">
        <f aca="false">IF(入力シート!$A128="","","")</f>
        <v/>
      </c>
      <c r="AK124" s="25" t="str">
        <f aca="false">IF(入力シート!$A128="","",2)</f>
        <v/>
      </c>
      <c r="AL124" s="25" t="str">
        <f aca="false">IF(入力シート!$A128="","","")</f>
        <v/>
      </c>
      <c r="AM124" s="25" t="str">
        <f aca="false">IF(入力シート!$A128="","","")</f>
        <v/>
      </c>
      <c r="AN124" s="25" t="str">
        <f aca="false">IF(入力シート!$A128="","",入力シート!C128)</f>
        <v/>
      </c>
      <c r="AO124" s="25" t="str">
        <f aca="false">IF(入力シート!$A128="","","")</f>
        <v/>
      </c>
      <c r="AP124" s="25" t="str">
        <f aca="false">IF(入力シート!$A128="","","")</f>
        <v/>
      </c>
      <c r="AQ124" s="25" t="str">
        <f aca="false">IF(入力シート!$A128="","","")</f>
        <v/>
      </c>
    </row>
    <row r="125" customFormat="false" ht="15" hidden="false" customHeight="true" outlineLevel="0" collapsed="false">
      <c r="A125" s="25" t="str">
        <f aca="false">IF(入力シート!$A129="","",1)</f>
        <v/>
      </c>
      <c r="B125" s="25" t="str">
        <f aca="false">IF(入力シート!$A129="","",1)</f>
        <v/>
      </c>
      <c r="C125" s="25" t="str">
        <f aca="false">IF(入力シート!$A129="","",0)</f>
        <v/>
      </c>
      <c r="D125" s="25" t="str">
        <f aca="false">IF(入力シート!$A129="","",TEXT(入力シート!A129,"YYYYMMDD"))</f>
        <v/>
      </c>
      <c r="E125" s="25" t="str">
        <f aca="false">IF(入力シート!$A129="","",TEXT(入力シート!Q129,"00000000"))</f>
        <v/>
      </c>
      <c r="F125" s="25" t="str">
        <f aca="false">IF(入力シート!$A129="","",14)</f>
        <v/>
      </c>
      <c r="G125" s="25" t="str">
        <f aca="false">IF(入力シート!$A129="","",1)</f>
        <v/>
      </c>
      <c r="H125" s="25" t="str">
        <f aca="false">IF(入力シート!$A129="","",1)</f>
        <v/>
      </c>
      <c r="I125" s="25" t="str">
        <f aca="false">IF(入力シート!$A129="","",3)</f>
        <v/>
      </c>
      <c r="J125" s="25" t="str">
        <f aca="false">IF(入力シート!$A129="","",1)</f>
        <v/>
      </c>
      <c r="K125" s="25" t="str">
        <f aca="false">IF(入力シート!$A129="","",入力シート!B129)</f>
        <v/>
      </c>
      <c r="L125" s="25" t="str">
        <f aca="false">IF(入力シート!$A129="","","")</f>
        <v/>
      </c>
      <c r="M125" s="25" t="str">
        <f aca="false">IF(入力シート!$A129="","","")</f>
        <v/>
      </c>
      <c r="N125" s="25" t="str">
        <f aca="false">IF(入力シート!$A129="","",入力シート!R129)</f>
        <v/>
      </c>
      <c r="O125" s="25" t="str">
        <f aca="false">IF(入力シート!$A129="","",IF(入力シート!G129="",1,入力シート!G129))</f>
        <v/>
      </c>
      <c r="P125" s="25" t="str">
        <f aca="false">IF(入力シート!$A129="","",入力シート!D129)</f>
        <v/>
      </c>
      <c r="Q125" s="25" t="str">
        <f aca="false">IF(入力シート!$A129="","","")</f>
        <v/>
      </c>
      <c r="R125" s="25" t="str">
        <f aca="false">IF(入力シート!$A129="","",入力シート!J129)</f>
        <v/>
      </c>
      <c r="S125" s="25" t="str">
        <f aca="false">IF(入力シート!$A129="","",入力シート!L129)</f>
        <v/>
      </c>
      <c r="T125" s="25" t="str">
        <f aca="false">IF(入力シート!$A129="","",入力シート!K129)</f>
        <v/>
      </c>
      <c r="U125" s="25" t="str">
        <f aca="false">IF(入力シート!$A129="","",0)</f>
        <v/>
      </c>
      <c r="V125" s="25" t="str">
        <f aca="false">IF(入力シート!$A129="","",0)</f>
        <v/>
      </c>
      <c r="W125" s="25" t="str">
        <f aca="false">IF(入力シート!$A129="","","0000")</f>
        <v/>
      </c>
      <c r="X125" s="25" t="str">
        <f aca="false">IF(入力シート!$A129="","",入力シート!E129)</f>
        <v/>
      </c>
      <c r="Y125" s="25" t="str">
        <f aca="false">IF(入力シート!$A129="","",入力シート!F129)</f>
        <v/>
      </c>
      <c r="Z125" s="25" t="str">
        <f aca="false">IF(入力シート!$A129="","",入力シート!O129)</f>
        <v/>
      </c>
      <c r="AA125" s="25" t="str">
        <f aca="false">IF(入力シート!$A129="","","")</f>
        <v/>
      </c>
      <c r="AB125" s="25" t="str">
        <f aca="false">IF(入力シート!$A129="","",入力シート!P129)</f>
        <v/>
      </c>
      <c r="AC125" s="25" t="str">
        <f aca="false">IF(入力シート!$A129="","",入力シート!U129)</f>
        <v/>
      </c>
      <c r="AD125" s="25" t="str">
        <f aca="false">IF(入力シート!$A129="","",0)</f>
        <v/>
      </c>
      <c r="AE125" s="25" t="str">
        <f aca="false">IF(入力シート!$A129="","",入力シート!I129)</f>
        <v/>
      </c>
      <c r="AF125" s="25" t="str">
        <f aca="false">IF(入力シート!$A129="","",入力シート!M129)</f>
        <v/>
      </c>
      <c r="AG125" s="25" t="str">
        <f aca="false">IF(入力シート!$A129="","",入力シート!N129)</f>
        <v/>
      </c>
      <c r="AH125" s="25" t="str">
        <f aca="false">IF(入力シート!$A129="","","")</f>
        <v/>
      </c>
      <c r="AI125" s="25" t="str">
        <f aca="false">IF(入力シート!$A129="","","")</f>
        <v/>
      </c>
      <c r="AJ125" s="25" t="str">
        <f aca="false">IF(入力シート!$A129="","","")</f>
        <v/>
      </c>
      <c r="AK125" s="25" t="str">
        <f aca="false">IF(入力シート!$A129="","",2)</f>
        <v/>
      </c>
      <c r="AL125" s="25" t="str">
        <f aca="false">IF(入力シート!$A129="","","")</f>
        <v/>
      </c>
      <c r="AM125" s="25" t="str">
        <f aca="false">IF(入力シート!$A129="","","")</f>
        <v/>
      </c>
      <c r="AN125" s="25" t="str">
        <f aca="false">IF(入力シート!$A129="","",入力シート!C129)</f>
        <v/>
      </c>
      <c r="AO125" s="25" t="str">
        <f aca="false">IF(入力シート!$A129="","","")</f>
        <v/>
      </c>
      <c r="AP125" s="25" t="str">
        <f aca="false">IF(入力シート!$A129="","","")</f>
        <v/>
      </c>
      <c r="AQ125" s="25" t="str">
        <f aca="false">IF(入力シート!$A129="","","")</f>
        <v/>
      </c>
    </row>
    <row r="126" customFormat="false" ht="15" hidden="false" customHeight="true" outlineLevel="0" collapsed="false">
      <c r="A126" s="25" t="str">
        <f aca="false">IF(入力シート!$A130="","",1)</f>
        <v/>
      </c>
      <c r="B126" s="25" t="str">
        <f aca="false">IF(入力シート!$A130="","",1)</f>
        <v/>
      </c>
      <c r="C126" s="25" t="str">
        <f aca="false">IF(入力シート!$A130="","",0)</f>
        <v/>
      </c>
      <c r="D126" s="25" t="str">
        <f aca="false">IF(入力シート!$A130="","",TEXT(入力シート!A130,"YYYYMMDD"))</f>
        <v/>
      </c>
      <c r="E126" s="25" t="str">
        <f aca="false">IF(入力シート!$A130="","",TEXT(入力シート!Q130,"00000000"))</f>
        <v/>
      </c>
      <c r="F126" s="25" t="str">
        <f aca="false">IF(入力シート!$A130="","",14)</f>
        <v/>
      </c>
      <c r="G126" s="25" t="str">
        <f aca="false">IF(入力シート!$A130="","",1)</f>
        <v/>
      </c>
      <c r="H126" s="25" t="str">
        <f aca="false">IF(入力シート!$A130="","",1)</f>
        <v/>
      </c>
      <c r="I126" s="25" t="str">
        <f aca="false">IF(入力シート!$A130="","",3)</f>
        <v/>
      </c>
      <c r="J126" s="25" t="str">
        <f aca="false">IF(入力シート!$A130="","",1)</f>
        <v/>
      </c>
      <c r="K126" s="25" t="str">
        <f aca="false">IF(入力シート!$A130="","",入力シート!B130)</f>
        <v/>
      </c>
      <c r="L126" s="25" t="str">
        <f aca="false">IF(入力シート!$A130="","","")</f>
        <v/>
      </c>
      <c r="M126" s="25" t="str">
        <f aca="false">IF(入力シート!$A130="","","")</f>
        <v/>
      </c>
      <c r="N126" s="25" t="str">
        <f aca="false">IF(入力シート!$A130="","",入力シート!R130)</f>
        <v/>
      </c>
      <c r="O126" s="25" t="str">
        <f aca="false">IF(入力シート!$A130="","",IF(入力シート!G130="",1,入力シート!G130))</f>
        <v/>
      </c>
      <c r="P126" s="25" t="str">
        <f aca="false">IF(入力シート!$A130="","",入力シート!D130)</f>
        <v/>
      </c>
      <c r="Q126" s="25" t="str">
        <f aca="false">IF(入力シート!$A130="","","")</f>
        <v/>
      </c>
      <c r="R126" s="25" t="str">
        <f aca="false">IF(入力シート!$A130="","",入力シート!J130)</f>
        <v/>
      </c>
      <c r="S126" s="25" t="str">
        <f aca="false">IF(入力シート!$A130="","",入力シート!L130)</f>
        <v/>
      </c>
      <c r="T126" s="25" t="str">
        <f aca="false">IF(入力シート!$A130="","",入力シート!K130)</f>
        <v/>
      </c>
      <c r="U126" s="25" t="str">
        <f aca="false">IF(入力シート!$A130="","",0)</f>
        <v/>
      </c>
      <c r="V126" s="25" t="str">
        <f aca="false">IF(入力シート!$A130="","",0)</f>
        <v/>
      </c>
      <c r="W126" s="25" t="str">
        <f aca="false">IF(入力シート!$A130="","","0000")</f>
        <v/>
      </c>
      <c r="X126" s="25" t="str">
        <f aca="false">IF(入力シート!$A130="","",入力シート!E130)</f>
        <v/>
      </c>
      <c r="Y126" s="25" t="str">
        <f aca="false">IF(入力シート!$A130="","",入力シート!F130)</f>
        <v/>
      </c>
      <c r="Z126" s="25" t="str">
        <f aca="false">IF(入力シート!$A130="","",入力シート!O130)</f>
        <v/>
      </c>
      <c r="AA126" s="25" t="str">
        <f aca="false">IF(入力シート!$A130="","","")</f>
        <v/>
      </c>
      <c r="AB126" s="25" t="str">
        <f aca="false">IF(入力シート!$A130="","",入力シート!P130)</f>
        <v/>
      </c>
      <c r="AC126" s="25" t="str">
        <f aca="false">IF(入力シート!$A130="","",入力シート!U130)</f>
        <v/>
      </c>
      <c r="AD126" s="25" t="str">
        <f aca="false">IF(入力シート!$A130="","",0)</f>
        <v/>
      </c>
      <c r="AE126" s="25" t="str">
        <f aca="false">IF(入力シート!$A130="","",入力シート!I130)</f>
        <v/>
      </c>
      <c r="AF126" s="25" t="str">
        <f aca="false">IF(入力シート!$A130="","",入力シート!M130)</f>
        <v/>
      </c>
      <c r="AG126" s="25" t="str">
        <f aca="false">IF(入力シート!$A130="","",入力シート!N130)</f>
        <v/>
      </c>
      <c r="AH126" s="25" t="str">
        <f aca="false">IF(入力シート!$A130="","","")</f>
        <v/>
      </c>
      <c r="AI126" s="25" t="str">
        <f aca="false">IF(入力シート!$A130="","","")</f>
        <v/>
      </c>
      <c r="AJ126" s="25" t="str">
        <f aca="false">IF(入力シート!$A130="","","")</f>
        <v/>
      </c>
      <c r="AK126" s="25" t="str">
        <f aca="false">IF(入力シート!$A130="","",2)</f>
        <v/>
      </c>
      <c r="AL126" s="25" t="str">
        <f aca="false">IF(入力シート!$A130="","","")</f>
        <v/>
      </c>
      <c r="AM126" s="25" t="str">
        <f aca="false">IF(入力シート!$A130="","","")</f>
        <v/>
      </c>
      <c r="AN126" s="25" t="str">
        <f aca="false">IF(入力シート!$A130="","",入力シート!C130)</f>
        <v/>
      </c>
      <c r="AO126" s="25" t="str">
        <f aca="false">IF(入力シート!$A130="","","")</f>
        <v/>
      </c>
      <c r="AP126" s="25" t="str">
        <f aca="false">IF(入力シート!$A130="","","")</f>
        <v/>
      </c>
      <c r="AQ126" s="25" t="str">
        <f aca="false">IF(入力シート!$A130="","","")</f>
        <v/>
      </c>
    </row>
    <row r="127" customFormat="false" ht="15" hidden="false" customHeight="true" outlineLevel="0" collapsed="false">
      <c r="A127" s="25" t="str">
        <f aca="false">IF(入力シート!$A131="","",1)</f>
        <v/>
      </c>
      <c r="B127" s="25" t="str">
        <f aca="false">IF(入力シート!$A131="","",1)</f>
        <v/>
      </c>
      <c r="C127" s="25" t="str">
        <f aca="false">IF(入力シート!$A131="","",0)</f>
        <v/>
      </c>
      <c r="D127" s="25" t="str">
        <f aca="false">IF(入力シート!$A131="","",TEXT(入力シート!A131,"YYYYMMDD"))</f>
        <v/>
      </c>
      <c r="E127" s="25" t="str">
        <f aca="false">IF(入力シート!$A131="","",TEXT(入力シート!Q131,"00000000"))</f>
        <v/>
      </c>
      <c r="F127" s="25" t="str">
        <f aca="false">IF(入力シート!$A131="","",14)</f>
        <v/>
      </c>
      <c r="G127" s="25" t="str">
        <f aca="false">IF(入力シート!$A131="","",1)</f>
        <v/>
      </c>
      <c r="H127" s="25" t="str">
        <f aca="false">IF(入力シート!$A131="","",1)</f>
        <v/>
      </c>
      <c r="I127" s="25" t="str">
        <f aca="false">IF(入力シート!$A131="","",3)</f>
        <v/>
      </c>
      <c r="J127" s="25" t="str">
        <f aca="false">IF(入力シート!$A131="","",1)</f>
        <v/>
      </c>
      <c r="K127" s="25" t="str">
        <f aca="false">IF(入力シート!$A131="","",入力シート!B131)</f>
        <v/>
      </c>
      <c r="L127" s="25" t="str">
        <f aca="false">IF(入力シート!$A131="","","")</f>
        <v/>
      </c>
      <c r="M127" s="25" t="str">
        <f aca="false">IF(入力シート!$A131="","","")</f>
        <v/>
      </c>
      <c r="N127" s="25" t="str">
        <f aca="false">IF(入力シート!$A131="","",入力シート!R131)</f>
        <v/>
      </c>
      <c r="O127" s="25" t="str">
        <f aca="false">IF(入力シート!$A131="","",IF(入力シート!G131="",1,入力シート!G131))</f>
        <v/>
      </c>
      <c r="P127" s="25" t="str">
        <f aca="false">IF(入力シート!$A131="","",入力シート!D131)</f>
        <v/>
      </c>
      <c r="Q127" s="25" t="str">
        <f aca="false">IF(入力シート!$A131="","","")</f>
        <v/>
      </c>
      <c r="R127" s="25" t="str">
        <f aca="false">IF(入力シート!$A131="","",入力シート!J131)</f>
        <v/>
      </c>
      <c r="S127" s="25" t="str">
        <f aca="false">IF(入力シート!$A131="","",入力シート!L131)</f>
        <v/>
      </c>
      <c r="T127" s="25" t="str">
        <f aca="false">IF(入力シート!$A131="","",入力シート!K131)</f>
        <v/>
      </c>
      <c r="U127" s="25" t="str">
        <f aca="false">IF(入力シート!$A131="","",0)</f>
        <v/>
      </c>
      <c r="V127" s="25" t="str">
        <f aca="false">IF(入力シート!$A131="","",0)</f>
        <v/>
      </c>
      <c r="W127" s="25" t="str">
        <f aca="false">IF(入力シート!$A131="","","0000")</f>
        <v/>
      </c>
      <c r="X127" s="25" t="str">
        <f aca="false">IF(入力シート!$A131="","",入力シート!E131)</f>
        <v/>
      </c>
      <c r="Y127" s="25" t="str">
        <f aca="false">IF(入力シート!$A131="","",入力シート!F131)</f>
        <v/>
      </c>
      <c r="Z127" s="25" t="str">
        <f aca="false">IF(入力シート!$A131="","",入力シート!O131)</f>
        <v/>
      </c>
      <c r="AA127" s="25" t="str">
        <f aca="false">IF(入力シート!$A131="","","")</f>
        <v/>
      </c>
      <c r="AB127" s="25" t="str">
        <f aca="false">IF(入力シート!$A131="","",入力シート!P131)</f>
        <v/>
      </c>
      <c r="AC127" s="25" t="str">
        <f aca="false">IF(入力シート!$A131="","",入力シート!U131)</f>
        <v/>
      </c>
      <c r="AD127" s="25" t="str">
        <f aca="false">IF(入力シート!$A131="","",0)</f>
        <v/>
      </c>
      <c r="AE127" s="25" t="str">
        <f aca="false">IF(入力シート!$A131="","",入力シート!I131)</f>
        <v/>
      </c>
      <c r="AF127" s="25" t="str">
        <f aca="false">IF(入力シート!$A131="","",入力シート!M131)</f>
        <v/>
      </c>
      <c r="AG127" s="25" t="str">
        <f aca="false">IF(入力シート!$A131="","",入力シート!N131)</f>
        <v/>
      </c>
      <c r="AH127" s="25" t="str">
        <f aca="false">IF(入力シート!$A131="","","")</f>
        <v/>
      </c>
      <c r="AI127" s="25" t="str">
        <f aca="false">IF(入力シート!$A131="","","")</f>
        <v/>
      </c>
      <c r="AJ127" s="25" t="str">
        <f aca="false">IF(入力シート!$A131="","","")</f>
        <v/>
      </c>
      <c r="AK127" s="25" t="str">
        <f aca="false">IF(入力シート!$A131="","",2)</f>
        <v/>
      </c>
      <c r="AL127" s="25" t="str">
        <f aca="false">IF(入力シート!$A131="","","")</f>
        <v/>
      </c>
      <c r="AM127" s="25" t="str">
        <f aca="false">IF(入力シート!$A131="","","")</f>
        <v/>
      </c>
      <c r="AN127" s="25" t="str">
        <f aca="false">IF(入力シート!$A131="","",入力シート!C131)</f>
        <v/>
      </c>
      <c r="AO127" s="25" t="str">
        <f aca="false">IF(入力シート!$A131="","","")</f>
        <v/>
      </c>
      <c r="AP127" s="25" t="str">
        <f aca="false">IF(入力シート!$A131="","","")</f>
        <v/>
      </c>
      <c r="AQ127" s="25" t="str">
        <f aca="false">IF(入力シート!$A131="","","")</f>
        <v/>
      </c>
    </row>
    <row r="128" customFormat="false" ht="15" hidden="false" customHeight="true" outlineLevel="0" collapsed="false">
      <c r="A128" s="25" t="str">
        <f aca="false">IF(入力シート!$A132="","",1)</f>
        <v/>
      </c>
      <c r="B128" s="25" t="str">
        <f aca="false">IF(入力シート!$A132="","",1)</f>
        <v/>
      </c>
      <c r="C128" s="25" t="str">
        <f aca="false">IF(入力シート!$A132="","",0)</f>
        <v/>
      </c>
      <c r="D128" s="25" t="str">
        <f aca="false">IF(入力シート!$A132="","",TEXT(入力シート!A132,"YYYYMMDD"))</f>
        <v/>
      </c>
      <c r="E128" s="25" t="str">
        <f aca="false">IF(入力シート!$A132="","",TEXT(入力シート!Q132,"00000000"))</f>
        <v/>
      </c>
      <c r="F128" s="25" t="str">
        <f aca="false">IF(入力シート!$A132="","",14)</f>
        <v/>
      </c>
      <c r="G128" s="25" t="str">
        <f aca="false">IF(入力シート!$A132="","",1)</f>
        <v/>
      </c>
      <c r="H128" s="25" t="str">
        <f aca="false">IF(入力シート!$A132="","",1)</f>
        <v/>
      </c>
      <c r="I128" s="25" t="str">
        <f aca="false">IF(入力シート!$A132="","",3)</f>
        <v/>
      </c>
      <c r="J128" s="25" t="str">
        <f aca="false">IF(入力シート!$A132="","",1)</f>
        <v/>
      </c>
      <c r="K128" s="25" t="str">
        <f aca="false">IF(入力シート!$A132="","",入力シート!B132)</f>
        <v/>
      </c>
      <c r="L128" s="25" t="str">
        <f aca="false">IF(入力シート!$A132="","","")</f>
        <v/>
      </c>
      <c r="M128" s="25" t="str">
        <f aca="false">IF(入力シート!$A132="","","")</f>
        <v/>
      </c>
      <c r="N128" s="25" t="str">
        <f aca="false">IF(入力シート!$A132="","",入力シート!R132)</f>
        <v/>
      </c>
      <c r="O128" s="25" t="str">
        <f aca="false">IF(入力シート!$A132="","",IF(入力シート!G132="",1,入力シート!G132))</f>
        <v/>
      </c>
      <c r="P128" s="25" t="str">
        <f aca="false">IF(入力シート!$A132="","",入力シート!D132)</f>
        <v/>
      </c>
      <c r="Q128" s="25" t="str">
        <f aca="false">IF(入力シート!$A132="","","")</f>
        <v/>
      </c>
      <c r="R128" s="25" t="str">
        <f aca="false">IF(入力シート!$A132="","",入力シート!J132)</f>
        <v/>
      </c>
      <c r="S128" s="25" t="str">
        <f aca="false">IF(入力シート!$A132="","",入力シート!L132)</f>
        <v/>
      </c>
      <c r="T128" s="25" t="str">
        <f aca="false">IF(入力シート!$A132="","",入力シート!K132)</f>
        <v/>
      </c>
      <c r="U128" s="25" t="str">
        <f aca="false">IF(入力シート!$A132="","",0)</f>
        <v/>
      </c>
      <c r="V128" s="25" t="str">
        <f aca="false">IF(入力シート!$A132="","",0)</f>
        <v/>
      </c>
      <c r="W128" s="25" t="str">
        <f aca="false">IF(入力シート!$A132="","","0000")</f>
        <v/>
      </c>
      <c r="X128" s="25" t="str">
        <f aca="false">IF(入力シート!$A132="","",入力シート!E132)</f>
        <v/>
      </c>
      <c r="Y128" s="25" t="str">
        <f aca="false">IF(入力シート!$A132="","",入力シート!F132)</f>
        <v/>
      </c>
      <c r="Z128" s="25" t="str">
        <f aca="false">IF(入力シート!$A132="","",入力シート!O132)</f>
        <v/>
      </c>
      <c r="AA128" s="25" t="str">
        <f aca="false">IF(入力シート!$A132="","","")</f>
        <v/>
      </c>
      <c r="AB128" s="25" t="str">
        <f aca="false">IF(入力シート!$A132="","",入力シート!P132)</f>
        <v/>
      </c>
      <c r="AC128" s="25" t="str">
        <f aca="false">IF(入力シート!$A132="","",入力シート!U132)</f>
        <v/>
      </c>
      <c r="AD128" s="25" t="str">
        <f aca="false">IF(入力シート!$A132="","",0)</f>
        <v/>
      </c>
      <c r="AE128" s="25" t="str">
        <f aca="false">IF(入力シート!$A132="","",入力シート!I132)</f>
        <v/>
      </c>
      <c r="AF128" s="25" t="str">
        <f aca="false">IF(入力シート!$A132="","",入力シート!M132)</f>
        <v/>
      </c>
      <c r="AG128" s="25" t="str">
        <f aca="false">IF(入力シート!$A132="","",入力シート!N132)</f>
        <v/>
      </c>
      <c r="AH128" s="25" t="str">
        <f aca="false">IF(入力シート!$A132="","","")</f>
        <v/>
      </c>
      <c r="AI128" s="25" t="str">
        <f aca="false">IF(入力シート!$A132="","","")</f>
        <v/>
      </c>
      <c r="AJ128" s="25" t="str">
        <f aca="false">IF(入力シート!$A132="","","")</f>
        <v/>
      </c>
      <c r="AK128" s="25" t="str">
        <f aca="false">IF(入力シート!$A132="","",2)</f>
        <v/>
      </c>
      <c r="AL128" s="25" t="str">
        <f aca="false">IF(入力シート!$A132="","","")</f>
        <v/>
      </c>
      <c r="AM128" s="25" t="str">
        <f aca="false">IF(入力シート!$A132="","","")</f>
        <v/>
      </c>
      <c r="AN128" s="25" t="str">
        <f aca="false">IF(入力シート!$A132="","",入力シート!C132)</f>
        <v/>
      </c>
      <c r="AO128" s="25" t="str">
        <f aca="false">IF(入力シート!$A132="","","")</f>
        <v/>
      </c>
      <c r="AP128" s="25" t="str">
        <f aca="false">IF(入力シート!$A132="","","")</f>
        <v/>
      </c>
      <c r="AQ128" s="25" t="str">
        <f aca="false">IF(入力シート!$A132="","","")</f>
        <v/>
      </c>
    </row>
    <row r="129" customFormat="false" ht="15" hidden="false" customHeight="true" outlineLevel="0" collapsed="false">
      <c r="A129" s="25" t="str">
        <f aca="false">IF(入力シート!$A133="","",1)</f>
        <v/>
      </c>
      <c r="B129" s="25" t="str">
        <f aca="false">IF(入力シート!$A133="","",1)</f>
        <v/>
      </c>
      <c r="C129" s="25" t="str">
        <f aca="false">IF(入力シート!$A133="","",0)</f>
        <v/>
      </c>
      <c r="D129" s="25" t="str">
        <f aca="false">IF(入力シート!$A133="","",TEXT(入力シート!A133,"YYYYMMDD"))</f>
        <v/>
      </c>
      <c r="E129" s="25" t="str">
        <f aca="false">IF(入力シート!$A133="","",TEXT(入力シート!Q133,"00000000"))</f>
        <v/>
      </c>
      <c r="F129" s="25" t="str">
        <f aca="false">IF(入力シート!$A133="","",14)</f>
        <v/>
      </c>
      <c r="G129" s="25" t="str">
        <f aca="false">IF(入力シート!$A133="","",1)</f>
        <v/>
      </c>
      <c r="H129" s="25" t="str">
        <f aca="false">IF(入力シート!$A133="","",1)</f>
        <v/>
      </c>
      <c r="I129" s="25" t="str">
        <f aca="false">IF(入力シート!$A133="","",3)</f>
        <v/>
      </c>
      <c r="J129" s="25" t="str">
        <f aca="false">IF(入力シート!$A133="","",1)</f>
        <v/>
      </c>
      <c r="K129" s="25" t="str">
        <f aca="false">IF(入力シート!$A133="","",入力シート!B133)</f>
        <v/>
      </c>
      <c r="L129" s="25" t="str">
        <f aca="false">IF(入力シート!$A133="","","")</f>
        <v/>
      </c>
      <c r="M129" s="25" t="str">
        <f aca="false">IF(入力シート!$A133="","","")</f>
        <v/>
      </c>
      <c r="N129" s="25" t="str">
        <f aca="false">IF(入力シート!$A133="","",入力シート!R133)</f>
        <v/>
      </c>
      <c r="O129" s="25" t="str">
        <f aca="false">IF(入力シート!$A133="","",IF(入力シート!G133="",1,入力シート!G133))</f>
        <v/>
      </c>
      <c r="P129" s="25" t="str">
        <f aca="false">IF(入力シート!$A133="","",入力シート!D133)</f>
        <v/>
      </c>
      <c r="Q129" s="25" t="str">
        <f aca="false">IF(入力シート!$A133="","","")</f>
        <v/>
      </c>
      <c r="R129" s="25" t="str">
        <f aca="false">IF(入力シート!$A133="","",入力シート!J133)</f>
        <v/>
      </c>
      <c r="S129" s="25" t="str">
        <f aca="false">IF(入力シート!$A133="","",入力シート!L133)</f>
        <v/>
      </c>
      <c r="T129" s="25" t="str">
        <f aca="false">IF(入力シート!$A133="","",入力シート!K133)</f>
        <v/>
      </c>
      <c r="U129" s="25" t="str">
        <f aca="false">IF(入力シート!$A133="","",0)</f>
        <v/>
      </c>
      <c r="V129" s="25" t="str">
        <f aca="false">IF(入力シート!$A133="","",0)</f>
        <v/>
      </c>
      <c r="W129" s="25" t="str">
        <f aca="false">IF(入力シート!$A133="","","0000")</f>
        <v/>
      </c>
      <c r="X129" s="25" t="str">
        <f aca="false">IF(入力シート!$A133="","",入力シート!E133)</f>
        <v/>
      </c>
      <c r="Y129" s="25" t="str">
        <f aca="false">IF(入力シート!$A133="","",入力シート!F133)</f>
        <v/>
      </c>
      <c r="Z129" s="25" t="str">
        <f aca="false">IF(入力シート!$A133="","",入力シート!O133)</f>
        <v/>
      </c>
      <c r="AA129" s="25" t="str">
        <f aca="false">IF(入力シート!$A133="","","")</f>
        <v/>
      </c>
      <c r="AB129" s="25" t="str">
        <f aca="false">IF(入力シート!$A133="","",入力シート!P133)</f>
        <v/>
      </c>
      <c r="AC129" s="25" t="str">
        <f aca="false">IF(入力シート!$A133="","",入力シート!U133)</f>
        <v/>
      </c>
      <c r="AD129" s="25" t="str">
        <f aca="false">IF(入力シート!$A133="","",0)</f>
        <v/>
      </c>
      <c r="AE129" s="25" t="str">
        <f aca="false">IF(入力シート!$A133="","",入力シート!I133)</f>
        <v/>
      </c>
      <c r="AF129" s="25" t="str">
        <f aca="false">IF(入力シート!$A133="","",入力シート!M133)</f>
        <v/>
      </c>
      <c r="AG129" s="25" t="str">
        <f aca="false">IF(入力シート!$A133="","",入力シート!N133)</f>
        <v/>
      </c>
      <c r="AH129" s="25" t="str">
        <f aca="false">IF(入力シート!$A133="","","")</f>
        <v/>
      </c>
      <c r="AI129" s="25" t="str">
        <f aca="false">IF(入力シート!$A133="","","")</f>
        <v/>
      </c>
      <c r="AJ129" s="25" t="str">
        <f aca="false">IF(入力シート!$A133="","","")</f>
        <v/>
      </c>
      <c r="AK129" s="25" t="str">
        <f aca="false">IF(入力シート!$A133="","",2)</f>
        <v/>
      </c>
      <c r="AL129" s="25" t="str">
        <f aca="false">IF(入力シート!$A133="","","")</f>
        <v/>
      </c>
      <c r="AM129" s="25" t="str">
        <f aca="false">IF(入力シート!$A133="","","")</f>
        <v/>
      </c>
      <c r="AN129" s="25" t="str">
        <f aca="false">IF(入力シート!$A133="","",入力シート!C133)</f>
        <v/>
      </c>
      <c r="AO129" s="25" t="str">
        <f aca="false">IF(入力シート!$A133="","","")</f>
        <v/>
      </c>
      <c r="AP129" s="25" t="str">
        <f aca="false">IF(入力シート!$A133="","","")</f>
        <v/>
      </c>
      <c r="AQ129" s="25" t="str">
        <f aca="false">IF(入力シート!$A133="","","")</f>
        <v/>
      </c>
    </row>
    <row r="130" customFormat="false" ht="15" hidden="false" customHeight="true" outlineLevel="0" collapsed="false">
      <c r="A130" s="25" t="str">
        <f aca="false">IF(入力シート!$A134="","",1)</f>
        <v/>
      </c>
      <c r="B130" s="25" t="str">
        <f aca="false">IF(入力シート!$A134="","",1)</f>
        <v/>
      </c>
      <c r="C130" s="25" t="str">
        <f aca="false">IF(入力シート!$A134="","",0)</f>
        <v/>
      </c>
      <c r="D130" s="25" t="str">
        <f aca="false">IF(入力シート!$A134="","",TEXT(入力シート!A134,"YYYYMMDD"))</f>
        <v/>
      </c>
      <c r="E130" s="25" t="str">
        <f aca="false">IF(入力シート!$A134="","",TEXT(入力シート!Q134,"00000000"))</f>
        <v/>
      </c>
      <c r="F130" s="25" t="str">
        <f aca="false">IF(入力シート!$A134="","",14)</f>
        <v/>
      </c>
      <c r="G130" s="25" t="str">
        <f aca="false">IF(入力シート!$A134="","",1)</f>
        <v/>
      </c>
      <c r="H130" s="25" t="str">
        <f aca="false">IF(入力シート!$A134="","",1)</f>
        <v/>
      </c>
      <c r="I130" s="25" t="str">
        <f aca="false">IF(入力シート!$A134="","",3)</f>
        <v/>
      </c>
      <c r="J130" s="25" t="str">
        <f aca="false">IF(入力シート!$A134="","",1)</f>
        <v/>
      </c>
      <c r="K130" s="25" t="str">
        <f aca="false">IF(入力シート!$A134="","",入力シート!B134)</f>
        <v/>
      </c>
      <c r="L130" s="25" t="str">
        <f aca="false">IF(入力シート!$A134="","","")</f>
        <v/>
      </c>
      <c r="M130" s="25" t="str">
        <f aca="false">IF(入力シート!$A134="","","")</f>
        <v/>
      </c>
      <c r="N130" s="25" t="str">
        <f aca="false">IF(入力シート!$A134="","",入力シート!R134)</f>
        <v/>
      </c>
      <c r="O130" s="25" t="str">
        <f aca="false">IF(入力シート!$A134="","",IF(入力シート!G134="",1,入力シート!G134))</f>
        <v/>
      </c>
      <c r="P130" s="25" t="str">
        <f aca="false">IF(入力シート!$A134="","",入力シート!D134)</f>
        <v/>
      </c>
      <c r="Q130" s="25" t="str">
        <f aca="false">IF(入力シート!$A134="","","")</f>
        <v/>
      </c>
      <c r="R130" s="25" t="str">
        <f aca="false">IF(入力シート!$A134="","",入力シート!J134)</f>
        <v/>
      </c>
      <c r="S130" s="25" t="str">
        <f aca="false">IF(入力シート!$A134="","",入力シート!L134)</f>
        <v/>
      </c>
      <c r="T130" s="25" t="str">
        <f aca="false">IF(入力シート!$A134="","",入力シート!K134)</f>
        <v/>
      </c>
      <c r="U130" s="25" t="str">
        <f aca="false">IF(入力シート!$A134="","",0)</f>
        <v/>
      </c>
      <c r="V130" s="25" t="str">
        <f aca="false">IF(入力シート!$A134="","",0)</f>
        <v/>
      </c>
      <c r="W130" s="25" t="str">
        <f aca="false">IF(入力シート!$A134="","","0000")</f>
        <v/>
      </c>
      <c r="X130" s="25" t="str">
        <f aca="false">IF(入力シート!$A134="","",入力シート!E134)</f>
        <v/>
      </c>
      <c r="Y130" s="25" t="str">
        <f aca="false">IF(入力シート!$A134="","",入力シート!F134)</f>
        <v/>
      </c>
      <c r="Z130" s="25" t="str">
        <f aca="false">IF(入力シート!$A134="","",入力シート!O134)</f>
        <v/>
      </c>
      <c r="AA130" s="25" t="str">
        <f aca="false">IF(入力シート!$A134="","","")</f>
        <v/>
      </c>
      <c r="AB130" s="25" t="str">
        <f aca="false">IF(入力シート!$A134="","",入力シート!P134)</f>
        <v/>
      </c>
      <c r="AC130" s="25" t="str">
        <f aca="false">IF(入力シート!$A134="","",入力シート!U134)</f>
        <v/>
      </c>
      <c r="AD130" s="25" t="str">
        <f aca="false">IF(入力シート!$A134="","",0)</f>
        <v/>
      </c>
      <c r="AE130" s="25" t="str">
        <f aca="false">IF(入力シート!$A134="","",入力シート!I134)</f>
        <v/>
      </c>
      <c r="AF130" s="25" t="str">
        <f aca="false">IF(入力シート!$A134="","",入力シート!M134)</f>
        <v/>
      </c>
      <c r="AG130" s="25" t="str">
        <f aca="false">IF(入力シート!$A134="","",入力シート!N134)</f>
        <v/>
      </c>
      <c r="AH130" s="25" t="str">
        <f aca="false">IF(入力シート!$A134="","","")</f>
        <v/>
      </c>
      <c r="AI130" s="25" t="str">
        <f aca="false">IF(入力シート!$A134="","","")</f>
        <v/>
      </c>
      <c r="AJ130" s="25" t="str">
        <f aca="false">IF(入力シート!$A134="","","")</f>
        <v/>
      </c>
      <c r="AK130" s="25" t="str">
        <f aca="false">IF(入力シート!$A134="","",2)</f>
        <v/>
      </c>
      <c r="AL130" s="25" t="str">
        <f aca="false">IF(入力シート!$A134="","","")</f>
        <v/>
      </c>
      <c r="AM130" s="25" t="str">
        <f aca="false">IF(入力シート!$A134="","","")</f>
        <v/>
      </c>
      <c r="AN130" s="25" t="str">
        <f aca="false">IF(入力シート!$A134="","",入力シート!C134)</f>
        <v/>
      </c>
      <c r="AO130" s="25" t="str">
        <f aca="false">IF(入力シート!$A134="","","")</f>
        <v/>
      </c>
      <c r="AP130" s="25" t="str">
        <f aca="false">IF(入力シート!$A134="","","")</f>
        <v/>
      </c>
      <c r="AQ130" s="25" t="str">
        <f aca="false">IF(入力シート!$A134="","","")</f>
        <v/>
      </c>
    </row>
    <row r="131" customFormat="false" ht="15" hidden="false" customHeight="true" outlineLevel="0" collapsed="false">
      <c r="A131" s="25" t="str">
        <f aca="false">IF(入力シート!$A135="","",1)</f>
        <v/>
      </c>
      <c r="B131" s="25" t="str">
        <f aca="false">IF(入力シート!$A135="","",1)</f>
        <v/>
      </c>
      <c r="C131" s="25" t="str">
        <f aca="false">IF(入力シート!$A135="","",0)</f>
        <v/>
      </c>
      <c r="D131" s="25" t="str">
        <f aca="false">IF(入力シート!$A135="","",TEXT(入力シート!A135,"YYYYMMDD"))</f>
        <v/>
      </c>
      <c r="E131" s="25" t="str">
        <f aca="false">IF(入力シート!$A135="","",TEXT(入力シート!Q135,"00000000"))</f>
        <v/>
      </c>
      <c r="F131" s="25" t="str">
        <f aca="false">IF(入力シート!$A135="","",14)</f>
        <v/>
      </c>
      <c r="G131" s="25" t="str">
        <f aca="false">IF(入力シート!$A135="","",1)</f>
        <v/>
      </c>
      <c r="H131" s="25" t="str">
        <f aca="false">IF(入力シート!$A135="","",1)</f>
        <v/>
      </c>
      <c r="I131" s="25" t="str">
        <f aca="false">IF(入力シート!$A135="","",3)</f>
        <v/>
      </c>
      <c r="J131" s="25" t="str">
        <f aca="false">IF(入力シート!$A135="","",1)</f>
        <v/>
      </c>
      <c r="K131" s="25" t="str">
        <f aca="false">IF(入力シート!$A135="","",入力シート!B135)</f>
        <v/>
      </c>
      <c r="L131" s="25" t="str">
        <f aca="false">IF(入力シート!$A135="","","")</f>
        <v/>
      </c>
      <c r="M131" s="25" t="str">
        <f aca="false">IF(入力シート!$A135="","","")</f>
        <v/>
      </c>
      <c r="N131" s="25" t="str">
        <f aca="false">IF(入力シート!$A135="","",入力シート!R135)</f>
        <v/>
      </c>
      <c r="O131" s="25" t="str">
        <f aca="false">IF(入力シート!$A135="","",IF(入力シート!G135="",1,入力シート!G135))</f>
        <v/>
      </c>
      <c r="P131" s="25" t="str">
        <f aca="false">IF(入力シート!$A135="","",入力シート!D135)</f>
        <v/>
      </c>
      <c r="Q131" s="25" t="str">
        <f aca="false">IF(入力シート!$A135="","","")</f>
        <v/>
      </c>
      <c r="R131" s="25" t="str">
        <f aca="false">IF(入力シート!$A135="","",入力シート!J135)</f>
        <v/>
      </c>
      <c r="S131" s="25" t="str">
        <f aca="false">IF(入力シート!$A135="","",入力シート!L135)</f>
        <v/>
      </c>
      <c r="T131" s="25" t="str">
        <f aca="false">IF(入力シート!$A135="","",入力シート!K135)</f>
        <v/>
      </c>
      <c r="U131" s="25" t="str">
        <f aca="false">IF(入力シート!$A135="","",0)</f>
        <v/>
      </c>
      <c r="V131" s="25" t="str">
        <f aca="false">IF(入力シート!$A135="","",0)</f>
        <v/>
      </c>
      <c r="W131" s="25" t="str">
        <f aca="false">IF(入力シート!$A135="","","0000")</f>
        <v/>
      </c>
      <c r="X131" s="25" t="str">
        <f aca="false">IF(入力シート!$A135="","",入力シート!E135)</f>
        <v/>
      </c>
      <c r="Y131" s="25" t="str">
        <f aca="false">IF(入力シート!$A135="","",入力シート!F135)</f>
        <v/>
      </c>
      <c r="Z131" s="25" t="str">
        <f aca="false">IF(入力シート!$A135="","",入力シート!O135)</f>
        <v/>
      </c>
      <c r="AA131" s="25" t="str">
        <f aca="false">IF(入力シート!$A135="","","")</f>
        <v/>
      </c>
      <c r="AB131" s="25" t="str">
        <f aca="false">IF(入力シート!$A135="","",入力シート!P135)</f>
        <v/>
      </c>
      <c r="AC131" s="25" t="str">
        <f aca="false">IF(入力シート!$A135="","",入力シート!U135)</f>
        <v/>
      </c>
      <c r="AD131" s="25" t="str">
        <f aca="false">IF(入力シート!$A135="","",0)</f>
        <v/>
      </c>
      <c r="AE131" s="25" t="str">
        <f aca="false">IF(入力シート!$A135="","",入力シート!I135)</f>
        <v/>
      </c>
      <c r="AF131" s="25" t="str">
        <f aca="false">IF(入力シート!$A135="","",入力シート!M135)</f>
        <v/>
      </c>
      <c r="AG131" s="25" t="str">
        <f aca="false">IF(入力シート!$A135="","",入力シート!N135)</f>
        <v/>
      </c>
      <c r="AH131" s="25" t="str">
        <f aca="false">IF(入力シート!$A135="","","")</f>
        <v/>
      </c>
      <c r="AI131" s="25" t="str">
        <f aca="false">IF(入力シート!$A135="","","")</f>
        <v/>
      </c>
      <c r="AJ131" s="25" t="str">
        <f aca="false">IF(入力シート!$A135="","","")</f>
        <v/>
      </c>
      <c r="AK131" s="25" t="str">
        <f aca="false">IF(入力シート!$A135="","",2)</f>
        <v/>
      </c>
      <c r="AL131" s="25" t="str">
        <f aca="false">IF(入力シート!$A135="","","")</f>
        <v/>
      </c>
      <c r="AM131" s="25" t="str">
        <f aca="false">IF(入力シート!$A135="","","")</f>
        <v/>
      </c>
      <c r="AN131" s="25" t="str">
        <f aca="false">IF(入力シート!$A135="","",入力シート!C135)</f>
        <v/>
      </c>
      <c r="AO131" s="25" t="str">
        <f aca="false">IF(入力シート!$A135="","","")</f>
        <v/>
      </c>
      <c r="AP131" s="25" t="str">
        <f aca="false">IF(入力シート!$A135="","","")</f>
        <v/>
      </c>
      <c r="AQ131" s="25" t="str">
        <f aca="false">IF(入力シート!$A135="","","")</f>
        <v/>
      </c>
    </row>
    <row r="132" customFormat="false" ht="15" hidden="false" customHeight="true" outlineLevel="0" collapsed="false">
      <c r="A132" s="25" t="str">
        <f aca="false">IF(入力シート!$A136="","",1)</f>
        <v/>
      </c>
      <c r="B132" s="25" t="str">
        <f aca="false">IF(入力シート!$A136="","",1)</f>
        <v/>
      </c>
      <c r="C132" s="25" t="str">
        <f aca="false">IF(入力シート!$A136="","",0)</f>
        <v/>
      </c>
      <c r="D132" s="25" t="str">
        <f aca="false">IF(入力シート!$A136="","",TEXT(入力シート!A136,"YYYYMMDD"))</f>
        <v/>
      </c>
      <c r="E132" s="25" t="str">
        <f aca="false">IF(入力シート!$A136="","",TEXT(入力シート!Q136,"00000000"))</f>
        <v/>
      </c>
      <c r="F132" s="25" t="str">
        <f aca="false">IF(入力シート!$A136="","",14)</f>
        <v/>
      </c>
      <c r="G132" s="25" t="str">
        <f aca="false">IF(入力シート!$A136="","",1)</f>
        <v/>
      </c>
      <c r="H132" s="25" t="str">
        <f aca="false">IF(入力シート!$A136="","",1)</f>
        <v/>
      </c>
      <c r="I132" s="25" t="str">
        <f aca="false">IF(入力シート!$A136="","",3)</f>
        <v/>
      </c>
      <c r="J132" s="25" t="str">
        <f aca="false">IF(入力シート!$A136="","",1)</f>
        <v/>
      </c>
      <c r="K132" s="25" t="str">
        <f aca="false">IF(入力シート!$A136="","",入力シート!B136)</f>
        <v/>
      </c>
      <c r="L132" s="25" t="str">
        <f aca="false">IF(入力シート!$A136="","","")</f>
        <v/>
      </c>
      <c r="M132" s="25" t="str">
        <f aca="false">IF(入力シート!$A136="","","")</f>
        <v/>
      </c>
      <c r="N132" s="25" t="str">
        <f aca="false">IF(入力シート!$A136="","",入力シート!R136)</f>
        <v/>
      </c>
      <c r="O132" s="25" t="str">
        <f aca="false">IF(入力シート!$A136="","",IF(入力シート!G136="",1,入力シート!G136))</f>
        <v/>
      </c>
      <c r="P132" s="25" t="str">
        <f aca="false">IF(入力シート!$A136="","",入力シート!D136)</f>
        <v/>
      </c>
      <c r="Q132" s="25" t="str">
        <f aca="false">IF(入力シート!$A136="","","")</f>
        <v/>
      </c>
      <c r="R132" s="25" t="str">
        <f aca="false">IF(入力シート!$A136="","",入力シート!J136)</f>
        <v/>
      </c>
      <c r="S132" s="25" t="str">
        <f aca="false">IF(入力シート!$A136="","",入力シート!L136)</f>
        <v/>
      </c>
      <c r="T132" s="25" t="str">
        <f aca="false">IF(入力シート!$A136="","",入力シート!K136)</f>
        <v/>
      </c>
      <c r="U132" s="25" t="str">
        <f aca="false">IF(入力シート!$A136="","",0)</f>
        <v/>
      </c>
      <c r="V132" s="25" t="str">
        <f aca="false">IF(入力シート!$A136="","",0)</f>
        <v/>
      </c>
      <c r="W132" s="25" t="str">
        <f aca="false">IF(入力シート!$A136="","","0000")</f>
        <v/>
      </c>
      <c r="X132" s="25" t="str">
        <f aca="false">IF(入力シート!$A136="","",入力シート!E136)</f>
        <v/>
      </c>
      <c r="Y132" s="25" t="str">
        <f aca="false">IF(入力シート!$A136="","",入力シート!F136)</f>
        <v/>
      </c>
      <c r="Z132" s="25" t="str">
        <f aca="false">IF(入力シート!$A136="","",入力シート!O136)</f>
        <v/>
      </c>
      <c r="AA132" s="25" t="str">
        <f aca="false">IF(入力シート!$A136="","","")</f>
        <v/>
      </c>
      <c r="AB132" s="25" t="str">
        <f aca="false">IF(入力シート!$A136="","",入力シート!P136)</f>
        <v/>
      </c>
      <c r="AC132" s="25" t="str">
        <f aca="false">IF(入力シート!$A136="","",入力シート!U136)</f>
        <v/>
      </c>
      <c r="AD132" s="25" t="str">
        <f aca="false">IF(入力シート!$A136="","",0)</f>
        <v/>
      </c>
      <c r="AE132" s="25" t="str">
        <f aca="false">IF(入力シート!$A136="","",入力シート!I136)</f>
        <v/>
      </c>
      <c r="AF132" s="25" t="str">
        <f aca="false">IF(入力シート!$A136="","",入力シート!M136)</f>
        <v/>
      </c>
      <c r="AG132" s="25" t="str">
        <f aca="false">IF(入力シート!$A136="","",入力シート!N136)</f>
        <v/>
      </c>
      <c r="AH132" s="25" t="str">
        <f aca="false">IF(入力シート!$A136="","","")</f>
        <v/>
      </c>
      <c r="AI132" s="25" t="str">
        <f aca="false">IF(入力シート!$A136="","","")</f>
        <v/>
      </c>
      <c r="AJ132" s="25" t="str">
        <f aca="false">IF(入力シート!$A136="","","")</f>
        <v/>
      </c>
      <c r="AK132" s="25" t="str">
        <f aca="false">IF(入力シート!$A136="","",2)</f>
        <v/>
      </c>
      <c r="AL132" s="25" t="str">
        <f aca="false">IF(入力シート!$A136="","","")</f>
        <v/>
      </c>
      <c r="AM132" s="25" t="str">
        <f aca="false">IF(入力シート!$A136="","","")</f>
        <v/>
      </c>
      <c r="AN132" s="25" t="str">
        <f aca="false">IF(入力シート!$A136="","",入力シート!C136)</f>
        <v/>
      </c>
      <c r="AO132" s="25" t="str">
        <f aca="false">IF(入力シート!$A136="","","")</f>
        <v/>
      </c>
      <c r="AP132" s="25" t="str">
        <f aca="false">IF(入力シート!$A136="","","")</f>
        <v/>
      </c>
      <c r="AQ132" s="25" t="str">
        <f aca="false">IF(入力シート!$A136="","","")</f>
        <v/>
      </c>
    </row>
    <row r="133" customFormat="false" ht="15" hidden="false" customHeight="true" outlineLevel="0" collapsed="false">
      <c r="A133" s="25" t="str">
        <f aca="false">IF(入力シート!$A137="","",1)</f>
        <v/>
      </c>
      <c r="B133" s="25" t="str">
        <f aca="false">IF(入力シート!$A137="","",1)</f>
        <v/>
      </c>
      <c r="C133" s="25" t="str">
        <f aca="false">IF(入力シート!$A137="","",0)</f>
        <v/>
      </c>
      <c r="D133" s="25" t="str">
        <f aca="false">IF(入力シート!$A137="","",TEXT(入力シート!A137,"YYYYMMDD"))</f>
        <v/>
      </c>
      <c r="E133" s="25" t="str">
        <f aca="false">IF(入力シート!$A137="","",TEXT(入力シート!Q137,"00000000"))</f>
        <v/>
      </c>
      <c r="F133" s="25" t="str">
        <f aca="false">IF(入力シート!$A137="","",14)</f>
        <v/>
      </c>
      <c r="G133" s="25" t="str">
        <f aca="false">IF(入力シート!$A137="","",1)</f>
        <v/>
      </c>
      <c r="H133" s="25" t="str">
        <f aca="false">IF(入力シート!$A137="","",1)</f>
        <v/>
      </c>
      <c r="I133" s="25" t="str">
        <f aca="false">IF(入力シート!$A137="","",3)</f>
        <v/>
      </c>
      <c r="J133" s="25" t="str">
        <f aca="false">IF(入力シート!$A137="","",1)</f>
        <v/>
      </c>
      <c r="K133" s="25" t="str">
        <f aca="false">IF(入力シート!$A137="","",入力シート!B137)</f>
        <v/>
      </c>
      <c r="L133" s="25" t="str">
        <f aca="false">IF(入力シート!$A137="","","")</f>
        <v/>
      </c>
      <c r="M133" s="25" t="str">
        <f aca="false">IF(入力シート!$A137="","","")</f>
        <v/>
      </c>
      <c r="N133" s="25" t="str">
        <f aca="false">IF(入力シート!$A137="","",入力シート!R137)</f>
        <v/>
      </c>
      <c r="O133" s="25" t="str">
        <f aca="false">IF(入力シート!$A137="","",IF(入力シート!G137="",1,入力シート!G137))</f>
        <v/>
      </c>
      <c r="P133" s="25" t="str">
        <f aca="false">IF(入力シート!$A137="","",入力シート!D137)</f>
        <v/>
      </c>
      <c r="Q133" s="25" t="str">
        <f aca="false">IF(入力シート!$A137="","","")</f>
        <v/>
      </c>
      <c r="R133" s="25" t="str">
        <f aca="false">IF(入力シート!$A137="","",入力シート!J137)</f>
        <v/>
      </c>
      <c r="S133" s="25" t="str">
        <f aca="false">IF(入力シート!$A137="","",入力シート!L137)</f>
        <v/>
      </c>
      <c r="T133" s="25" t="str">
        <f aca="false">IF(入力シート!$A137="","",入力シート!K137)</f>
        <v/>
      </c>
      <c r="U133" s="25" t="str">
        <f aca="false">IF(入力シート!$A137="","",0)</f>
        <v/>
      </c>
      <c r="V133" s="25" t="str">
        <f aca="false">IF(入力シート!$A137="","",0)</f>
        <v/>
      </c>
      <c r="W133" s="25" t="str">
        <f aca="false">IF(入力シート!$A137="","","0000")</f>
        <v/>
      </c>
      <c r="X133" s="25" t="str">
        <f aca="false">IF(入力シート!$A137="","",入力シート!E137)</f>
        <v/>
      </c>
      <c r="Y133" s="25" t="str">
        <f aca="false">IF(入力シート!$A137="","",入力シート!F137)</f>
        <v/>
      </c>
      <c r="Z133" s="25" t="str">
        <f aca="false">IF(入力シート!$A137="","",入力シート!O137)</f>
        <v/>
      </c>
      <c r="AA133" s="25" t="str">
        <f aca="false">IF(入力シート!$A137="","","")</f>
        <v/>
      </c>
      <c r="AB133" s="25" t="str">
        <f aca="false">IF(入力シート!$A137="","",入力シート!P137)</f>
        <v/>
      </c>
      <c r="AC133" s="25" t="str">
        <f aca="false">IF(入力シート!$A137="","",入力シート!U137)</f>
        <v/>
      </c>
      <c r="AD133" s="25" t="str">
        <f aca="false">IF(入力シート!$A137="","",0)</f>
        <v/>
      </c>
      <c r="AE133" s="25" t="str">
        <f aca="false">IF(入力シート!$A137="","",入力シート!I137)</f>
        <v/>
      </c>
      <c r="AF133" s="25" t="str">
        <f aca="false">IF(入力シート!$A137="","",入力シート!M137)</f>
        <v/>
      </c>
      <c r="AG133" s="25" t="str">
        <f aca="false">IF(入力シート!$A137="","",入力シート!N137)</f>
        <v/>
      </c>
      <c r="AH133" s="25" t="str">
        <f aca="false">IF(入力シート!$A137="","","")</f>
        <v/>
      </c>
      <c r="AI133" s="25" t="str">
        <f aca="false">IF(入力シート!$A137="","","")</f>
        <v/>
      </c>
      <c r="AJ133" s="25" t="str">
        <f aca="false">IF(入力シート!$A137="","","")</f>
        <v/>
      </c>
      <c r="AK133" s="25" t="str">
        <f aca="false">IF(入力シート!$A137="","",2)</f>
        <v/>
      </c>
      <c r="AL133" s="25" t="str">
        <f aca="false">IF(入力シート!$A137="","","")</f>
        <v/>
      </c>
      <c r="AM133" s="25" t="str">
        <f aca="false">IF(入力シート!$A137="","","")</f>
        <v/>
      </c>
      <c r="AN133" s="25" t="str">
        <f aca="false">IF(入力シート!$A137="","",入力シート!C137)</f>
        <v/>
      </c>
      <c r="AO133" s="25" t="str">
        <f aca="false">IF(入力シート!$A137="","","")</f>
        <v/>
      </c>
      <c r="AP133" s="25" t="str">
        <f aca="false">IF(入力シート!$A137="","","")</f>
        <v/>
      </c>
      <c r="AQ133" s="25" t="str">
        <f aca="false">IF(入力シート!$A137="","","")</f>
        <v/>
      </c>
    </row>
    <row r="134" customFormat="false" ht="15" hidden="false" customHeight="true" outlineLevel="0" collapsed="false">
      <c r="A134" s="25" t="str">
        <f aca="false">IF(入力シート!$A138="","",1)</f>
        <v/>
      </c>
      <c r="B134" s="25" t="str">
        <f aca="false">IF(入力シート!$A138="","",1)</f>
        <v/>
      </c>
      <c r="C134" s="25" t="str">
        <f aca="false">IF(入力シート!$A138="","",0)</f>
        <v/>
      </c>
      <c r="D134" s="25" t="str">
        <f aca="false">IF(入力シート!$A138="","",TEXT(入力シート!A138,"YYYYMMDD"))</f>
        <v/>
      </c>
      <c r="E134" s="25" t="str">
        <f aca="false">IF(入力シート!$A138="","",TEXT(入力シート!Q138,"00000000"))</f>
        <v/>
      </c>
      <c r="F134" s="25" t="str">
        <f aca="false">IF(入力シート!$A138="","",14)</f>
        <v/>
      </c>
      <c r="G134" s="25" t="str">
        <f aca="false">IF(入力シート!$A138="","",1)</f>
        <v/>
      </c>
      <c r="H134" s="25" t="str">
        <f aca="false">IF(入力シート!$A138="","",1)</f>
        <v/>
      </c>
      <c r="I134" s="25" t="str">
        <f aca="false">IF(入力シート!$A138="","",3)</f>
        <v/>
      </c>
      <c r="J134" s="25" t="str">
        <f aca="false">IF(入力シート!$A138="","",1)</f>
        <v/>
      </c>
      <c r="K134" s="25" t="str">
        <f aca="false">IF(入力シート!$A138="","",入力シート!B138)</f>
        <v/>
      </c>
      <c r="L134" s="25" t="str">
        <f aca="false">IF(入力シート!$A138="","","")</f>
        <v/>
      </c>
      <c r="M134" s="25" t="str">
        <f aca="false">IF(入力シート!$A138="","","")</f>
        <v/>
      </c>
      <c r="N134" s="25" t="str">
        <f aca="false">IF(入力シート!$A138="","",入力シート!R138)</f>
        <v/>
      </c>
      <c r="O134" s="25" t="str">
        <f aca="false">IF(入力シート!$A138="","",IF(入力シート!G138="",1,入力シート!G138))</f>
        <v/>
      </c>
      <c r="P134" s="25" t="str">
        <f aca="false">IF(入力シート!$A138="","",入力シート!D138)</f>
        <v/>
      </c>
      <c r="Q134" s="25" t="str">
        <f aca="false">IF(入力シート!$A138="","","")</f>
        <v/>
      </c>
      <c r="R134" s="25" t="str">
        <f aca="false">IF(入力シート!$A138="","",入力シート!J138)</f>
        <v/>
      </c>
      <c r="S134" s="25" t="str">
        <f aca="false">IF(入力シート!$A138="","",入力シート!L138)</f>
        <v/>
      </c>
      <c r="T134" s="25" t="str">
        <f aca="false">IF(入力シート!$A138="","",入力シート!K138)</f>
        <v/>
      </c>
      <c r="U134" s="25" t="str">
        <f aca="false">IF(入力シート!$A138="","",0)</f>
        <v/>
      </c>
      <c r="V134" s="25" t="str">
        <f aca="false">IF(入力シート!$A138="","",0)</f>
        <v/>
      </c>
      <c r="W134" s="25" t="str">
        <f aca="false">IF(入力シート!$A138="","","0000")</f>
        <v/>
      </c>
      <c r="X134" s="25" t="str">
        <f aca="false">IF(入力シート!$A138="","",入力シート!E138)</f>
        <v/>
      </c>
      <c r="Y134" s="25" t="str">
        <f aca="false">IF(入力シート!$A138="","",入力シート!F138)</f>
        <v/>
      </c>
      <c r="Z134" s="25" t="str">
        <f aca="false">IF(入力シート!$A138="","",入力シート!O138)</f>
        <v/>
      </c>
      <c r="AA134" s="25" t="str">
        <f aca="false">IF(入力シート!$A138="","","")</f>
        <v/>
      </c>
      <c r="AB134" s="25" t="str">
        <f aca="false">IF(入力シート!$A138="","",入力シート!P138)</f>
        <v/>
      </c>
      <c r="AC134" s="25" t="str">
        <f aca="false">IF(入力シート!$A138="","",入力シート!U138)</f>
        <v/>
      </c>
      <c r="AD134" s="25" t="str">
        <f aca="false">IF(入力シート!$A138="","",0)</f>
        <v/>
      </c>
      <c r="AE134" s="25" t="str">
        <f aca="false">IF(入力シート!$A138="","",入力シート!I138)</f>
        <v/>
      </c>
      <c r="AF134" s="25" t="str">
        <f aca="false">IF(入力シート!$A138="","",入力シート!M138)</f>
        <v/>
      </c>
      <c r="AG134" s="25" t="str">
        <f aca="false">IF(入力シート!$A138="","",入力シート!N138)</f>
        <v/>
      </c>
      <c r="AH134" s="25" t="str">
        <f aca="false">IF(入力シート!$A138="","","")</f>
        <v/>
      </c>
      <c r="AI134" s="25" t="str">
        <f aca="false">IF(入力シート!$A138="","","")</f>
        <v/>
      </c>
      <c r="AJ134" s="25" t="str">
        <f aca="false">IF(入力シート!$A138="","","")</f>
        <v/>
      </c>
      <c r="AK134" s="25" t="str">
        <f aca="false">IF(入力シート!$A138="","",2)</f>
        <v/>
      </c>
      <c r="AL134" s="25" t="str">
        <f aca="false">IF(入力シート!$A138="","","")</f>
        <v/>
      </c>
      <c r="AM134" s="25" t="str">
        <f aca="false">IF(入力シート!$A138="","","")</f>
        <v/>
      </c>
      <c r="AN134" s="25" t="str">
        <f aca="false">IF(入力シート!$A138="","",入力シート!C138)</f>
        <v/>
      </c>
      <c r="AO134" s="25" t="str">
        <f aca="false">IF(入力シート!$A138="","","")</f>
        <v/>
      </c>
      <c r="AP134" s="25" t="str">
        <f aca="false">IF(入力シート!$A138="","","")</f>
        <v/>
      </c>
      <c r="AQ134" s="25" t="str">
        <f aca="false">IF(入力シート!$A138="","","")</f>
        <v/>
      </c>
    </row>
    <row r="135" customFormat="false" ht="15" hidden="false" customHeight="true" outlineLevel="0" collapsed="false">
      <c r="A135" s="25" t="str">
        <f aca="false">IF(入力シート!$A139="","",1)</f>
        <v/>
      </c>
      <c r="B135" s="25" t="str">
        <f aca="false">IF(入力シート!$A139="","",1)</f>
        <v/>
      </c>
      <c r="C135" s="25" t="str">
        <f aca="false">IF(入力シート!$A139="","",0)</f>
        <v/>
      </c>
      <c r="D135" s="25" t="str">
        <f aca="false">IF(入力シート!$A139="","",TEXT(入力シート!A139,"YYYYMMDD"))</f>
        <v/>
      </c>
      <c r="E135" s="25" t="str">
        <f aca="false">IF(入力シート!$A139="","",TEXT(入力シート!Q139,"00000000"))</f>
        <v/>
      </c>
      <c r="F135" s="25" t="str">
        <f aca="false">IF(入力シート!$A139="","",14)</f>
        <v/>
      </c>
      <c r="G135" s="25" t="str">
        <f aca="false">IF(入力シート!$A139="","",1)</f>
        <v/>
      </c>
      <c r="H135" s="25" t="str">
        <f aca="false">IF(入力シート!$A139="","",1)</f>
        <v/>
      </c>
      <c r="I135" s="25" t="str">
        <f aca="false">IF(入力シート!$A139="","",3)</f>
        <v/>
      </c>
      <c r="J135" s="25" t="str">
        <f aca="false">IF(入力シート!$A139="","",1)</f>
        <v/>
      </c>
      <c r="K135" s="25" t="str">
        <f aca="false">IF(入力シート!$A139="","",入力シート!B139)</f>
        <v/>
      </c>
      <c r="L135" s="25" t="str">
        <f aca="false">IF(入力シート!$A139="","","")</f>
        <v/>
      </c>
      <c r="M135" s="25" t="str">
        <f aca="false">IF(入力シート!$A139="","","")</f>
        <v/>
      </c>
      <c r="N135" s="25" t="str">
        <f aca="false">IF(入力シート!$A139="","",入力シート!R139)</f>
        <v/>
      </c>
      <c r="O135" s="25" t="str">
        <f aca="false">IF(入力シート!$A139="","",IF(入力シート!G139="",1,入力シート!G139))</f>
        <v/>
      </c>
      <c r="P135" s="25" t="str">
        <f aca="false">IF(入力シート!$A139="","",入力シート!D139)</f>
        <v/>
      </c>
      <c r="Q135" s="25" t="str">
        <f aca="false">IF(入力シート!$A139="","","")</f>
        <v/>
      </c>
      <c r="R135" s="25" t="str">
        <f aca="false">IF(入力シート!$A139="","",入力シート!J139)</f>
        <v/>
      </c>
      <c r="S135" s="25" t="str">
        <f aca="false">IF(入力シート!$A139="","",入力シート!L139)</f>
        <v/>
      </c>
      <c r="T135" s="25" t="str">
        <f aca="false">IF(入力シート!$A139="","",入力シート!K139)</f>
        <v/>
      </c>
      <c r="U135" s="25" t="str">
        <f aca="false">IF(入力シート!$A139="","",0)</f>
        <v/>
      </c>
      <c r="V135" s="25" t="str">
        <f aca="false">IF(入力シート!$A139="","",0)</f>
        <v/>
      </c>
      <c r="W135" s="25" t="str">
        <f aca="false">IF(入力シート!$A139="","","0000")</f>
        <v/>
      </c>
      <c r="X135" s="25" t="str">
        <f aca="false">IF(入力シート!$A139="","",入力シート!E139)</f>
        <v/>
      </c>
      <c r="Y135" s="25" t="str">
        <f aca="false">IF(入力シート!$A139="","",入力シート!F139)</f>
        <v/>
      </c>
      <c r="Z135" s="25" t="str">
        <f aca="false">IF(入力シート!$A139="","",入力シート!O139)</f>
        <v/>
      </c>
      <c r="AA135" s="25" t="str">
        <f aca="false">IF(入力シート!$A139="","","")</f>
        <v/>
      </c>
      <c r="AB135" s="25" t="str">
        <f aca="false">IF(入力シート!$A139="","",入力シート!P139)</f>
        <v/>
      </c>
      <c r="AC135" s="25" t="str">
        <f aca="false">IF(入力シート!$A139="","",入力シート!U139)</f>
        <v/>
      </c>
      <c r="AD135" s="25" t="str">
        <f aca="false">IF(入力シート!$A139="","",0)</f>
        <v/>
      </c>
      <c r="AE135" s="25" t="str">
        <f aca="false">IF(入力シート!$A139="","",入力シート!I139)</f>
        <v/>
      </c>
      <c r="AF135" s="25" t="str">
        <f aca="false">IF(入力シート!$A139="","",入力シート!M139)</f>
        <v/>
      </c>
      <c r="AG135" s="25" t="str">
        <f aca="false">IF(入力シート!$A139="","",入力シート!N139)</f>
        <v/>
      </c>
      <c r="AH135" s="25" t="str">
        <f aca="false">IF(入力シート!$A139="","","")</f>
        <v/>
      </c>
      <c r="AI135" s="25" t="str">
        <f aca="false">IF(入力シート!$A139="","","")</f>
        <v/>
      </c>
      <c r="AJ135" s="25" t="str">
        <f aca="false">IF(入力シート!$A139="","","")</f>
        <v/>
      </c>
      <c r="AK135" s="25" t="str">
        <f aca="false">IF(入力シート!$A139="","",2)</f>
        <v/>
      </c>
      <c r="AL135" s="25" t="str">
        <f aca="false">IF(入力シート!$A139="","","")</f>
        <v/>
      </c>
      <c r="AM135" s="25" t="str">
        <f aca="false">IF(入力シート!$A139="","","")</f>
        <v/>
      </c>
      <c r="AN135" s="25" t="str">
        <f aca="false">IF(入力シート!$A139="","",入力シート!C139)</f>
        <v/>
      </c>
      <c r="AO135" s="25" t="str">
        <f aca="false">IF(入力シート!$A139="","","")</f>
        <v/>
      </c>
      <c r="AP135" s="25" t="str">
        <f aca="false">IF(入力シート!$A139="","","")</f>
        <v/>
      </c>
      <c r="AQ135" s="25" t="str">
        <f aca="false">IF(入力シート!$A139="","","")</f>
        <v/>
      </c>
    </row>
    <row r="136" customFormat="false" ht="15" hidden="false" customHeight="true" outlineLevel="0" collapsed="false">
      <c r="A136" s="25" t="str">
        <f aca="false">IF(入力シート!$A140="","",1)</f>
        <v/>
      </c>
      <c r="B136" s="25" t="str">
        <f aca="false">IF(入力シート!$A140="","",1)</f>
        <v/>
      </c>
      <c r="C136" s="25" t="str">
        <f aca="false">IF(入力シート!$A140="","",0)</f>
        <v/>
      </c>
      <c r="D136" s="25" t="str">
        <f aca="false">IF(入力シート!$A140="","",TEXT(入力シート!A140,"YYYYMMDD"))</f>
        <v/>
      </c>
      <c r="E136" s="25" t="str">
        <f aca="false">IF(入力シート!$A140="","",TEXT(入力シート!Q140,"00000000"))</f>
        <v/>
      </c>
      <c r="F136" s="25" t="str">
        <f aca="false">IF(入力シート!$A140="","",14)</f>
        <v/>
      </c>
      <c r="G136" s="25" t="str">
        <f aca="false">IF(入力シート!$A140="","",1)</f>
        <v/>
      </c>
      <c r="H136" s="25" t="str">
        <f aca="false">IF(入力シート!$A140="","",1)</f>
        <v/>
      </c>
      <c r="I136" s="25" t="str">
        <f aca="false">IF(入力シート!$A140="","",3)</f>
        <v/>
      </c>
      <c r="J136" s="25" t="str">
        <f aca="false">IF(入力シート!$A140="","",1)</f>
        <v/>
      </c>
      <c r="K136" s="25" t="str">
        <f aca="false">IF(入力シート!$A140="","",入力シート!B140)</f>
        <v/>
      </c>
      <c r="L136" s="25" t="str">
        <f aca="false">IF(入力シート!$A140="","","")</f>
        <v/>
      </c>
      <c r="M136" s="25" t="str">
        <f aca="false">IF(入力シート!$A140="","","")</f>
        <v/>
      </c>
      <c r="N136" s="25" t="str">
        <f aca="false">IF(入力シート!$A140="","",入力シート!R140)</f>
        <v/>
      </c>
      <c r="O136" s="25" t="str">
        <f aca="false">IF(入力シート!$A140="","",IF(入力シート!G140="",1,入力シート!G140))</f>
        <v/>
      </c>
      <c r="P136" s="25" t="str">
        <f aca="false">IF(入力シート!$A140="","",入力シート!D140)</f>
        <v/>
      </c>
      <c r="Q136" s="25" t="str">
        <f aca="false">IF(入力シート!$A140="","","")</f>
        <v/>
      </c>
      <c r="R136" s="25" t="str">
        <f aca="false">IF(入力シート!$A140="","",入力シート!J140)</f>
        <v/>
      </c>
      <c r="S136" s="25" t="str">
        <f aca="false">IF(入力シート!$A140="","",入力シート!L140)</f>
        <v/>
      </c>
      <c r="T136" s="25" t="str">
        <f aca="false">IF(入力シート!$A140="","",入力シート!K140)</f>
        <v/>
      </c>
      <c r="U136" s="25" t="str">
        <f aca="false">IF(入力シート!$A140="","",0)</f>
        <v/>
      </c>
      <c r="V136" s="25" t="str">
        <f aca="false">IF(入力シート!$A140="","",0)</f>
        <v/>
      </c>
      <c r="W136" s="25" t="str">
        <f aca="false">IF(入力シート!$A140="","","0000")</f>
        <v/>
      </c>
      <c r="X136" s="25" t="str">
        <f aca="false">IF(入力シート!$A140="","",入力シート!E140)</f>
        <v/>
      </c>
      <c r="Y136" s="25" t="str">
        <f aca="false">IF(入力シート!$A140="","",入力シート!F140)</f>
        <v/>
      </c>
      <c r="Z136" s="25" t="str">
        <f aca="false">IF(入力シート!$A140="","",入力シート!O140)</f>
        <v/>
      </c>
      <c r="AA136" s="25" t="str">
        <f aca="false">IF(入力シート!$A140="","","")</f>
        <v/>
      </c>
      <c r="AB136" s="25" t="str">
        <f aca="false">IF(入力シート!$A140="","",入力シート!P140)</f>
        <v/>
      </c>
      <c r="AC136" s="25" t="str">
        <f aca="false">IF(入力シート!$A140="","",入力シート!U140)</f>
        <v/>
      </c>
      <c r="AD136" s="25" t="str">
        <f aca="false">IF(入力シート!$A140="","",0)</f>
        <v/>
      </c>
      <c r="AE136" s="25" t="str">
        <f aca="false">IF(入力シート!$A140="","",入力シート!I140)</f>
        <v/>
      </c>
      <c r="AF136" s="25" t="str">
        <f aca="false">IF(入力シート!$A140="","",入力シート!M140)</f>
        <v/>
      </c>
      <c r="AG136" s="25" t="str">
        <f aca="false">IF(入力シート!$A140="","",入力シート!N140)</f>
        <v/>
      </c>
      <c r="AH136" s="25" t="str">
        <f aca="false">IF(入力シート!$A140="","","")</f>
        <v/>
      </c>
      <c r="AI136" s="25" t="str">
        <f aca="false">IF(入力シート!$A140="","","")</f>
        <v/>
      </c>
      <c r="AJ136" s="25" t="str">
        <f aca="false">IF(入力シート!$A140="","","")</f>
        <v/>
      </c>
      <c r="AK136" s="25" t="str">
        <f aca="false">IF(入力シート!$A140="","",2)</f>
        <v/>
      </c>
      <c r="AL136" s="25" t="str">
        <f aca="false">IF(入力シート!$A140="","","")</f>
        <v/>
      </c>
      <c r="AM136" s="25" t="str">
        <f aca="false">IF(入力シート!$A140="","","")</f>
        <v/>
      </c>
      <c r="AN136" s="25" t="str">
        <f aca="false">IF(入力シート!$A140="","",入力シート!C140)</f>
        <v/>
      </c>
      <c r="AO136" s="25" t="str">
        <f aca="false">IF(入力シート!$A140="","","")</f>
        <v/>
      </c>
      <c r="AP136" s="25" t="str">
        <f aca="false">IF(入力シート!$A140="","","")</f>
        <v/>
      </c>
      <c r="AQ136" s="25" t="str">
        <f aca="false">IF(入力シート!$A140="","","")</f>
        <v/>
      </c>
    </row>
    <row r="137" customFormat="false" ht="15" hidden="false" customHeight="true" outlineLevel="0" collapsed="false">
      <c r="A137" s="25" t="str">
        <f aca="false">IF(入力シート!$A141="","",1)</f>
        <v/>
      </c>
      <c r="B137" s="25" t="str">
        <f aca="false">IF(入力シート!$A141="","",1)</f>
        <v/>
      </c>
      <c r="C137" s="25" t="str">
        <f aca="false">IF(入力シート!$A141="","",0)</f>
        <v/>
      </c>
      <c r="D137" s="25" t="str">
        <f aca="false">IF(入力シート!$A141="","",TEXT(入力シート!A141,"YYYYMMDD"))</f>
        <v/>
      </c>
      <c r="E137" s="25" t="str">
        <f aca="false">IF(入力シート!$A141="","",TEXT(入力シート!Q141,"00000000"))</f>
        <v/>
      </c>
      <c r="F137" s="25" t="str">
        <f aca="false">IF(入力シート!$A141="","",14)</f>
        <v/>
      </c>
      <c r="G137" s="25" t="str">
        <f aca="false">IF(入力シート!$A141="","",1)</f>
        <v/>
      </c>
      <c r="H137" s="25" t="str">
        <f aca="false">IF(入力シート!$A141="","",1)</f>
        <v/>
      </c>
      <c r="I137" s="25" t="str">
        <f aca="false">IF(入力シート!$A141="","",3)</f>
        <v/>
      </c>
      <c r="J137" s="25" t="str">
        <f aca="false">IF(入力シート!$A141="","",1)</f>
        <v/>
      </c>
      <c r="K137" s="25" t="str">
        <f aca="false">IF(入力シート!$A141="","",入力シート!B141)</f>
        <v/>
      </c>
      <c r="L137" s="25" t="str">
        <f aca="false">IF(入力シート!$A141="","","")</f>
        <v/>
      </c>
      <c r="M137" s="25" t="str">
        <f aca="false">IF(入力シート!$A141="","","")</f>
        <v/>
      </c>
      <c r="N137" s="25" t="str">
        <f aca="false">IF(入力シート!$A141="","",入力シート!R141)</f>
        <v/>
      </c>
      <c r="O137" s="25" t="str">
        <f aca="false">IF(入力シート!$A141="","",IF(入力シート!G141="",1,入力シート!G141))</f>
        <v/>
      </c>
      <c r="P137" s="25" t="str">
        <f aca="false">IF(入力シート!$A141="","",入力シート!D141)</f>
        <v/>
      </c>
      <c r="Q137" s="25" t="str">
        <f aca="false">IF(入力シート!$A141="","","")</f>
        <v/>
      </c>
      <c r="R137" s="25" t="str">
        <f aca="false">IF(入力シート!$A141="","",入力シート!J141)</f>
        <v/>
      </c>
      <c r="S137" s="25" t="str">
        <f aca="false">IF(入力シート!$A141="","",入力シート!L141)</f>
        <v/>
      </c>
      <c r="T137" s="25" t="str">
        <f aca="false">IF(入力シート!$A141="","",入力シート!K141)</f>
        <v/>
      </c>
      <c r="U137" s="25" t="str">
        <f aca="false">IF(入力シート!$A141="","",0)</f>
        <v/>
      </c>
      <c r="V137" s="25" t="str">
        <f aca="false">IF(入力シート!$A141="","",0)</f>
        <v/>
      </c>
      <c r="W137" s="25" t="str">
        <f aca="false">IF(入力シート!$A141="","","0000")</f>
        <v/>
      </c>
      <c r="X137" s="25" t="str">
        <f aca="false">IF(入力シート!$A141="","",入力シート!E141)</f>
        <v/>
      </c>
      <c r="Y137" s="25" t="str">
        <f aca="false">IF(入力シート!$A141="","",入力シート!F141)</f>
        <v/>
      </c>
      <c r="Z137" s="25" t="str">
        <f aca="false">IF(入力シート!$A141="","",入力シート!O141)</f>
        <v/>
      </c>
      <c r="AA137" s="25" t="str">
        <f aca="false">IF(入力シート!$A141="","","")</f>
        <v/>
      </c>
      <c r="AB137" s="25" t="str">
        <f aca="false">IF(入力シート!$A141="","",入力シート!P141)</f>
        <v/>
      </c>
      <c r="AC137" s="25" t="str">
        <f aca="false">IF(入力シート!$A141="","",入力シート!U141)</f>
        <v/>
      </c>
      <c r="AD137" s="25" t="str">
        <f aca="false">IF(入力シート!$A141="","",0)</f>
        <v/>
      </c>
      <c r="AE137" s="25" t="str">
        <f aca="false">IF(入力シート!$A141="","",入力シート!I141)</f>
        <v/>
      </c>
      <c r="AF137" s="25" t="str">
        <f aca="false">IF(入力シート!$A141="","",入力シート!M141)</f>
        <v/>
      </c>
      <c r="AG137" s="25" t="str">
        <f aca="false">IF(入力シート!$A141="","",入力シート!N141)</f>
        <v/>
      </c>
      <c r="AH137" s="25" t="str">
        <f aca="false">IF(入力シート!$A141="","","")</f>
        <v/>
      </c>
      <c r="AI137" s="25" t="str">
        <f aca="false">IF(入力シート!$A141="","","")</f>
        <v/>
      </c>
      <c r="AJ137" s="25" t="str">
        <f aca="false">IF(入力シート!$A141="","","")</f>
        <v/>
      </c>
      <c r="AK137" s="25" t="str">
        <f aca="false">IF(入力シート!$A141="","",2)</f>
        <v/>
      </c>
      <c r="AL137" s="25" t="str">
        <f aca="false">IF(入力シート!$A141="","","")</f>
        <v/>
      </c>
      <c r="AM137" s="25" t="str">
        <f aca="false">IF(入力シート!$A141="","","")</f>
        <v/>
      </c>
      <c r="AN137" s="25" t="str">
        <f aca="false">IF(入力シート!$A141="","",入力シート!C141)</f>
        <v/>
      </c>
      <c r="AO137" s="25" t="str">
        <f aca="false">IF(入力シート!$A141="","","")</f>
        <v/>
      </c>
      <c r="AP137" s="25" t="str">
        <f aca="false">IF(入力シート!$A141="","","")</f>
        <v/>
      </c>
      <c r="AQ137" s="25" t="str">
        <f aca="false">IF(入力シート!$A141="","","")</f>
        <v/>
      </c>
    </row>
    <row r="138" customFormat="false" ht="15" hidden="false" customHeight="true" outlineLevel="0" collapsed="false">
      <c r="A138" s="25" t="str">
        <f aca="false">IF(入力シート!$A142="","",1)</f>
        <v/>
      </c>
      <c r="B138" s="25" t="str">
        <f aca="false">IF(入力シート!$A142="","",1)</f>
        <v/>
      </c>
      <c r="C138" s="25" t="str">
        <f aca="false">IF(入力シート!$A142="","",0)</f>
        <v/>
      </c>
      <c r="D138" s="25" t="str">
        <f aca="false">IF(入力シート!$A142="","",TEXT(入力シート!A142,"YYYYMMDD"))</f>
        <v/>
      </c>
      <c r="E138" s="25" t="str">
        <f aca="false">IF(入力シート!$A142="","",TEXT(入力シート!Q142,"00000000"))</f>
        <v/>
      </c>
      <c r="F138" s="25" t="str">
        <f aca="false">IF(入力シート!$A142="","",14)</f>
        <v/>
      </c>
      <c r="G138" s="25" t="str">
        <f aca="false">IF(入力シート!$A142="","",1)</f>
        <v/>
      </c>
      <c r="H138" s="25" t="str">
        <f aca="false">IF(入力シート!$A142="","",1)</f>
        <v/>
      </c>
      <c r="I138" s="25" t="str">
        <f aca="false">IF(入力シート!$A142="","",3)</f>
        <v/>
      </c>
      <c r="J138" s="25" t="str">
        <f aca="false">IF(入力シート!$A142="","",1)</f>
        <v/>
      </c>
      <c r="K138" s="25" t="str">
        <f aca="false">IF(入力シート!$A142="","",入力シート!B142)</f>
        <v/>
      </c>
      <c r="L138" s="25" t="str">
        <f aca="false">IF(入力シート!$A142="","","")</f>
        <v/>
      </c>
      <c r="M138" s="25" t="str">
        <f aca="false">IF(入力シート!$A142="","","")</f>
        <v/>
      </c>
      <c r="N138" s="25" t="str">
        <f aca="false">IF(入力シート!$A142="","",入力シート!R142)</f>
        <v/>
      </c>
      <c r="O138" s="25" t="str">
        <f aca="false">IF(入力シート!$A142="","",IF(入力シート!G142="",1,入力シート!G142))</f>
        <v/>
      </c>
      <c r="P138" s="25" t="str">
        <f aca="false">IF(入力シート!$A142="","",入力シート!D142)</f>
        <v/>
      </c>
      <c r="Q138" s="25" t="str">
        <f aca="false">IF(入力シート!$A142="","","")</f>
        <v/>
      </c>
      <c r="R138" s="25" t="str">
        <f aca="false">IF(入力シート!$A142="","",入力シート!J142)</f>
        <v/>
      </c>
      <c r="S138" s="25" t="str">
        <f aca="false">IF(入力シート!$A142="","",入力シート!L142)</f>
        <v/>
      </c>
      <c r="T138" s="25" t="str">
        <f aca="false">IF(入力シート!$A142="","",入力シート!K142)</f>
        <v/>
      </c>
      <c r="U138" s="25" t="str">
        <f aca="false">IF(入力シート!$A142="","",0)</f>
        <v/>
      </c>
      <c r="V138" s="25" t="str">
        <f aca="false">IF(入力シート!$A142="","",0)</f>
        <v/>
      </c>
      <c r="W138" s="25" t="str">
        <f aca="false">IF(入力シート!$A142="","","0000")</f>
        <v/>
      </c>
      <c r="X138" s="25" t="str">
        <f aca="false">IF(入力シート!$A142="","",入力シート!E142)</f>
        <v/>
      </c>
      <c r="Y138" s="25" t="str">
        <f aca="false">IF(入力シート!$A142="","",入力シート!F142)</f>
        <v/>
      </c>
      <c r="Z138" s="25" t="str">
        <f aca="false">IF(入力シート!$A142="","",入力シート!O142)</f>
        <v/>
      </c>
      <c r="AA138" s="25" t="str">
        <f aca="false">IF(入力シート!$A142="","","")</f>
        <v/>
      </c>
      <c r="AB138" s="25" t="str">
        <f aca="false">IF(入力シート!$A142="","",入力シート!P142)</f>
        <v/>
      </c>
      <c r="AC138" s="25" t="str">
        <f aca="false">IF(入力シート!$A142="","",入力シート!U142)</f>
        <v/>
      </c>
      <c r="AD138" s="25" t="str">
        <f aca="false">IF(入力シート!$A142="","",0)</f>
        <v/>
      </c>
      <c r="AE138" s="25" t="str">
        <f aca="false">IF(入力シート!$A142="","",入力シート!I142)</f>
        <v/>
      </c>
      <c r="AF138" s="25" t="str">
        <f aca="false">IF(入力シート!$A142="","",入力シート!M142)</f>
        <v/>
      </c>
      <c r="AG138" s="25" t="str">
        <f aca="false">IF(入力シート!$A142="","",入力シート!N142)</f>
        <v/>
      </c>
      <c r="AH138" s="25" t="str">
        <f aca="false">IF(入力シート!$A142="","","")</f>
        <v/>
      </c>
      <c r="AI138" s="25" t="str">
        <f aca="false">IF(入力シート!$A142="","","")</f>
        <v/>
      </c>
      <c r="AJ138" s="25" t="str">
        <f aca="false">IF(入力シート!$A142="","","")</f>
        <v/>
      </c>
      <c r="AK138" s="25" t="str">
        <f aca="false">IF(入力シート!$A142="","",2)</f>
        <v/>
      </c>
      <c r="AL138" s="25" t="str">
        <f aca="false">IF(入力シート!$A142="","","")</f>
        <v/>
      </c>
      <c r="AM138" s="25" t="str">
        <f aca="false">IF(入力シート!$A142="","","")</f>
        <v/>
      </c>
      <c r="AN138" s="25" t="str">
        <f aca="false">IF(入力シート!$A142="","",入力シート!C142)</f>
        <v/>
      </c>
      <c r="AO138" s="25" t="str">
        <f aca="false">IF(入力シート!$A142="","","")</f>
        <v/>
      </c>
      <c r="AP138" s="25" t="str">
        <f aca="false">IF(入力シート!$A142="","","")</f>
        <v/>
      </c>
      <c r="AQ138" s="25" t="str">
        <f aca="false">IF(入力シート!$A142="","","")</f>
        <v/>
      </c>
    </row>
    <row r="139" customFormat="false" ht="15" hidden="false" customHeight="true" outlineLevel="0" collapsed="false">
      <c r="A139" s="25" t="str">
        <f aca="false">IF(入力シート!$A143="","",1)</f>
        <v/>
      </c>
      <c r="B139" s="25" t="str">
        <f aca="false">IF(入力シート!$A143="","",1)</f>
        <v/>
      </c>
      <c r="C139" s="25" t="str">
        <f aca="false">IF(入力シート!$A143="","",0)</f>
        <v/>
      </c>
      <c r="D139" s="25" t="str">
        <f aca="false">IF(入力シート!$A143="","",TEXT(入力シート!A143,"YYYYMMDD"))</f>
        <v/>
      </c>
      <c r="E139" s="25" t="str">
        <f aca="false">IF(入力シート!$A143="","",TEXT(入力シート!Q143,"00000000"))</f>
        <v/>
      </c>
      <c r="F139" s="25" t="str">
        <f aca="false">IF(入力シート!$A143="","",14)</f>
        <v/>
      </c>
      <c r="G139" s="25" t="str">
        <f aca="false">IF(入力シート!$A143="","",1)</f>
        <v/>
      </c>
      <c r="H139" s="25" t="str">
        <f aca="false">IF(入力シート!$A143="","",1)</f>
        <v/>
      </c>
      <c r="I139" s="25" t="str">
        <f aca="false">IF(入力シート!$A143="","",3)</f>
        <v/>
      </c>
      <c r="J139" s="25" t="str">
        <f aca="false">IF(入力シート!$A143="","",1)</f>
        <v/>
      </c>
      <c r="K139" s="25" t="str">
        <f aca="false">IF(入力シート!$A143="","",入力シート!B143)</f>
        <v/>
      </c>
      <c r="L139" s="25" t="str">
        <f aca="false">IF(入力シート!$A143="","","")</f>
        <v/>
      </c>
      <c r="M139" s="25" t="str">
        <f aca="false">IF(入力シート!$A143="","","")</f>
        <v/>
      </c>
      <c r="N139" s="25" t="str">
        <f aca="false">IF(入力シート!$A143="","",入力シート!R143)</f>
        <v/>
      </c>
      <c r="O139" s="25" t="str">
        <f aca="false">IF(入力シート!$A143="","",IF(入力シート!G143="",1,入力シート!G143))</f>
        <v/>
      </c>
      <c r="P139" s="25" t="str">
        <f aca="false">IF(入力シート!$A143="","",入力シート!D143)</f>
        <v/>
      </c>
      <c r="Q139" s="25" t="str">
        <f aca="false">IF(入力シート!$A143="","","")</f>
        <v/>
      </c>
      <c r="R139" s="25" t="str">
        <f aca="false">IF(入力シート!$A143="","",入力シート!J143)</f>
        <v/>
      </c>
      <c r="S139" s="25" t="str">
        <f aca="false">IF(入力シート!$A143="","",入力シート!L143)</f>
        <v/>
      </c>
      <c r="T139" s="25" t="str">
        <f aca="false">IF(入力シート!$A143="","",入力シート!K143)</f>
        <v/>
      </c>
      <c r="U139" s="25" t="str">
        <f aca="false">IF(入力シート!$A143="","",0)</f>
        <v/>
      </c>
      <c r="V139" s="25" t="str">
        <f aca="false">IF(入力シート!$A143="","",0)</f>
        <v/>
      </c>
      <c r="W139" s="25" t="str">
        <f aca="false">IF(入力シート!$A143="","","0000")</f>
        <v/>
      </c>
      <c r="X139" s="25" t="str">
        <f aca="false">IF(入力シート!$A143="","",入力シート!E143)</f>
        <v/>
      </c>
      <c r="Y139" s="25" t="str">
        <f aca="false">IF(入力シート!$A143="","",入力シート!F143)</f>
        <v/>
      </c>
      <c r="Z139" s="25" t="str">
        <f aca="false">IF(入力シート!$A143="","",入力シート!O143)</f>
        <v/>
      </c>
      <c r="AA139" s="25" t="str">
        <f aca="false">IF(入力シート!$A143="","","")</f>
        <v/>
      </c>
      <c r="AB139" s="25" t="str">
        <f aca="false">IF(入力シート!$A143="","",入力シート!P143)</f>
        <v/>
      </c>
      <c r="AC139" s="25" t="str">
        <f aca="false">IF(入力シート!$A143="","",入力シート!U143)</f>
        <v/>
      </c>
      <c r="AD139" s="25" t="str">
        <f aca="false">IF(入力シート!$A143="","",0)</f>
        <v/>
      </c>
      <c r="AE139" s="25" t="str">
        <f aca="false">IF(入力シート!$A143="","",入力シート!I143)</f>
        <v/>
      </c>
      <c r="AF139" s="25" t="str">
        <f aca="false">IF(入力シート!$A143="","",入力シート!M143)</f>
        <v/>
      </c>
      <c r="AG139" s="25" t="str">
        <f aca="false">IF(入力シート!$A143="","",入力シート!N143)</f>
        <v/>
      </c>
      <c r="AH139" s="25" t="str">
        <f aca="false">IF(入力シート!$A143="","","")</f>
        <v/>
      </c>
      <c r="AI139" s="25" t="str">
        <f aca="false">IF(入力シート!$A143="","","")</f>
        <v/>
      </c>
      <c r="AJ139" s="25" t="str">
        <f aca="false">IF(入力シート!$A143="","","")</f>
        <v/>
      </c>
      <c r="AK139" s="25" t="str">
        <f aca="false">IF(入力シート!$A143="","",2)</f>
        <v/>
      </c>
      <c r="AL139" s="25" t="str">
        <f aca="false">IF(入力シート!$A143="","","")</f>
        <v/>
      </c>
      <c r="AM139" s="25" t="str">
        <f aca="false">IF(入力シート!$A143="","","")</f>
        <v/>
      </c>
      <c r="AN139" s="25" t="str">
        <f aca="false">IF(入力シート!$A143="","",入力シート!C143)</f>
        <v/>
      </c>
      <c r="AO139" s="25" t="str">
        <f aca="false">IF(入力シート!$A143="","","")</f>
        <v/>
      </c>
      <c r="AP139" s="25" t="str">
        <f aca="false">IF(入力シート!$A143="","","")</f>
        <v/>
      </c>
      <c r="AQ139" s="25" t="str">
        <f aca="false">IF(入力シート!$A143="","","")</f>
        <v/>
      </c>
    </row>
    <row r="140" customFormat="false" ht="15" hidden="false" customHeight="true" outlineLevel="0" collapsed="false">
      <c r="A140" s="25" t="str">
        <f aca="false">IF(入力シート!$A144="","",1)</f>
        <v/>
      </c>
      <c r="B140" s="25" t="str">
        <f aca="false">IF(入力シート!$A144="","",1)</f>
        <v/>
      </c>
      <c r="C140" s="25" t="str">
        <f aca="false">IF(入力シート!$A144="","",0)</f>
        <v/>
      </c>
      <c r="D140" s="25" t="str">
        <f aca="false">IF(入力シート!$A144="","",TEXT(入力シート!A144,"YYYYMMDD"))</f>
        <v/>
      </c>
      <c r="E140" s="25" t="str">
        <f aca="false">IF(入力シート!$A144="","",TEXT(入力シート!Q144,"00000000"))</f>
        <v/>
      </c>
      <c r="F140" s="25" t="str">
        <f aca="false">IF(入力シート!$A144="","",14)</f>
        <v/>
      </c>
      <c r="G140" s="25" t="str">
        <f aca="false">IF(入力シート!$A144="","",1)</f>
        <v/>
      </c>
      <c r="H140" s="25" t="str">
        <f aca="false">IF(入力シート!$A144="","",1)</f>
        <v/>
      </c>
      <c r="I140" s="25" t="str">
        <f aca="false">IF(入力シート!$A144="","",3)</f>
        <v/>
      </c>
      <c r="J140" s="25" t="str">
        <f aca="false">IF(入力シート!$A144="","",1)</f>
        <v/>
      </c>
      <c r="K140" s="25" t="str">
        <f aca="false">IF(入力シート!$A144="","",入力シート!B144)</f>
        <v/>
      </c>
      <c r="L140" s="25" t="str">
        <f aca="false">IF(入力シート!$A144="","","")</f>
        <v/>
      </c>
      <c r="M140" s="25" t="str">
        <f aca="false">IF(入力シート!$A144="","","")</f>
        <v/>
      </c>
      <c r="N140" s="25" t="str">
        <f aca="false">IF(入力シート!$A144="","",入力シート!R144)</f>
        <v/>
      </c>
      <c r="O140" s="25" t="str">
        <f aca="false">IF(入力シート!$A144="","",IF(入力シート!G144="",1,入力シート!G144))</f>
        <v/>
      </c>
      <c r="P140" s="25" t="str">
        <f aca="false">IF(入力シート!$A144="","",入力シート!D144)</f>
        <v/>
      </c>
      <c r="Q140" s="25" t="str">
        <f aca="false">IF(入力シート!$A144="","","")</f>
        <v/>
      </c>
      <c r="R140" s="25" t="str">
        <f aca="false">IF(入力シート!$A144="","",入力シート!J144)</f>
        <v/>
      </c>
      <c r="S140" s="25" t="str">
        <f aca="false">IF(入力シート!$A144="","",入力シート!L144)</f>
        <v/>
      </c>
      <c r="T140" s="25" t="str">
        <f aca="false">IF(入力シート!$A144="","",入力シート!K144)</f>
        <v/>
      </c>
      <c r="U140" s="25" t="str">
        <f aca="false">IF(入力シート!$A144="","",0)</f>
        <v/>
      </c>
      <c r="V140" s="25" t="str">
        <f aca="false">IF(入力シート!$A144="","",0)</f>
        <v/>
      </c>
      <c r="W140" s="25" t="str">
        <f aca="false">IF(入力シート!$A144="","","0000")</f>
        <v/>
      </c>
      <c r="X140" s="25" t="str">
        <f aca="false">IF(入力シート!$A144="","",入力シート!E144)</f>
        <v/>
      </c>
      <c r="Y140" s="25" t="str">
        <f aca="false">IF(入力シート!$A144="","",入力シート!F144)</f>
        <v/>
      </c>
      <c r="Z140" s="25" t="str">
        <f aca="false">IF(入力シート!$A144="","",入力シート!O144)</f>
        <v/>
      </c>
      <c r="AA140" s="25" t="str">
        <f aca="false">IF(入力シート!$A144="","","")</f>
        <v/>
      </c>
      <c r="AB140" s="25" t="str">
        <f aca="false">IF(入力シート!$A144="","",入力シート!P144)</f>
        <v/>
      </c>
      <c r="AC140" s="25" t="str">
        <f aca="false">IF(入力シート!$A144="","",入力シート!U144)</f>
        <v/>
      </c>
      <c r="AD140" s="25" t="str">
        <f aca="false">IF(入力シート!$A144="","",0)</f>
        <v/>
      </c>
      <c r="AE140" s="25" t="str">
        <f aca="false">IF(入力シート!$A144="","",入力シート!I144)</f>
        <v/>
      </c>
      <c r="AF140" s="25" t="str">
        <f aca="false">IF(入力シート!$A144="","",入力シート!M144)</f>
        <v/>
      </c>
      <c r="AG140" s="25" t="str">
        <f aca="false">IF(入力シート!$A144="","",入力シート!N144)</f>
        <v/>
      </c>
      <c r="AH140" s="25" t="str">
        <f aca="false">IF(入力シート!$A144="","","")</f>
        <v/>
      </c>
      <c r="AI140" s="25" t="str">
        <f aca="false">IF(入力シート!$A144="","","")</f>
        <v/>
      </c>
      <c r="AJ140" s="25" t="str">
        <f aca="false">IF(入力シート!$A144="","","")</f>
        <v/>
      </c>
      <c r="AK140" s="25" t="str">
        <f aca="false">IF(入力シート!$A144="","",2)</f>
        <v/>
      </c>
      <c r="AL140" s="25" t="str">
        <f aca="false">IF(入力シート!$A144="","","")</f>
        <v/>
      </c>
      <c r="AM140" s="25" t="str">
        <f aca="false">IF(入力シート!$A144="","","")</f>
        <v/>
      </c>
      <c r="AN140" s="25" t="str">
        <f aca="false">IF(入力シート!$A144="","",入力シート!C144)</f>
        <v/>
      </c>
      <c r="AO140" s="25" t="str">
        <f aca="false">IF(入力シート!$A144="","","")</f>
        <v/>
      </c>
      <c r="AP140" s="25" t="str">
        <f aca="false">IF(入力シート!$A144="","","")</f>
        <v/>
      </c>
      <c r="AQ140" s="25" t="str">
        <f aca="false">IF(入力シート!$A144="","","")</f>
        <v/>
      </c>
    </row>
    <row r="141" customFormat="false" ht="15" hidden="false" customHeight="true" outlineLevel="0" collapsed="false">
      <c r="A141" s="25" t="str">
        <f aca="false">IF(入力シート!$A145="","",1)</f>
        <v/>
      </c>
      <c r="B141" s="25" t="str">
        <f aca="false">IF(入力シート!$A145="","",1)</f>
        <v/>
      </c>
      <c r="C141" s="25" t="str">
        <f aca="false">IF(入力シート!$A145="","",0)</f>
        <v/>
      </c>
      <c r="D141" s="25" t="str">
        <f aca="false">IF(入力シート!$A145="","",TEXT(入力シート!A145,"YYYYMMDD"))</f>
        <v/>
      </c>
      <c r="E141" s="25" t="str">
        <f aca="false">IF(入力シート!$A145="","",TEXT(入力シート!Q145,"00000000"))</f>
        <v/>
      </c>
      <c r="F141" s="25" t="str">
        <f aca="false">IF(入力シート!$A145="","",14)</f>
        <v/>
      </c>
      <c r="G141" s="25" t="str">
        <f aca="false">IF(入力シート!$A145="","",1)</f>
        <v/>
      </c>
      <c r="H141" s="25" t="str">
        <f aca="false">IF(入力シート!$A145="","",1)</f>
        <v/>
      </c>
      <c r="I141" s="25" t="str">
        <f aca="false">IF(入力シート!$A145="","",3)</f>
        <v/>
      </c>
      <c r="J141" s="25" t="str">
        <f aca="false">IF(入力シート!$A145="","",1)</f>
        <v/>
      </c>
      <c r="K141" s="25" t="str">
        <f aca="false">IF(入力シート!$A145="","",入力シート!B145)</f>
        <v/>
      </c>
      <c r="L141" s="25" t="str">
        <f aca="false">IF(入力シート!$A145="","","")</f>
        <v/>
      </c>
      <c r="M141" s="25" t="str">
        <f aca="false">IF(入力シート!$A145="","","")</f>
        <v/>
      </c>
      <c r="N141" s="25" t="str">
        <f aca="false">IF(入力シート!$A145="","",入力シート!R145)</f>
        <v/>
      </c>
      <c r="O141" s="25" t="str">
        <f aca="false">IF(入力シート!$A145="","",IF(入力シート!G145="",1,入力シート!G145))</f>
        <v/>
      </c>
      <c r="P141" s="25" t="str">
        <f aca="false">IF(入力シート!$A145="","",入力シート!D145)</f>
        <v/>
      </c>
      <c r="Q141" s="25" t="str">
        <f aca="false">IF(入力シート!$A145="","","")</f>
        <v/>
      </c>
      <c r="R141" s="25" t="str">
        <f aca="false">IF(入力シート!$A145="","",入力シート!J145)</f>
        <v/>
      </c>
      <c r="S141" s="25" t="str">
        <f aca="false">IF(入力シート!$A145="","",入力シート!L145)</f>
        <v/>
      </c>
      <c r="T141" s="25" t="str">
        <f aca="false">IF(入力シート!$A145="","",入力シート!K145)</f>
        <v/>
      </c>
      <c r="U141" s="25" t="str">
        <f aca="false">IF(入力シート!$A145="","",0)</f>
        <v/>
      </c>
      <c r="V141" s="25" t="str">
        <f aca="false">IF(入力シート!$A145="","",0)</f>
        <v/>
      </c>
      <c r="W141" s="25" t="str">
        <f aca="false">IF(入力シート!$A145="","","0000")</f>
        <v/>
      </c>
      <c r="X141" s="25" t="str">
        <f aca="false">IF(入力シート!$A145="","",入力シート!E145)</f>
        <v/>
      </c>
      <c r="Y141" s="25" t="str">
        <f aca="false">IF(入力シート!$A145="","",入力シート!F145)</f>
        <v/>
      </c>
      <c r="Z141" s="25" t="str">
        <f aca="false">IF(入力シート!$A145="","",入力シート!O145)</f>
        <v/>
      </c>
      <c r="AA141" s="25" t="str">
        <f aca="false">IF(入力シート!$A145="","","")</f>
        <v/>
      </c>
      <c r="AB141" s="25" t="str">
        <f aca="false">IF(入力シート!$A145="","",入力シート!P145)</f>
        <v/>
      </c>
      <c r="AC141" s="25" t="str">
        <f aca="false">IF(入力シート!$A145="","",入力シート!U145)</f>
        <v/>
      </c>
      <c r="AD141" s="25" t="str">
        <f aca="false">IF(入力シート!$A145="","",0)</f>
        <v/>
      </c>
      <c r="AE141" s="25" t="str">
        <f aca="false">IF(入力シート!$A145="","",入力シート!I145)</f>
        <v/>
      </c>
      <c r="AF141" s="25" t="str">
        <f aca="false">IF(入力シート!$A145="","",入力シート!M145)</f>
        <v/>
      </c>
      <c r="AG141" s="25" t="str">
        <f aca="false">IF(入力シート!$A145="","",入力シート!N145)</f>
        <v/>
      </c>
      <c r="AH141" s="25" t="str">
        <f aca="false">IF(入力シート!$A145="","","")</f>
        <v/>
      </c>
      <c r="AI141" s="25" t="str">
        <f aca="false">IF(入力シート!$A145="","","")</f>
        <v/>
      </c>
      <c r="AJ141" s="25" t="str">
        <f aca="false">IF(入力シート!$A145="","","")</f>
        <v/>
      </c>
      <c r="AK141" s="25" t="str">
        <f aca="false">IF(入力シート!$A145="","",2)</f>
        <v/>
      </c>
      <c r="AL141" s="25" t="str">
        <f aca="false">IF(入力シート!$A145="","","")</f>
        <v/>
      </c>
      <c r="AM141" s="25" t="str">
        <f aca="false">IF(入力シート!$A145="","","")</f>
        <v/>
      </c>
      <c r="AN141" s="25" t="str">
        <f aca="false">IF(入力シート!$A145="","",入力シート!C145)</f>
        <v/>
      </c>
      <c r="AO141" s="25" t="str">
        <f aca="false">IF(入力シート!$A145="","","")</f>
        <v/>
      </c>
      <c r="AP141" s="25" t="str">
        <f aca="false">IF(入力シート!$A145="","","")</f>
        <v/>
      </c>
      <c r="AQ141" s="25" t="str">
        <f aca="false">IF(入力シート!$A145="","","")</f>
        <v/>
      </c>
    </row>
    <row r="142" customFormat="false" ht="15" hidden="false" customHeight="true" outlineLevel="0" collapsed="false">
      <c r="A142" s="25" t="str">
        <f aca="false">IF(入力シート!$A146="","",1)</f>
        <v/>
      </c>
      <c r="B142" s="25" t="str">
        <f aca="false">IF(入力シート!$A146="","",1)</f>
        <v/>
      </c>
      <c r="C142" s="25" t="str">
        <f aca="false">IF(入力シート!$A146="","",0)</f>
        <v/>
      </c>
      <c r="D142" s="25" t="str">
        <f aca="false">IF(入力シート!$A146="","",TEXT(入力シート!A146,"YYYYMMDD"))</f>
        <v/>
      </c>
      <c r="E142" s="25" t="str">
        <f aca="false">IF(入力シート!$A146="","",TEXT(入力シート!Q146,"00000000"))</f>
        <v/>
      </c>
      <c r="F142" s="25" t="str">
        <f aca="false">IF(入力シート!$A146="","",14)</f>
        <v/>
      </c>
      <c r="G142" s="25" t="str">
        <f aca="false">IF(入力シート!$A146="","",1)</f>
        <v/>
      </c>
      <c r="H142" s="25" t="str">
        <f aca="false">IF(入力シート!$A146="","",1)</f>
        <v/>
      </c>
      <c r="I142" s="25" t="str">
        <f aca="false">IF(入力シート!$A146="","",3)</f>
        <v/>
      </c>
      <c r="J142" s="25" t="str">
        <f aca="false">IF(入力シート!$A146="","",1)</f>
        <v/>
      </c>
      <c r="K142" s="25" t="str">
        <f aca="false">IF(入力シート!$A146="","",入力シート!B146)</f>
        <v/>
      </c>
      <c r="L142" s="25" t="str">
        <f aca="false">IF(入力シート!$A146="","","")</f>
        <v/>
      </c>
      <c r="M142" s="25" t="str">
        <f aca="false">IF(入力シート!$A146="","","")</f>
        <v/>
      </c>
      <c r="N142" s="25" t="str">
        <f aca="false">IF(入力シート!$A146="","",入力シート!R146)</f>
        <v/>
      </c>
      <c r="O142" s="25" t="str">
        <f aca="false">IF(入力シート!$A146="","",IF(入力シート!G146="",1,入力シート!G146))</f>
        <v/>
      </c>
      <c r="P142" s="25" t="str">
        <f aca="false">IF(入力シート!$A146="","",入力シート!D146)</f>
        <v/>
      </c>
      <c r="Q142" s="25" t="str">
        <f aca="false">IF(入力シート!$A146="","","")</f>
        <v/>
      </c>
      <c r="R142" s="25" t="str">
        <f aca="false">IF(入力シート!$A146="","",入力シート!J146)</f>
        <v/>
      </c>
      <c r="S142" s="25" t="str">
        <f aca="false">IF(入力シート!$A146="","",入力シート!L146)</f>
        <v/>
      </c>
      <c r="T142" s="25" t="str">
        <f aca="false">IF(入力シート!$A146="","",入力シート!K146)</f>
        <v/>
      </c>
      <c r="U142" s="25" t="str">
        <f aca="false">IF(入力シート!$A146="","",0)</f>
        <v/>
      </c>
      <c r="V142" s="25" t="str">
        <f aca="false">IF(入力シート!$A146="","",0)</f>
        <v/>
      </c>
      <c r="W142" s="25" t="str">
        <f aca="false">IF(入力シート!$A146="","","0000")</f>
        <v/>
      </c>
      <c r="X142" s="25" t="str">
        <f aca="false">IF(入力シート!$A146="","",入力シート!E146)</f>
        <v/>
      </c>
      <c r="Y142" s="25" t="str">
        <f aca="false">IF(入力シート!$A146="","",入力シート!F146)</f>
        <v/>
      </c>
      <c r="Z142" s="25" t="str">
        <f aca="false">IF(入力シート!$A146="","",入力シート!O146)</f>
        <v/>
      </c>
      <c r="AA142" s="25" t="str">
        <f aca="false">IF(入力シート!$A146="","","")</f>
        <v/>
      </c>
      <c r="AB142" s="25" t="str">
        <f aca="false">IF(入力シート!$A146="","",入力シート!P146)</f>
        <v/>
      </c>
      <c r="AC142" s="25" t="str">
        <f aca="false">IF(入力シート!$A146="","",入力シート!U146)</f>
        <v/>
      </c>
      <c r="AD142" s="25" t="str">
        <f aca="false">IF(入力シート!$A146="","",0)</f>
        <v/>
      </c>
      <c r="AE142" s="25" t="str">
        <f aca="false">IF(入力シート!$A146="","",入力シート!I146)</f>
        <v/>
      </c>
      <c r="AF142" s="25" t="str">
        <f aca="false">IF(入力シート!$A146="","",入力シート!M146)</f>
        <v/>
      </c>
      <c r="AG142" s="25" t="str">
        <f aca="false">IF(入力シート!$A146="","",入力シート!N146)</f>
        <v/>
      </c>
      <c r="AH142" s="25" t="str">
        <f aca="false">IF(入力シート!$A146="","","")</f>
        <v/>
      </c>
      <c r="AI142" s="25" t="str">
        <f aca="false">IF(入力シート!$A146="","","")</f>
        <v/>
      </c>
      <c r="AJ142" s="25" t="str">
        <f aca="false">IF(入力シート!$A146="","","")</f>
        <v/>
      </c>
      <c r="AK142" s="25" t="str">
        <f aca="false">IF(入力シート!$A146="","",2)</f>
        <v/>
      </c>
      <c r="AL142" s="25" t="str">
        <f aca="false">IF(入力シート!$A146="","","")</f>
        <v/>
      </c>
      <c r="AM142" s="25" t="str">
        <f aca="false">IF(入力シート!$A146="","","")</f>
        <v/>
      </c>
      <c r="AN142" s="25" t="str">
        <f aca="false">IF(入力シート!$A146="","",入力シート!C146)</f>
        <v/>
      </c>
      <c r="AO142" s="25" t="str">
        <f aca="false">IF(入力シート!$A146="","","")</f>
        <v/>
      </c>
      <c r="AP142" s="25" t="str">
        <f aca="false">IF(入力シート!$A146="","","")</f>
        <v/>
      </c>
      <c r="AQ142" s="25" t="str">
        <f aca="false">IF(入力シート!$A146="","","")</f>
        <v/>
      </c>
    </row>
    <row r="143" customFormat="false" ht="15" hidden="false" customHeight="true" outlineLevel="0" collapsed="false">
      <c r="A143" s="25" t="str">
        <f aca="false">IF(入力シート!$A147="","",1)</f>
        <v/>
      </c>
      <c r="B143" s="25" t="str">
        <f aca="false">IF(入力シート!$A147="","",1)</f>
        <v/>
      </c>
      <c r="C143" s="25" t="str">
        <f aca="false">IF(入力シート!$A147="","",0)</f>
        <v/>
      </c>
      <c r="D143" s="25" t="str">
        <f aca="false">IF(入力シート!$A147="","",TEXT(入力シート!A147,"YYYYMMDD"))</f>
        <v/>
      </c>
      <c r="E143" s="25" t="str">
        <f aca="false">IF(入力シート!$A147="","",TEXT(入力シート!Q147,"00000000"))</f>
        <v/>
      </c>
      <c r="F143" s="25" t="str">
        <f aca="false">IF(入力シート!$A147="","",14)</f>
        <v/>
      </c>
      <c r="G143" s="25" t="str">
        <f aca="false">IF(入力シート!$A147="","",1)</f>
        <v/>
      </c>
      <c r="H143" s="25" t="str">
        <f aca="false">IF(入力シート!$A147="","",1)</f>
        <v/>
      </c>
      <c r="I143" s="25" t="str">
        <f aca="false">IF(入力シート!$A147="","",3)</f>
        <v/>
      </c>
      <c r="J143" s="25" t="str">
        <f aca="false">IF(入力シート!$A147="","",1)</f>
        <v/>
      </c>
      <c r="K143" s="25" t="str">
        <f aca="false">IF(入力シート!$A147="","",入力シート!B147)</f>
        <v/>
      </c>
      <c r="L143" s="25" t="str">
        <f aca="false">IF(入力シート!$A147="","","")</f>
        <v/>
      </c>
      <c r="M143" s="25" t="str">
        <f aca="false">IF(入力シート!$A147="","","")</f>
        <v/>
      </c>
      <c r="N143" s="25" t="str">
        <f aca="false">IF(入力シート!$A147="","",入力シート!R147)</f>
        <v/>
      </c>
      <c r="O143" s="25" t="str">
        <f aca="false">IF(入力シート!$A147="","",IF(入力シート!G147="",1,入力シート!G147))</f>
        <v/>
      </c>
      <c r="P143" s="25" t="str">
        <f aca="false">IF(入力シート!$A147="","",入力シート!D147)</f>
        <v/>
      </c>
      <c r="Q143" s="25" t="str">
        <f aca="false">IF(入力シート!$A147="","","")</f>
        <v/>
      </c>
      <c r="R143" s="25" t="str">
        <f aca="false">IF(入力シート!$A147="","",入力シート!J147)</f>
        <v/>
      </c>
      <c r="S143" s="25" t="str">
        <f aca="false">IF(入力シート!$A147="","",入力シート!L147)</f>
        <v/>
      </c>
      <c r="T143" s="25" t="str">
        <f aca="false">IF(入力シート!$A147="","",入力シート!K147)</f>
        <v/>
      </c>
      <c r="U143" s="25" t="str">
        <f aca="false">IF(入力シート!$A147="","",0)</f>
        <v/>
      </c>
      <c r="V143" s="25" t="str">
        <f aca="false">IF(入力シート!$A147="","",0)</f>
        <v/>
      </c>
      <c r="W143" s="25" t="str">
        <f aca="false">IF(入力シート!$A147="","","0000")</f>
        <v/>
      </c>
      <c r="X143" s="25" t="str">
        <f aca="false">IF(入力シート!$A147="","",入力シート!E147)</f>
        <v/>
      </c>
      <c r="Y143" s="25" t="str">
        <f aca="false">IF(入力シート!$A147="","",入力シート!F147)</f>
        <v/>
      </c>
      <c r="Z143" s="25" t="str">
        <f aca="false">IF(入力シート!$A147="","",入力シート!O147)</f>
        <v/>
      </c>
      <c r="AA143" s="25" t="str">
        <f aca="false">IF(入力シート!$A147="","","")</f>
        <v/>
      </c>
      <c r="AB143" s="25" t="str">
        <f aca="false">IF(入力シート!$A147="","",入力シート!P147)</f>
        <v/>
      </c>
      <c r="AC143" s="25" t="str">
        <f aca="false">IF(入力シート!$A147="","",入力シート!U147)</f>
        <v/>
      </c>
      <c r="AD143" s="25" t="str">
        <f aca="false">IF(入力シート!$A147="","",0)</f>
        <v/>
      </c>
      <c r="AE143" s="25" t="str">
        <f aca="false">IF(入力シート!$A147="","",入力シート!I147)</f>
        <v/>
      </c>
      <c r="AF143" s="25" t="str">
        <f aca="false">IF(入力シート!$A147="","",入力シート!M147)</f>
        <v/>
      </c>
      <c r="AG143" s="25" t="str">
        <f aca="false">IF(入力シート!$A147="","",入力シート!N147)</f>
        <v/>
      </c>
      <c r="AH143" s="25" t="str">
        <f aca="false">IF(入力シート!$A147="","","")</f>
        <v/>
      </c>
      <c r="AI143" s="25" t="str">
        <f aca="false">IF(入力シート!$A147="","","")</f>
        <v/>
      </c>
      <c r="AJ143" s="25" t="str">
        <f aca="false">IF(入力シート!$A147="","","")</f>
        <v/>
      </c>
      <c r="AK143" s="25" t="str">
        <f aca="false">IF(入力シート!$A147="","",2)</f>
        <v/>
      </c>
      <c r="AL143" s="25" t="str">
        <f aca="false">IF(入力シート!$A147="","","")</f>
        <v/>
      </c>
      <c r="AM143" s="25" t="str">
        <f aca="false">IF(入力シート!$A147="","","")</f>
        <v/>
      </c>
      <c r="AN143" s="25" t="str">
        <f aca="false">IF(入力シート!$A147="","",入力シート!C147)</f>
        <v/>
      </c>
      <c r="AO143" s="25" t="str">
        <f aca="false">IF(入力シート!$A147="","","")</f>
        <v/>
      </c>
      <c r="AP143" s="25" t="str">
        <f aca="false">IF(入力シート!$A147="","","")</f>
        <v/>
      </c>
      <c r="AQ143" s="25" t="str">
        <f aca="false">IF(入力シート!$A147="","","")</f>
        <v/>
      </c>
    </row>
    <row r="144" customFormat="false" ht="15" hidden="false" customHeight="true" outlineLevel="0" collapsed="false">
      <c r="A144" s="25" t="str">
        <f aca="false">IF(入力シート!$A148="","",1)</f>
        <v/>
      </c>
      <c r="B144" s="25" t="str">
        <f aca="false">IF(入力シート!$A148="","",1)</f>
        <v/>
      </c>
      <c r="C144" s="25" t="str">
        <f aca="false">IF(入力シート!$A148="","",0)</f>
        <v/>
      </c>
      <c r="D144" s="25" t="str">
        <f aca="false">IF(入力シート!$A148="","",TEXT(入力シート!A148,"YYYYMMDD"))</f>
        <v/>
      </c>
      <c r="E144" s="25" t="str">
        <f aca="false">IF(入力シート!$A148="","",TEXT(入力シート!Q148,"00000000"))</f>
        <v/>
      </c>
      <c r="F144" s="25" t="str">
        <f aca="false">IF(入力シート!$A148="","",14)</f>
        <v/>
      </c>
      <c r="G144" s="25" t="str">
        <f aca="false">IF(入力シート!$A148="","",1)</f>
        <v/>
      </c>
      <c r="H144" s="25" t="str">
        <f aca="false">IF(入力シート!$A148="","",1)</f>
        <v/>
      </c>
      <c r="I144" s="25" t="str">
        <f aca="false">IF(入力シート!$A148="","",3)</f>
        <v/>
      </c>
      <c r="J144" s="25" t="str">
        <f aca="false">IF(入力シート!$A148="","",1)</f>
        <v/>
      </c>
      <c r="K144" s="25" t="str">
        <f aca="false">IF(入力シート!$A148="","",入力シート!B148)</f>
        <v/>
      </c>
      <c r="L144" s="25" t="str">
        <f aca="false">IF(入力シート!$A148="","","")</f>
        <v/>
      </c>
      <c r="M144" s="25" t="str">
        <f aca="false">IF(入力シート!$A148="","","")</f>
        <v/>
      </c>
      <c r="N144" s="25" t="str">
        <f aca="false">IF(入力シート!$A148="","",入力シート!R148)</f>
        <v/>
      </c>
      <c r="O144" s="25" t="str">
        <f aca="false">IF(入力シート!$A148="","",IF(入力シート!G148="",1,入力シート!G148))</f>
        <v/>
      </c>
      <c r="P144" s="25" t="str">
        <f aca="false">IF(入力シート!$A148="","",入力シート!D148)</f>
        <v/>
      </c>
      <c r="Q144" s="25" t="str">
        <f aca="false">IF(入力シート!$A148="","","")</f>
        <v/>
      </c>
      <c r="R144" s="25" t="str">
        <f aca="false">IF(入力シート!$A148="","",入力シート!J148)</f>
        <v/>
      </c>
      <c r="S144" s="25" t="str">
        <f aca="false">IF(入力シート!$A148="","",入力シート!L148)</f>
        <v/>
      </c>
      <c r="T144" s="25" t="str">
        <f aca="false">IF(入力シート!$A148="","",入力シート!K148)</f>
        <v/>
      </c>
      <c r="U144" s="25" t="str">
        <f aca="false">IF(入力シート!$A148="","",0)</f>
        <v/>
      </c>
      <c r="V144" s="25" t="str">
        <f aca="false">IF(入力シート!$A148="","",0)</f>
        <v/>
      </c>
      <c r="W144" s="25" t="str">
        <f aca="false">IF(入力シート!$A148="","","0000")</f>
        <v/>
      </c>
      <c r="X144" s="25" t="str">
        <f aca="false">IF(入力シート!$A148="","",入力シート!E148)</f>
        <v/>
      </c>
      <c r="Y144" s="25" t="str">
        <f aca="false">IF(入力シート!$A148="","",入力シート!F148)</f>
        <v/>
      </c>
      <c r="Z144" s="25" t="str">
        <f aca="false">IF(入力シート!$A148="","",入力シート!O148)</f>
        <v/>
      </c>
      <c r="AA144" s="25" t="str">
        <f aca="false">IF(入力シート!$A148="","","")</f>
        <v/>
      </c>
      <c r="AB144" s="25" t="str">
        <f aca="false">IF(入力シート!$A148="","",入力シート!P148)</f>
        <v/>
      </c>
      <c r="AC144" s="25" t="str">
        <f aca="false">IF(入力シート!$A148="","",入力シート!U148)</f>
        <v/>
      </c>
      <c r="AD144" s="25" t="str">
        <f aca="false">IF(入力シート!$A148="","",0)</f>
        <v/>
      </c>
      <c r="AE144" s="25" t="str">
        <f aca="false">IF(入力シート!$A148="","",入力シート!I148)</f>
        <v/>
      </c>
      <c r="AF144" s="25" t="str">
        <f aca="false">IF(入力シート!$A148="","",入力シート!M148)</f>
        <v/>
      </c>
      <c r="AG144" s="25" t="str">
        <f aca="false">IF(入力シート!$A148="","",入力シート!N148)</f>
        <v/>
      </c>
      <c r="AH144" s="25" t="str">
        <f aca="false">IF(入力シート!$A148="","","")</f>
        <v/>
      </c>
      <c r="AI144" s="25" t="str">
        <f aca="false">IF(入力シート!$A148="","","")</f>
        <v/>
      </c>
      <c r="AJ144" s="25" t="str">
        <f aca="false">IF(入力シート!$A148="","","")</f>
        <v/>
      </c>
      <c r="AK144" s="25" t="str">
        <f aca="false">IF(入力シート!$A148="","",2)</f>
        <v/>
      </c>
      <c r="AL144" s="25" t="str">
        <f aca="false">IF(入力シート!$A148="","","")</f>
        <v/>
      </c>
      <c r="AM144" s="25" t="str">
        <f aca="false">IF(入力シート!$A148="","","")</f>
        <v/>
      </c>
      <c r="AN144" s="25" t="str">
        <f aca="false">IF(入力シート!$A148="","",入力シート!C148)</f>
        <v/>
      </c>
      <c r="AO144" s="25" t="str">
        <f aca="false">IF(入力シート!$A148="","","")</f>
        <v/>
      </c>
      <c r="AP144" s="25" t="str">
        <f aca="false">IF(入力シート!$A148="","","")</f>
        <v/>
      </c>
      <c r="AQ144" s="25" t="str">
        <f aca="false">IF(入力シート!$A148="","","")</f>
        <v/>
      </c>
    </row>
    <row r="145" customFormat="false" ht="15" hidden="false" customHeight="true" outlineLevel="0" collapsed="false">
      <c r="A145" s="25" t="str">
        <f aca="false">IF(入力シート!$A149="","",1)</f>
        <v/>
      </c>
      <c r="B145" s="25" t="str">
        <f aca="false">IF(入力シート!$A149="","",1)</f>
        <v/>
      </c>
      <c r="C145" s="25" t="str">
        <f aca="false">IF(入力シート!$A149="","",0)</f>
        <v/>
      </c>
      <c r="D145" s="25" t="str">
        <f aca="false">IF(入力シート!$A149="","",TEXT(入力シート!A149,"YYYYMMDD"))</f>
        <v/>
      </c>
      <c r="E145" s="25" t="str">
        <f aca="false">IF(入力シート!$A149="","",TEXT(入力シート!Q149,"00000000"))</f>
        <v/>
      </c>
      <c r="F145" s="25" t="str">
        <f aca="false">IF(入力シート!$A149="","",14)</f>
        <v/>
      </c>
      <c r="G145" s="25" t="str">
        <f aca="false">IF(入力シート!$A149="","",1)</f>
        <v/>
      </c>
      <c r="H145" s="25" t="str">
        <f aca="false">IF(入力シート!$A149="","",1)</f>
        <v/>
      </c>
      <c r="I145" s="25" t="str">
        <f aca="false">IF(入力シート!$A149="","",3)</f>
        <v/>
      </c>
      <c r="J145" s="25" t="str">
        <f aca="false">IF(入力シート!$A149="","",1)</f>
        <v/>
      </c>
      <c r="K145" s="25" t="str">
        <f aca="false">IF(入力シート!$A149="","",入力シート!B149)</f>
        <v/>
      </c>
      <c r="L145" s="25" t="str">
        <f aca="false">IF(入力シート!$A149="","","")</f>
        <v/>
      </c>
      <c r="M145" s="25" t="str">
        <f aca="false">IF(入力シート!$A149="","","")</f>
        <v/>
      </c>
      <c r="N145" s="25" t="str">
        <f aca="false">IF(入力シート!$A149="","",入力シート!R149)</f>
        <v/>
      </c>
      <c r="O145" s="25" t="str">
        <f aca="false">IF(入力シート!$A149="","",IF(入力シート!G149="",1,入力シート!G149))</f>
        <v/>
      </c>
      <c r="P145" s="25" t="str">
        <f aca="false">IF(入力シート!$A149="","",入力シート!D149)</f>
        <v/>
      </c>
      <c r="Q145" s="25" t="str">
        <f aca="false">IF(入力シート!$A149="","","")</f>
        <v/>
      </c>
      <c r="R145" s="25" t="str">
        <f aca="false">IF(入力シート!$A149="","",入力シート!J149)</f>
        <v/>
      </c>
      <c r="S145" s="25" t="str">
        <f aca="false">IF(入力シート!$A149="","",入力シート!L149)</f>
        <v/>
      </c>
      <c r="T145" s="25" t="str">
        <f aca="false">IF(入力シート!$A149="","",入力シート!K149)</f>
        <v/>
      </c>
      <c r="U145" s="25" t="str">
        <f aca="false">IF(入力シート!$A149="","",0)</f>
        <v/>
      </c>
      <c r="V145" s="25" t="str">
        <f aca="false">IF(入力シート!$A149="","",0)</f>
        <v/>
      </c>
      <c r="W145" s="25" t="str">
        <f aca="false">IF(入力シート!$A149="","","0000")</f>
        <v/>
      </c>
      <c r="X145" s="25" t="str">
        <f aca="false">IF(入力シート!$A149="","",入力シート!E149)</f>
        <v/>
      </c>
      <c r="Y145" s="25" t="str">
        <f aca="false">IF(入力シート!$A149="","",入力シート!F149)</f>
        <v/>
      </c>
      <c r="Z145" s="25" t="str">
        <f aca="false">IF(入力シート!$A149="","",入力シート!O149)</f>
        <v/>
      </c>
      <c r="AA145" s="25" t="str">
        <f aca="false">IF(入力シート!$A149="","","")</f>
        <v/>
      </c>
      <c r="AB145" s="25" t="str">
        <f aca="false">IF(入力シート!$A149="","",入力シート!P149)</f>
        <v/>
      </c>
      <c r="AC145" s="25" t="str">
        <f aca="false">IF(入力シート!$A149="","",入力シート!U149)</f>
        <v/>
      </c>
      <c r="AD145" s="25" t="str">
        <f aca="false">IF(入力シート!$A149="","",0)</f>
        <v/>
      </c>
      <c r="AE145" s="25" t="str">
        <f aca="false">IF(入力シート!$A149="","",入力シート!I149)</f>
        <v/>
      </c>
      <c r="AF145" s="25" t="str">
        <f aca="false">IF(入力シート!$A149="","",入力シート!M149)</f>
        <v/>
      </c>
      <c r="AG145" s="25" t="str">
        <f aca="false">IF(入力シート!$A149="","",入力シート!N149)</f>
        <v/>
      </c>
      <c r="AH145" s="25" t="str">
        <f aca="false">IF(入力シート!$A149="","","")</f>
        <v/>
      </c>
      <c r="AI145" s="25" t="str">
        <f aca="false">IF(入力シート!$A149="","","")</f>
        <v/>
      </c>
      <c r="AJ145" s="25" t="str">
        <f aca="false">IF(入力シート!$A149="","","")</f>
        <v/>
      </c>
      <c r="AK145" s="25" t="str">
        <f aca="false">IF(入力シート!$A149="","",2)</f>
        <v/>
      </c>
      <c r="AL145" s="25" t="str">
        <f aca="false">IF(入力シート!$A149="","","")</f>
        <v/>
      </c>
      <c r="AM145" s="25" t="str">
        <f aca="false">IF(入力シート!$A149="","","")</f>
        <v/>
      </c>
      <c r="AN145" s="25" t="str">
        <f aca="false">IF(入力シート!$A149="","",入力シート!C149)</f>
        <v/>
      </c>
      <c r="AO145" s="25" t="str">
        <f aca="false">IF(入力シート!$A149="","","")</f>
        <v/>
      </c>
      <c r="AP145" s="25" t="str">
        <f aca="false">IF(入力シート!$A149="","","")</f>
        <v/>
      </c>
      <c r="AQ145" s="25" t="str">
        <f aca="false">IF(入力シート!$A149="","","")</f>
        <v/>
      </c>
    </row>
    <row r="146" customFormat="false" ht="15" hidden="false" customHeight="true" outlineLevel="0" collapsed="false">
      <c r="A146" s="25" t="str">
        <f aca="false">IF(入力シート!$A150="","",1)</f>
        <v/>
      </c>
      <c r="B146" s="25" t="str">
        <f aca="false">IF(入力シート!$A150="","",1)</f>
        <v/>
      </c>
      <c r="C146" s="25" t="str">
        <f aca="false">IF(入力シート!$A150="","",0)</f>
        <v/>
      </c>
      <c r="D146" s="25" t="str">
        <f aca="false">IF(入力シート!$A150="","",TEXT(入力シート!A150,"YYYYMMDD"))</f>
        <v/>
      </c>
      <c r="E146" s="25" t="str">
        <f aca="false">IF(入力シート!$A150="","",TEXT(入力シート!Q150,"00000000"))</f>
        <v/>
      </c>
      <c r="F146" s="25" t="str">
        <f aca="false">IF(入力シート!$A150="","",14)</f>
        <v/>
      </c>
      <c r="G146" s="25" t="str">
        <f aca="false">IF(入力シート!$A150="","",1)</f>
        <v/>
      </c>
      <c r="H146" s="25" t="str">
        <f aca="false">IF(入力シート!$A150="","",1)</f>
        <v/>
      </c>
      <c r="I146" s="25" t="str">
        <f aca="false">IF(入力シート!$A150="","",3)</f>
        <v/>
      </c>
      <c r="J146" s="25" t="str">
        <f aca="false">IF(入力シート!$A150="","",1)</f>
        <v/>
      </c>
      <c r="K146" s="25" t="str">
        <f aca="false">IF(入力シート!$A150="","",入力シート!B150)</f>
        <v/>
      </c>
      <c r="L146" s="25" t="str">
        <f aca="false">IF(入力シート!$A150="","","")</f>
        <v/>
      </c>
      <c r="M146" s="25" t="str">
        <f aca="false">IF(入力シート!$A150="","","")</f>
        <v/>
      </c>
      <c r="N146" s="25" t="str">
        <f aca="false">IF(入力シート!$A150="","",入力シート!R150)</f>
        <v/>
      </c>
      <c r="O146" s="25" t="str">
        <f aca="false">IF(入力シート!$A150="","",IF(入力シート!G150="",1,入力シート!G150))</f>
        <v/>
      </c>
      <c r="P146" s="25" t="str">
        <f aca="false">IF(入力シート!$A150="","",入力シート!D150)</f>
        <v/>
      </c>
      <c r="Q146" s="25" t="str">
        <f aca="false">IF(入力シート!$A150="","","")</f>
        <v/>
      </c>
      <c r="R146" s="25" t="str">
        <f aca="false">IF(入力シート!$A150="","",入力シート!J150)</f>
        <v/>
      </c>
      <c r="S146" s="25" t="str">
        <f aca="false">IF(入力シート!$A150="","",入力シート!L150)</f>
        <v/>
      </c>
      <c r="T146" s="25" t="str">
        <f aca="false">IF(入力シート!$A150="","",入力シート!K150)</f>
        <v/>
      </c>
      <c r="U146" s="25" t="str">
        <f aca="false">IF(入力シート!$A150="","",0)</f>
        <v/>
      </c>
      <c r="V146" s="25" t="str">
        <f aca="false">IF(入力シート!$A150="","",0)</f>
        <v/>
      </c>
      <c r="W146" s="25" t="str">
        <f aca="false">IF(入力シート!$A150="","","0000")</f>
        <v/>
      </c>
      <c r="X146" s="25" t="str">
        <f aca="false">IF(入力シート!$A150="","",入力シート!E150)</f>
        <v/>
      </c>
      <c r="Y146" s="25" t="str">
        <f aca="false">IF(入力シート!$A150="","",入力シート!F150)</f>
        <v/>
      </c>
      <c r="Z146" s="25" t="str">
        <f aca="false">IF(入力シート!$A150="","",入力シート!O150)</f>
        <v/>
      </c>
      <c r="AA146" s="25" t="str">
        <f aca="false">IF(入力シート!$A150="","","")</f>
        <v/>
      </c>
      <c r="AB146" s="25" t="str">
        <f aca="false">IF(入力シート!$A150="","",入力シート!P150)</f>
        <v/>
      </c>
      <c r="AC146" s="25" t="str">
        <f aca="false">IF(入力シート!$A150="","",入力シート!U150)</f>
        <v/>
      </c>
      <c r="AD146" s="25" t="str">
        <f aca="false">IF(入力シート!$A150="","",0)</f>
        <v/>
      </c>
      <c r="AE146" s="25" t="str">
        <f aca="false">IF(入力シート!$A150="","",入力シート!I150)</f>
        <v/>
      </c>
      <c r="AF146" s="25" t="str">
        <f aca="false">IF(入力シート!$A150="","",入力シート!M150)</f>
        <v/>
      </c>
      <c r="AG146" s="25" t="str">
        <f aca="false">IF(入力シート!$A150="","",入力シート!N150)</f>
        <v/>
      </c>
      <c r="AH146" s="25" t="str">
        <f aca="false">IF(入力シート!$A150="","","")</f>
        <v/>
      </c>
      <c r="AI146" s="25" t="str">
        <f aca="false">IF(入力シート!$A150="","","")</f>
        <v/>
      </c>
      <c r="AJ146" s="25" t="str">
        <f aca="false">IF(入力シート!$A150="","","")</f>
        <v/>
      </c>
      <c r="AK146" s="25" t="str">
        <f aca="false">IF(入力シート!$A150="","",2)</f>
        <v/>
      </c>
      <c r="AL146" s="25" t="str">
        <f aca="false">IF(入力シート!$A150="","","")</f>
        <v/>
      </c>
      <c r="AM146" s="25" t="str">
        <f aca="false">IF(入力シート!$A150="","","")</f>
        <v/>
      </c>
      <c r="AN146" s="25" t="str">
        <f aca="false">IF(入力シート!$A150="","",入力シート!C150)</f>
        <v/>
      </c>
      <c r="AO146" s="25" t="str">
        <f aca="false">IF(入力シート!$A150="","","")</f>
        <v/>
      </c>
      <c r="AP146" s="25" t="str">
        <f aca="false">IF(入力シート!$A150="","","")</f>
        <v/>
      </c>
      <c r="AQ146" s="25" t="str">
        <f aca="false">IF(入力シート!$A150="","","")</f>
        <v/>
      </c>
    </row>
    <row r="147" customFormat="false" ht="15" hidden="false" customHeight="true" outlineLevel="0" collapsed="false">
      <c r="A147" s="25" t="str">
        <f aca="false">IF(入力シート!$A151="","",1)</f>
        <v/>
      </c>
      <c r="B147" s="25" t="str">
        <f aca="false">IF(入力シート!$A151="","",1)</f>
        <v/>
      </c>
      <c r="C147" s="25" t="str">
        <f aca="false">IF(入力シート!$A151="","",0)</f>
        <v/>
      </c>
      <c r="D147" s="25" t="str">
        <f aca="false">IF(入力シート!$A151="","",TEXT(入力シート!A151,"YYYYMMDD"))</f>
        <v/>
      </c>
      <c r="E147" s="25" t="str">
        <f aca="false">IF(入力シート!$A151="","",TEXT(入力シート!Q151,"00000000"))</f>
        <v/>
      </c>
      <c r="F147" s="25" t="str">
        <f aca="false">IF(入力シート!$A151="","",14)</f>
        <v/>
      </c>
      <c r="G147" s="25" t="str">
        <f aca="false">IF(入力シート!$A151="","",1)</f>
        <v/>
      </c>
      <c r="H147" s="25" t="str">
        <f aca="false">IF(入力シート!$A151="","",1)</f>
        <v/>
      </c>
      <c r="I147" s="25" t="str">
        <f aca="false">IF(入力シート!$A151="","",3)</f>
        <v/>
      </c>
      <c r="J147" s="25" t="str">
        <f aca="false">IF(入力シート!$A151="","",1)</f>
        <v/>
      </c>
      <c r="K147" s="25" t="str">
        <f aca="false">IF(入力シート!$A151="","",入力シート!B151)</f>
        <v/>
      </c>
      <c r="L147" s="25" t="str">
        <f aca="false">IF(入力シート!$A151="","","")</f>
        <v/>
      </c>
      <c r="M147" s="25" t="str">
        <f aca="false">IF(入力シート!$A151="","","")</f>
        <v/>
      </c>
      <c r="N147" s="25" t="str">
        <f aca="false">IF(入力シート!$A151="","",入力シート!R151)</f>
        <v/>
      </c>
      <c r="O147" s="25" t="str">
        <f aca="false">IF(入力シート!$A151="","",IF(入力シート!G151="",1,入力シート!G151))</f>
        <v/>
      </c>
      <c r="P147" s="25" t="str">
        <f aca="false">IF(入力シート!$A151="","",入力シート!D151)</f>
        <v/>
      </c>
      <c r="Q147" s="25" t="str">
        <f aca="false">IF(入力シート!$A151="","","")</f>
        <v/>
      </c>
      <c r="R147" s="25" t="str">
        <f aca="false">IF(入力シート!$A151="","",入力シート!J151)</f>
        <v/>
      </c>
      <c r="S147" s="25" t="str">
        <f aca="false">IF(入力シート!$A151="","",入力シート!L151)</f>
        <v/>
      </c>
      <c r="T147" s="25" t="str">
        <f aca="false">IF(入力シート!$A151="","",入力シート!K151)</f>
        <v/>
      </c>
      <c r="U147" s="25" t="str">
        <f aca="false">IF(入力シート!$A151="","",0)</f>
        <v/>
      </c>
      <c r="V147" s="25" t="str">
        <f aca="false">IF(入力シート!$A151="","",0)</f>
        <v/>
      </c>
      <c r="W147" s="25" t="str">
        <f aca="false">IF(入力シート!$A151="","","0000")</f>
        <v/>
      </c>
      <c r="X147" s="25" t="str">
        <f aca="false">IF(入力シート!$A151="","",入力シート!E151)</f>
        <v/>
      </c>
      <c r="Y147" s="25" t="str">
        <f aca="false">IF(入力シート!$A151="","",入力シート!F151)</f>
        <v/>
      </c>
      <c r="Z147" s="25" t="str">
        <f aca="false">IF(入力シート!$A151="","",入力シート!O151)</f>
        <v/>
      </c>
      <c r="AA147" s="25" t="str">
        <f aca="false">IF(入力シート!$A151="","","")</f>
        <v/>
      </c>
      <c r="AB147" s="25" t="str">
        <f aca="false">IF(入力シート!$A151="","",入力シート!P151)</f>
        <v/>
      </c>
      <c r="AC147" s="25" t="str">
        <f aca="false">IF(入力シート!$A151="","",入力シート!U151)</f>
        <v/>
      </c>
      <c r="AD147" s="25" t="str">
        <f aca="false">IF(入力シート!$A151="","",0)</f>
        <v/>
      </c>
      <c r="AE147" s="25" t="str">
        <f aca="false">IF(入力シート!$A151="","",入力シート!I151)</f>
        <v/>
      </c>
      <c r="AF147" s="25" t="str">
        <f aca="false">IF(入力シート!$A151="","",入力シート!M151)</f>
        <v/>
      </c>
      <c r="AG147" s="25" t="str">
        <f aca="false">IF(入力シート!$A151="","",入力シート!N151)</f>
        <v/>
      </c>
      <c r="AH147" s="25" t="str">
        <f aca="false">IF(入力シート!$A151="","","")</f>
        <v/>
      </c>
      <c r="AI147" s="25" t="str">
        <f aca="false">IF(入力シート!$A151="","","")</f>
        <v/>
      </c>
      <c r="AJ147" s="25" t="str">
        <f aca="false">IF(入力シート!$A151="","","")</f>
        <v/>
      </c>
      <c r="AK147" s="25" t="str">
        <f aca="false">IF(入力シート!$A151="","",2)</f>
        <v/>
      </c>
      <c r="AL147" s="25" t="str">
        <f aca="false">IF(入力シート!$A151="","","")</f>
        <v/>
      </c>
      <c r="AM147" s="25" t="str">
        <f aca="false">IF(入力シート!$A151="","","")</f>
        <v/>
      </c>
      <c r="AN147" s="25" t="str">
        <f aca="false">IF(入力シート!$A151="","",入力シート!C151)</f>
        <v/>
      </c>
      <c r="AO147" s="25" t="str">
        <f aca="false">IF(入力シート!$A151="","","")</f>
        <v/>
      </c>
      <c r="AP147" s="25" t="str">
        <f aca="false">IF(入力シート!$A151="","","")</f>
        <v/>
      </c>
      <c r="AQ147" s="25" t="str">
        <f aca="false">IF(入力シート!$A151="","","")</f>
        <v/>
      </c>
    </row>
    <row r="148" customFormat="false" ht="15" hidden="false" customHeight="true" outlineLevel="0" collapsed="false">
      <c r="A148" s="25" t="str">
        <f aca="false">IF(入力シート!$A152="","",1)</f>
        <v/>
      </c>
      <c r="B148" s="25" t="str">
        <f aca="false">IF(入力シート!$A152="","",1)</f>
        <v/>
      </c>
      <c r="C148" s="25" t="str">
        <f aca="false">IF(入力シート!$A152="","",0)</f>
        <v/>
      </c>
      <c r="D148" s="25" t="str">
        <f aca="false">IF(入力シート!$A152="","",TEXT(入力シート!A152,"YYYYMMDD"))</f>
        <v/>
      </c>
      <c r="E148" s="25" t="str">
        <f aca="false">IF(入力シート!$A152="","",TEXT(入力シート!Q152,"00000000"))</f>
        <v/>
      </c>
      <c r="F148" s="25" t="str">
        <f aca="false">IF(入力シート!$A152="","",14)</f>
        <v/>
      </c>
      <c r="G148" s="25" t="str">
        <f aca="false">IF(入力シート!$A152="","",1)</f>
        <v/>
      </c>
      <c r="H148" s="25" t="str">
        <f aca="false">IF(入力シート!$A152="","",1)</f>
        <v/>
      </c>
      <c r="I148" s="25" t="str">
        <f aca="false">IF(入力シート!$A152="","",3)</f>
        <v/>
      </c>
      <c r="J148" s="25" t="str">
        <f aca="false">IF(入力シート!$A152="","",1)</f>
        <v/>
      </c>
      <c r="K148" s="25" t="str">
        <f aca="false">IF(入力シート!$A152="","",入力シート!B152)</f>
        <v/>
      </c>
      <c r="L148" s="25" t="str">
        <f aca="false">IF(入力シート!$A152="","","")</f>
        <v/>
      </c>
      <c r="M148" s="25" t="str">
        <f aca="false">IF(入力シート!$A152="","","")</f>
        <v/>
      </c>
      <c r="N148" s="25" t="str">
        <f aca="false">IF(入力シート!$A152="","",入力シート!R152)</f>
        <v/>
      </c>
      <c r="O148" s="25" t="str">
        <f aca="false">IF(入力シート!$A152="","",IF(入力シート!G152="",1,入力シート!G152))</f>
        <v/>
      </c>
      <c r="P148" s="25" t="str">
        <f aca="false">IF(入力シート!$A152="","",入力シート!D152)</f>
        <v/>
      </c>
      <c r="Q148" s="25" t="str">
        <f aca="false">IF(入力シート!$A152="","","")</f>
        <v/>
      </c>
      <c r="R148" s="25" t="str">
        <f aca="false">IF(入力シート!$A152="","",入力シート!J152)</f>
        <v/>
      </c>
      <c r="S148" s="25" t="str">
        <f aca="false">IF(入力シート!$A152="","",入力シート!L152)</f>
        <v/>
      </c>
      <c r="T148" s="25" t="str">
        <f aca="false">IF(入力シート!$A152="","",入力シート!K152)</f>
        <v/>
      </c>
      <c r="U148" s="25" t="str">
        <f aca="false">IF(入力シート!$A152="","",0)</f>
        <v/>
      </c>
      <c r="V148" s="25" t="str">
        <f aca="false">IF(入力シート!$A152="","",0)</f>
        <v/>
      </c>
      <c r="W148" s="25" t="str">
        <f aca="false">IF(入力シート!$A152="","","0000")</f>
        <v/>
      </c>
      <c r="X148" s="25" t="str">
        <f aca="false">IF(入力シート!$A152="","",入力シート!E152)</f>
        <v/>
      </c>
      <c r="Y148" s="25" t="str">
        <f aca="false">IF(入力シート!$A152="","",入力シート!F152)</f>
        <v/>
      </c>
      <c r="Z148" s="25" t="str">
        <f aca="false">IF(入力シート!$A152="","",入力シート!O152)</f>
        <v/>
      </c>
      <c r="AA148" s="25" t="str">
        <f aca="false">IF(入力シート!$A152="","","")</f>
        <v/>
      </c>
      <c r="AB148" s="25" t="str">
        <f aca="false">IF(入力シート!$A152="","",入力シート!P152)</f>
        <v/>
      </c>
      <c r="AC148" s="25" t="str">
        <f aca="false">IF(入力シート!$A152="","",入力シート!U152)</f>
        <v/>
      </c>
      <c r="AD148" s="25" t="str">
        <f aca="false">IF(入力シート!$A152="","",0)</f>
        <v/>
      </c>
      <c r="AE148" s="25" t="str">
        <f aca="false">IF(入力シート!$A152="","",入力シート!I152)</f>
        <v/>
      </c>
      <c r="AF148" s="25" t="str">
        <f aca="false">IF(入力シート!$A152="","",入力シート!M152)</f>
        <v/>
      </c>
      <c r="AG148" s="25" t="str">
        <f aca="false">IF(入力シート!$A152="","",入力シート!N152)</f>
        <v/>
      </c>
      <c r="AH148" s="25" t="str">
        <f aca="false">IF(入力シート!$A152="","","")</f>
        <v/>
      </c>
      <c r="AI148" s="25" t="str">
        <f aca="false">IF(入力シート!$A152="","","")</f>
        <v/>
      </c>
      <c r="AJ148" s="25" t="str">
        <f aca="false">IF(入力シート!$A152="","","")</f>
        <v/>
      </c>
      <c r="AK148" s="25" t="str">
        <f aca="false">IF(入力シート!$A152="","",2)</f>
        <v/>
      </c>
      <c r="AL148" s="25" t="str">
        <f aca="false">IF(入力シート!$A152="","","")</f>
        <v/>
      </c>
      <c r="AM148" s="25" t="str">
        <f aca="false">IF(入力シート!$A152="","","")</f>
        <v/>
      </c>
      <c r="AN148" s="25" t="str">
        <f aca="false">IF(入力シート!$A152="","",入力シート!C152)</f>
        <v/>
      </c>
      <c r="AO148" s="25" t="str">
        <f aca="false">IF(入力シート!$A152="","","")</f>
        <v/>
      </c>
      <c r="AP148" s="25" t="str">
        <f aca="false">IF(入力シート!$A152="","","")</f>
        <v/>
      </c>
      <c r="AQ148" s="25" t="str">
        <f aca="false">IF(入力シート!$A152="","","")</f>
        <v/>
      </c>
    </row>
    <row r="149" customFormat="false" ht="15" hidden="false" customHeight="true" outlineLevel="0" collapsed="false">
      <c r="A149" s="25" t="str">
        <f aca="false">IF(入力シート!$A153="","",1)</f>
        <v/>
      </c>
      <c r="B149" s="25" t="str">
        <f aca="false">IF(入力シート!$A153="","",1)</f>
        <v/>
      </c>
      <c r="C149" s="25" t="str">
        <f aca="false">IF(入力シート!$A153="","",0)</f>
        <v/>
      </c>
      <c r="D149" s="25" t="str">
        <f aca="false">IF(入力シート!$A153="","",TEXT(入力シート!A153,"YYYYMMDD"))</f>
        <v/>
      </c>
      <c r="E149" s="25" t="str">
        <f aca="false">IF(入力シート!$A153="","",TEXT(入力シート!Q153,"00000000"))</f>
        <v/>
      </c>
      <c r="F149" s="25" t="str">
        <f aca="false">IF(入力シート!$A153="","",14)</f>
        <v/>
      </c>
      <c r="G149" s="25" t="str">
        <f aca="false">IF(入力シート!$A153="","",1)</f>
        <v/>
      </c>
      <c r="H149" s="25" t="str">
        <f aca="false">IF(入力シート!$A153="","",1)</f>
        <v/>
      </c>
      <c r="I149" s="25" t="str">
        <f aca="false">IF(入力シート!$A153="","",3)</f>
        <v/>
      </c>
      <c r="J149" s="25" t="str">
        <f aca="false">IF(入力シート!$A153="","",1)</f>
        <v/>
      </c>
      <c r="K149" s="25" t="str">
        <f aca="false">IF(入力シート!$A153="","",入力シート!B153)</f>
        <v/>
      </c>
      <c r="L149" s="25" t="str">
        <f aca="false">IF(入力シート!$A153="","","")</f>
        <v/>
      </c>
      <c r="M149" s="25" t="str">
        <f aca="false">IF(入力シート!$A153="","","")</f>
        <v/>
      </c>
      <c r="N149" s="25" t="str">
        <f aca="false">IF(入力シート!$A153="","",入力シート!R153)</f>
        <v/>
      </c>
      <c r="O149" s="25" t="str">
        <f aca="false">IF(入力シート!$A153="","",IF(入力シート!G153="",1,入力シート!G153))</f>
        <v/>
      </c>
      <c r="P149" s="25" t="str">
        <f aca="false">IF(入力シート!$A153="","",入力シート!D153)</f>
        <v/>
      </c>
      <c r="Q149" s="25" t="str">
        <f aca="false">IF(入力シート!$A153="","","")</f>
        <v/>
      </c>
      <c r="R149" s="25" t="str">
        <f aca="false">IF(入力シート!$A153="","",入力シート!J153)</f>
        <v/>
      </c>
      <c r="S149" s="25" t="str">
        <f aca="false">IF(入力シート!$A153="","",入力シート!L153)</f>
        <v/>
      </c>
      <c r="T149" s="25" t="str">
        <f aca="false">IF(入力シート!$A153="","",入力シート!K153)</f>
        <v/>
      </c>
      <c r="U149" s="25" t="str">
        <f aca="false">IF(入力シート!$A153="","",0)</f>
        <v/>
      </c>
      <c r="V149" s="25" t="str">
        <f aca="false">IF(入力シート!$A153="","",0)</f>
        <v/>
      </c>
      <c r="W149" s="25" t="str">
        <f aca="false">IF(入力シート!$A153="","","0000")</f>
        <v/>
      </c>
      <c r="X149" s="25" t="str">
        <f aca="false">IF(入力シート!$A153="","",入力シート!E153)</f>
        <v/>
      </c>
      <c r="Y149" s="25" t="str">
        <f aca="false">IF(入力シート!$A153="","",入力シート!F153)</f>
        <v/>
      </c>
      <c r="Z149" s="25" t="str">
        <f aca="false">IF(入力シート!$A153="","",入力シート!O153)</f>
        <v/>
      </c>
      <c r="AA149" s="25" t="str">
        <f aca="false">IF(入力シート!$A153="","","")</f>
        <v/>
      </c>
      <c r="AB149" s="25" t="str">
        <f aca="false">IF(入力シート!$A153="","",入力シート!P153)</f>
        <v/>
      </c>
      <c r="AC149" s="25" t="str">
        <f aca="false">IF(入力シート!$A153="","",入力シート!U153)</f>
        <v/>
      </c>
      <c r="AD149" s="25" t="str">
        <f aca="false">IF(入力シート!$A153="","",0)</f>
        <v/>
      </c>
      <c r="AE149" s="25" t="str">
        <f aca="false">IF(入力シート!$A153="","",入力シート!I153)</f>
        <v/>
      </c>
      <c r="AF149" s="25" t="str">
        <f aca="false">IF(入力シート!$A153="","",入力シート!M153)</f>
        <v/>
      </c>
      <c r="AG149" s="25" t="str">
        <f aca="false">IF(入力シート!$A153="","",入力シート!N153)</f>
        <v/>
      </c>
      <c r="AH149" s="25" t="str">
        <f aca="false">IF(入力シート!$A153="","","")</f>
        <v/>
      </c>
      <c r="AI149" s="25" t="str">
        <f aca="false">IF(入力シート!$A153="","","")</f>
        <v/>
      </c>
      <c r="AJ149" s="25" t="str">
        <f aca="false">IF(入力シート!$A153="","","")</f>
        <v/>
      </c>
      <c r="AK149" s="25" t="str">
        <f aca="false">IF(入力シート!$A153="","",2)</f>
        <v/>
      </c>
      <c r="AL149" s="25" t="str">
        <f aca="false">IF(入力シート!$A153="","","")</f>
        <v/>
      </c>
      <c r="AM149" s="25" t="str">
        <f aca="false">IF(入力シート!$A153="","","")</f>
        <v/>
      </c>
      <c r="AN149" s="25" t="str">
        <f aca="false">IF(入力シート!$A153="","",入力シート!C153)</f>
        <v/>
      </c>
      <c r="AO149" s="25" t="str">
        <f aca="false">IF(入力シート!$A153="","","")</f>
        <v/>
      </c>
      <c r="AP149" s="25" t="str">
        <f aca="false">IF(入力シート!$A153="","","")</f>
        <v/>
      </c>
      <c r="AQ149" s="25" t="str">
        <f aca="false">IF(入力シート!$A153="","","")</f>
        <v/>
      </c>
    </row>
    <row r="150" customFormat="false" ht="15" hidden="false" customHeight="true" outlineLevel="0" collapsed="false">
      <c r="A150" s="25" t="str">
        <f aca="false">IF(入力シート!$A154="","",1)</f>
        <v/>
      </c>
      <c r="B150" s="25" t="str">
        <f aca="false">IF(入力シート!$A154="","",1)</f>
        <v/>
      </c>
      <c r="C150" s="25" t="str">
        <f aca="false">IF(入力シート!$A154="","",0)</f>
        <v/>
      </c>
      <c r="D150" s="25" t="str">
        <f aca="false">IF(入力シート!$A154="","",TEXT(入力シート!A154,"YYYYMMDD"))</f>
        <v/>
      </c>
      <c r="E150" s="25" t="str">
        <f aca="false">IF(入力シート!$A154="","",TEXT(入力シート!Q154,"00000000"))</f>
        <v/>
      </c>
      <c r="F150" s="25" t="str">
        <f aca="false">IF(入力シート!$A154="","",14)</f>
        <v/>
      </c>
      <c r="G150" s="25" t="str">
        <f aca="false">IF(入力シート!$A154="","",1)</f>
        <v/>
      </c>
      <c r="H150" s="25" t="str">
        <f aca="false">IF(入力シート!$A154="","",1)</f>
        <v/>
      </c>
      <c r="I150" s="25" t="str">
        <f aca="false">IF(入力シート!$A154="","",3)</f>
        <v/>
      </c>
      <c r="J150" s="25" t="str">
        <f aca="false">IF(入力シート!$A154="","",1)</f>
        <v/>
      </c>
      <c r="K150" s="25" t="str">
        <f aca="false">IF(入力シート!$A154="","",入力シート!B154)</f>
        <v/>
      </c>
      <c r="L150" s="25" t="str">
        <f aca="false">IF(入力シート!$A154="","","")</f>
        <v/>
      </c>
      <c r="M150" s="25" t="str">
        <f aca="false">IF(入力シート!$A154="","","")</f>
        <v/>
      </c>
      <c r="N150" s="25" t="str">
        <f aca="false">IF(入力シート!$A154="","",入力シート!R154)</f>
        <v/>
      </c>
      <c r="O150" s="25" t="str">
        <f aca="false">IF(入力シート!$A154="","",IF(入力シート!G154="",1,入力シート!G154))</f>
        <v/>
      </c>
      <c r="P150" s="25" t="str">
        <f aca="false">IF(入力シート!$A154="","",入力シート!D154)</f>
        <v/>
      </c>
      <c r="Q150" s="25" t="str">
        <f aca="false">IF(入力シート!$A154="","","")</f>
        <v/>
      </c>
      <c r="R150" s="25" t="str">
        <f aca="false">IF(入力シート!$A154="","",入力シート!J154)</f>
        <v/>
      </c>
      <c r="S150" s="25" t="str">
        <f aca="false">IF(入力シート!$A154="","",入力シート!L154)</f>
        <v/>
      </c>
      <c r="T150" s="25" t="str">
        <f aca="false">IF(入力シート!$A154="","",入力シート!K154)</f>
        <v/>
      </c>
      <c r="U150" s="25" t="str">
        <f aca="false">IF(入力シート!$A154="","",0)</f>
        <v/>
      </c>
      <c r="V150" s="25" t="str">
        <f aca="false">IF(入力シート!$A154="","",0)</f>
        <v/>
      </c>
      <c r="W150" s="25" t="str">
        <f aca="false">IF(入力シート!$A154="","","0000")</f>
        <v/>
      </c>
      <c r="X150" s="25" t="str">
        <f aca="false">IF(入力シート!$A154="","",入力シート!E154)</f>
        <v/>
      </c>
      <c r="Y150" s="25" t="str">
        <f aca="false">IF(入力シート!$A154="","",入力シート!F154)</f>
        <v/>
      </c>
      <c r="Z150" s="25" t="str">
        <f aca="false">IF(入力シート!$A154="","",入力シート!O154)</f>
        <v/>
      </c>
      <c r="AA150" s="25" t="str">
        <f aca="false">IF(入力シート!$A154="","","")</f>
        <v/>
      </c>
      <c r="AB150" s="25" t="str">
        <f aca="false">IF(入力シート!$A154="","",入力シート!P154)</f>
        <v/>
      </c>
      <c r="AC150" s="25" t="str">
        <f aca="false">IF(入力シート!$A154="","",入力シート!U154)</f>
        <v/>
      </c>
      <c r="AD150" s="25" t="str">
        <f aca="false">IF(入力シート!$A154="","",0)</f>
        <v/>
      </c>
      <c r="AE150" s="25" t="str">
        <f aca="false">IF(入力シート!$A154="","",入力シート!I154)</f>
        <v/>
      </c>
      <c r="AF150" s="25" t="str">
        <f aca="false">IF(入力シート!$A154="","",入力シート!M154)</f>
        <v/>
      </c>
      <c r="AG150" s="25" t="str">
        <f aca="false">IF(入力シート!$A154="","",入力シート!N154)</f>
        <v/>
      </c>
      <c r="AH150" s="25" t="str">
        <f aca="false">IF(入力シート!$A154="","","")</f>
        <v/>
      </c>
      <c r="AI150" s="25" t="str">
        <f aca="false">IF(入力シート!$A154="","","")</f>
        <v/>
      </c>
      <c r="AJ150" s="25" t="str">
        <f aca="false">IF(入力シート!$A154="","","")</f>
        <v/>
      </c>
      <c r="AK150" s="25" t="str">
        <f aca="false">IF(入力シート!$A154="","",2)</f>
        <v/>
      </c>
      <c r="AL150" s="25" t="str">
        <f aca="false">IF(入力シート!$A154="","","")</f>
        <v/>
      </c>
      <c r="AM150" s="25" t="str">
        <f aca="false">IF(入力シート!$A154="","","")</f>
        <v/>
      </c>
      <c r="AN150" s="25" t="str">
        <f aca="false">IF(入力シート!$A154="","",入力シート!C154)</f>
        <v/>
      </c>
      <c r="AO150" s="25" t="str">
        <f aca="false">IF(入力シート!$A154="","","")</f>
        <v/>
      </c>
      <c r="AP150" s="25" t="str">
        <f aca="false">IF(入力シート!$A154="","","")</f>
        <v/>
      </c>
      <c r="AQ150" s="25" t="str">
        <f aca="false">IF(入力シート!$A154="","","")</f>
        <v/>
      </c>
    </row>
    <row r="151" customFormat="false" ht="15" hidden="false" customHeight="true" outlineLevel="0" collapsed="false">
      <c r="A151" s="25" t="str">
        <f aca="false">IF(入力シート!$A155="","",1)</f>
        <v/>
      </c>
      <c r="B151" s="25" t="str">
        <f aca="false">IF(入力シート!$A155="","",1)</f>
        <v/>
      </c>
      <c r="C151" s="25" t="str">
        <f aca="false">IF(入力シート!$A155="","",0)</f>
        <v/>
      </c>
      <c r="D151" s="25" t="str">
        <f aca="false">IF(入力シート!$A155="","",TEXT(入力シート!A155,"YYYYMMDD"))</f>
        <v/>
      </c>
      <c r="E151" s="25" t="str">
        <f aca="false">IF(入力シート!$A155="","",TEXT(入力シート!Q155,"00000000"))</f>
        <v/>
      </c>
      <c r="F151" s="25" t="str">
        <f aca="false">IF(入力シート!$A155="","",14)</f>
        <v/>
      </c>
      <c r="G151" s="25" t="str">
        <f aca="false">IF(入力シート!$A155="","",1)</f>
        <v/>
      </c>
      <c r="H151" s="25" t="str">
        <f aca="false">IF(入力シート!$A155="","",1)</f>
        <v/>
      </c>
      <c r="I151" s="25" t="str">
        <f aca="false">IF(入力シート!$A155="","",3)</f>
        <v/>
      </c>
      <c r="J151" s="25" t="str">
        <f aca="false">IF(入力シート!$A155="","",1)</f>
        <v/>
      </c>
      <c r="K151" s="25" t="str">
        <f aca="false">IF(入力シート!$A155="","",入力シート!B155)</f>
        <v/>
      </c>
      <c r="L151" s="25" t="str">
        <f aca="false">IF(入力シート!$A155="","","")</f>
        <v/>
      </c>
      <c r="M151" s="25" t="str">
        <f aca="false">IF(入力シート!$A155="","","")</f>
        <v/>
      </c>
      <c r="N151" s="25" t="str">
        <f aca="false">IF(入力シート!$A155="","",入力シート!R155)</f>
        <v/>
      </c>
      <c r="O151" s="25" t="str">
        <f aca="false">IF(入力シート!$A155="","",IF(入力シート!G155="",1,入力シート!G155))</f>
        <v/>
      </c>
      <c r="P151" s="25" t="str">
        <f aca="false">IF(入力シート!$A155="","",入力シート!D155)</f>
        <v/>
      </c>
      <c r="Q151" s="25" t="str">
        <f aca="false">IF(入力シート!$A155="","","")</f>
        <v/>
      </c>
      <c r="R151" s="25" t="str">
        <f aca="false">IF(入力シート!$A155="","",入力シート!J155)</f>
        <v/>
      </c>
      <c r="S151" s="25" t="str">
        <f aca="false">IF(入力シート!$A155="","",入力シート!L155)</f>
        <v/>
      </c>
      <c r="T151" s="25" t="str">
        <f aca="false">IF(入力シート!$A155="","",入力シート!K155)</f>
        <v/>
      </c>
      <c r="U151" s="25" t="str">
        <f aca="false">IF(入力シート!$A155="","",0)</f>
        <v/>
      </c>
      <c r="V151" s="25" t="str">
        <f aca="false">IF(入力シート!$A155="","",0)</f>
        <v/>
      </c>
      <c r="W151" s="25" t="str">
        <f aca="false">IF(入力シート!$A155="","","0000")</f>
        <v/>
      </c>
      <c r="X151" s="25" t="str">
        <f aca="false">IF(入力シート!$A155="","",入力シート!E155)</f>
        <v/>
      </c>
      <c r="Y151" s="25" t="str">
        <f aca="false">IF(入力シート!$A155="","",入力シート!F155)</f>
        <v/>
      </c>
      <c r="Z151" s="25" t="str">
        <f aca="false">IF(入力シート!$A155="","",入力シート!O155)</f>
        <v/>
      </c>
      <c r="AA151" s="25" t="str">
        <f aca="false">IF(入力シート!$A155="","","")</f>
        <v/>
      </c>
      <c r="AB151" s="25" t="str">
        <f aca="false">IF(入力シート!$A155="","",入力シート!P155)</f>
        <v/>
      </c>
      <c r="AC151" s="25" t="str">
        <f aca="false">IF(入力シート!$A155="","",入力シート!U155)</f>
        <v/>
      </c>
      <c r="AD151" s="25" t="str">
        <f aca="false">IF(入力シート!$A155="","",0)</f>
        <v/>
      </c>
      <c r="AE151" s="25" t="str">
        <f aca="false">IF(入力シート!$A155="","",入力シート!I155)</f>
        <v/>
      </c>
      <c r="AF151" s="25" t="str">
        <f aca="false">IF(入力シート!$A155="","",入力シート!M155)</f>
        <v/>
      </c>
      <c r="AG151" s="25" t="str">
        <f aca="false">IF(入力シート!$A155="","",入力シート!N155)</f>
        <v/>
      </c>
      <c r="AH151" s="25" t="str">
        <f aca="false">IF(入力シート!$A155="","","")</f>
        <v/>
      </c>
      <c r="AI151" s="25" t="str">
        <f aca="false">IF(入力シート!$A155="","","")</f>
        <v/>
      </c>
      <c r="AJ151" s="25" t="str">
        <f aca="false">IF(入力シート!$A155="","","")</f>
        <v/>
      </c>
      <c r="AK151" s="25" t="str">
        <f aca="false">IF(入力シート!$A155="","",2)</f>
        <v/>
      </c>
      <c r="AL151" s="25" t="str">
        <f aca="false">IF(入力シート!$A155="","","")</f>
        <v/>
      </c>
      <c r="AM151" s="25" t="str">
        <f aca="false">IF(入力シート!$A155="","","")</f>
        <v/>
      </c>
      <c r="AN151" s="25" t="str">
        <f aca="false">IF(入力シート!$A155="","",入力シート!C155)</f>
        <v/>
      </c>
      <c r="AO151" s="25" t="str">
        <f aca="false">IF(入力シート!$A155="","","")</f>
        <v/>
      </c>
      <c r="AP151" s="25" t="str">
        <f aca="false">IF(入力シート!$A155="","","")</f>
        <v/>
      </c>
      <c r="AQ151" s="25" t="str">
        <f aca="false">IF(入力シート!$A155="","","")</f>
        <v/>
      </c>
    </row>
    <row r="152" customFormat="false" ht="15" hidden="false" customHeight="true" outlineLevel="0" collapsed="false">
      <c r="A152" s="25" t="str">
        <f aca="false">IF(入力シート!$A156="","",1)</f>
        <v/>
      </c>
      <c r="B152" s="25" t="str">
        <f aca="false">IF(入力シート!$A156="","",1)</f>
        <v/>
      </c>
      <c r="C152" s="25" t="str">
        <f aca="false">IF(入力シート!$A156="","",0)</f>
        <v/>
      </c>
      <c r="D152" s="25" t="str">
        <f aca="false">IF(入力シート!$A156="","",TEXT(入力シート!A156,"YYYYMMDD"))</f>
        <v/>
      </c>
      <c r="E152" s="25" t="str">
        <f aca="false">IF(入力シート!$A156="","",TEXT(入力シート!Q156,"00000000"))</f>
        <v/>
      </c>
      <c r="F152" s="25" t="str">
        <f aca="false">IF(入力シート!$A156="","",14)</f>
        <v/>
      </c>
      <c r="G152" s="25" t="str">
        <f aca="false">IF(入力シート!$A156="","",1)</f>
        <v/>
      </c>
      <c r="H152" s="25" t="str">
        <f aca="false">IF(入力シート!$A156="","",1)</f>
        <v/>
      </c>
      <c r="I152" s="25" t="str">
        <f aca="false">IF(入力シート!$A156="","",3)</f>
        <v/>
      </c>
      <c r="J152" s="25" t="str">
        <f aca="false">IF(入力シート!$A156="","",1)</f>
        <v/>
      </c>
      <c r="K152" s="25" t="str">
        <f aca="false">IF(入力シート!$A156="","",入力シート!B156)</f>
        <v/>
      </c>
      <c r="L152" s="25" t="str">
        <f aca="false">IF(入力シート!$A156="","","")</f>
        <v/>
      </c>
      <c r="M152" s="25" t="str">
        <f aca="false">IF(入力シート!$A156="","","")</f>
        <v/>
      </c>
      <c r="N152" s="25" t="str">
        <f aca="false">IF(入力シート!$A156="","",入力シート!R156)</f>
        <v/>
      </c>
      <c r="O152" s="25" t="str">
        <f aca="false">IF(入力シート!$A156="","",IF(入力シート!G156="",1,入力シート!G156))</f>
        <v/>
      </c>
      <c r="P152" s="25" t="str">
        <f aca="false">IF(入力シート!$A156="","",入力シート!D156)</f>
        <v/>
      </c>
      <c r="Q152" s="25" t="str">
        <f aca="false">IF(入力シート!$A156="","","")</f>
        <v/>
      </c>
      <c r="R152" s="25" t="str">
        <f aca="false">IF(入力シート!$A156="","",入力シート!J156)</f>
        <v/>
      </c>
      <c r="S152" s="25" t="str">
        <f aca="false">IF(入力シート!$A156="","",入力シート!L156)</f>
        <v/>
      </c>
      <c r="T152" s="25" t="str">
        <f aca="false">IF(入力シート!$A156="","",入力シート!K156)</f>
        <v/>
      </c>
      <c r="U152" s="25" t="str">
        <f aca="false">IF(入力シート!$A156="","",0)</f>
        <v/>
      </c>
      <c r="V152" s="25" t="str">
        <f aca="false">IF(入力シート!$A156="","",0)</f>
        <v/>
      </c>
      <c r="W152" s="25" t="str">
        <f aca="false">IF(入力シート!$A156="","","0000")</f>
        <v/>
      </c>
      <c r="X152" s="25" t="str">
        <f aca="false">IF(入力シート!$A156="","",入力シート!E156)</f>
        <v/>
      </c>
      <c r="Y152" s="25" t="str">
        <f aca="false">IF(入力シート!$A156="","",入力シート!F156)</f>
        <v/>
      </c>
      <c r="Z152" s="25" t="str">
        <f aca="false">IF(入力シート!$A156="","",入力シート!O156)</f>
        <v/>
      </c>
      <c r="AA152" s="25" t="str">
        <f aca="false">IF(入力シート!$A156="","","")</f>
        <v/>
      </c>
      <c r="AB152" s="25" t="str">
        <f aca="false">IF(入力シート!$A156="","",入力シート!P156)</f>
        <v/>
      </c>
      <c r="AC152" s="25" t="str">
        <f aca="false">IF(入力シート!$A156="","",入力シート!U156)</f>
        <v/>
      </c>
      <c r="AD152" s="25" t="str">
        <f aca="false">IF(入力シート!$A156="","",0)</f>
        <v/>
      </c>
      <c r="AE152" s="25" t="str">
        <f aca="false">IF(入力シート!$A156="","",入力シート!I156)</f>
        <v/>
      </c>
      <c r="AF152" s="25" t="str">
        <f aca="false">IF(入力シート!$A156="","",入力シート!M156)</f>
        <v/>
      </c>
      <c r="AG152" s="25" t="str">
        <f aca="false">IF(入力シート!$A156="","",入力シート!N156)</f>
        <v/>
      </c>
      <c r="AH152" s="25" t="str">
        <f aca="false">IF(入力シート!$A156="","","")</f>
        <v/>
      </c>
      <c r="AI152" s="25" t="str">
        <f aca="false">IF(入力シート!$A156="","","")</f>
        <v/>
      </c>
      <c r="AJ152" s="25" t="str">
        <f aca="false">IF(入力シート!$A156="","","")</f>
        <v/>
      </c>
      <c r="AK152" s="25" t="str">
        <f aca="false">IF(入力シート!$A156="","",2)</f>
        <v/>
      </c>
      <c r="AL152" s="25" t="str">
        <f aca="false">IF(入力シート!$A156="","","")</f>
        <v/>
      </c>
      <c r="AM152" s="25" t="str">
        <f aca="false">IF(入力シート!$A156="","","")</f>
        <v/>
      </c>
      <c r="AN152" s="25" t="str">
        <f aca="false">IF(入力シート!$A156="","",入力シート!C156)</f>
        <v/>
      </c>
      <c r="AO152" s="25" t="str">
        <f aca="false">IF(入力シート!$A156="","","")</f>
        <v/>
      </c>
      <c r="AP152" s="25" t="str">
        <f aca="false">IF(入力シート!$A156="","","")</f>
        <v/>
      </c>
      <c r="AQ152" s="25" t="str">
        <f aca="false">IF(入力シート!$A156="","","")</f>
        <v/>
      </c>
    </row>
    <row r="153" customFormat="false" ht="15" hidden="false" customHeight="true" outlineLevel="0" collapsed="false">
      <c r="A153" s="25" t="str">
        <f aca="false">IF(入力シート!$A157="","",1)</f>
        <v/>
      </c>
      <c r="B153" s="25" t="str">
        <f aca="false">IF(入力シート!$A157="","",1)</f>
        <v/>
      </c>
      <c r="C153" s="25" t="str">
        <f aca="false">IF(入力シート!$A157="","",0)</f>
        <v/>
      </c>
      <c r="D153" s="25" t="str">
        <f aca="false">IF(入力シート!$A157="","",TEXT(入力シート!A157,"YYYYMMDD"))</f>
        <v/>
      </c>
      <c r="E153" s="25" t="str">
        <f aca="false">IF(入力シート!$A157="","",TEXT(入力シート!Q157,"00000000"))</f>
        <v/>
      </c>
      <c r="F153" s="25" t="str">
        <f aca="false">IF(入力シート!$A157="","",14)</f>
        <v/>
      </c>
      <c r="G153" s="25" t="str">
        <f aca="false">IF(入力シート!$A157="","",1)</f>
        <v/>
      </c>
      <c r="H153" s="25" t="str">
        <f aca="false">IF(入力シート!$A157="","",1)</f>
        <v/>
      </c>
      <c r="I153" s="25" t="str">
        <f aca="false">IF(入力シート!$A157="","",3)</f>
        <v/>
      </c>
      <c r="J153" s="25" t="str">
        <f aca="false">IF(入力シート!$A157="","",1)</f>
        <v/>
      </c>
      <c r="K153" s="25" t="str">
        <f aca="false">IF(入力シート!$A157="","",入力シート!B157)</f>
        <v/>
      </c>
      <c r="L153" s="25" t="str">
        <f aca="false">IF(入力シート!$A157="","","")</f>
        <v/>
      </c>
      <c r="M153" s="25" t="str">
        <f aca="false">IF(入力シート!$A157="","","")</f>
        <v/>
      </c>
      <c r="N153" s="25" t="str">
        <f aca="false">IF(入力シート!$A157="","",入力シート!R157)</f>
        <v/>
      </c>
      <c r="O153" s="25" t="str">
        <f aca="false">IF(入力シート!$A157="","",IF(入力シート!G157="",1,入力シート!G157))</f>
        <v/>
      </c>
      <c r="P153" s="25" t="str">
        <f aca="false">IF(入力シート!$A157="","",入力シート!D157)</f>
        <v/>
      </c>
      <c r="Q153" s="25" t="str">
        <f aca="false">IF(入力シート!$A157="","","")</f>
        <v/>
      </c>
      <c r="R153" s="25" t="str">
        <f aca="false">IF(入力シート!$A157="","",入力シート!J157)</f>
        <v/>
      </c>
      <c r="S153" s="25" t="str">
        <f aca="false">IF(入力シート!$A157="","",入力シート!L157)</f>
        <v/>
      </c>
      <c r="T153" s="25" t="str">
        <f aca="false">IF(入力シート!$A157="","",入力シート!K157)</f>
        <v/>
      </c>
      <c r="U153" s="25" t="str">
        <f aca="false">IF(入力シート!$A157="","",0)</f>
        <v/>
      </c>
      <c r="V153" s="25" t="str">
        <f aca="false">IF(入力シート!$A157="","",0)</f>
        <v/>
      </c>
      <c r="W153" s="25" t="str">
        <f aca="false">IF(入力シート!$A157="","","0000")</f>
        <v/>
      </c>
      <c r="X153" s="25" t="str">
        <f aca="false">IF(入力シート!$A157="","",入力シート!E157)</f>
        <v/>
      </c>
      <c r="Y153" s="25" t="str">
        <f aca="false">IF(入力シート!$A157="","",入力シート!F157)</f>
        <v/>
      </c>
      <c r="Z153" s="25" t="str">
        <f aca="false">IF(入力シート!$A157="","",入力シート!O157)</f>
        <v/>
      </c>
      <c r="AA153" s="25" t="str">
        <f aca="false">IF(入力シート!$A157="","","")</f>
        <v/>
      </c>
      <c r="AB153" s="25" t="str">
        <f aca="false">IF(入力シート!$A157="","",入力シート!P157)</f>
        <v/>
      </c>
      <c r="AC153" s="25" t="str">
        <f aca="false">IF(入力シート!$A157="","",入力シート!U157)</f>
        <v/>
      </c>
      <c r="AD153" s="25" t="str">
        <f aca="false">IF(入力シート!$A157="","",0)</f>
        <v/>
      </c>
      <c r="AE153" s="25" t="str">
        <f aca="false">IF(入力シート!$A157="","",入力シート!I157)</f>
        <v/>
      </c>
      <c r="AF153" s="25" t="str">
        <f aca="false">IF(入力シート!$A157="","",入力シート!M157)</f>
        <v/>
      </c>
      <c r="AG153" s="25" t="str">
        <f aca="false">IF(入力シート!$A157="","",入力シート!N157)</f>
        <v/>
      </c>
      <c r="AH153" s="25" t="str">
        <f aca="false">IF(入力シート!$A157="","","")</f>
        <v/>
      </c>
      <c r="AI153" s="25" t="str">
        <f aca="false">IF(入力シート!$A157="","","")</f>
        <v/>
      </c>
      <c r="AJ153" s="25" t="str">
        <f aca="false">IF(入力シート!$A157="","","")</f>
        <v/>
      </c>
      <c r="AK153" s="25" t="str">
        <f aca="false">IF(入力シート!$A157="","",2)</f>
        <v/>
      </c>
      <c r="AL153" s="25" t="str">
        <f aca="false">IF(入力シート!$A157="","","")</f>
        <v/>
      </c>
      <c r="AM153" s="25" t="str">
        <f aca="false">IF(入力シート!$A157="","","")</f>
        <v/>
      </c>
      <c r="AN153" s="25" t="str">
        <f aca="false">IF(入力シート!$A157="","",入力シート!C157)</f>
        <v/>
      </c>
      <c r="AO153" s="25" t="str">
        <f aca="false">IF(入力シート!$A157="","","")</f>
        <v/>
      </c>
      <c r="AP153" s="25" t="str">
        <f aca="false">IF(入力シート!$A157="","","")</f>
        <v/>
      </c>
      <c r="AQ153" s="25" t="str">
        <f aca="false">IF(入力シート!$A157="","","")</f>
        <v/>
      </c>
    </row>
    <row r="154" customFormat="false" ht="15" hidden="false" customHeight="true" outlineLevel="0" collapsed="false">
      <c r="A154" s="25" t="str">
        <f aca="false">IF(入力シート!$A158="","",1)</f>
        <v/>
      </c>
      <c r="B154" s="25" t="str">
        <f aca="false">IF(入力シート!$A158="","",1)</f>
        <v/>
      </c>
      <c r="C154" s="25" t="str">
        <f aca="false">IF(入力シート!$A158="","",0)</f>
        <v/>
      </c>
      <c r="D154" s="25" t="str">
        <f aca="false">IF(入力シート!$A158="","",TEXT(入力シート!A158,"YYYYMMDD"))</f>
        <v/>
      </c>
      <c r="E154" s="25" t="str">
        <f aca="false">IF(入力シート!$A158="","",TEXT(入力シート!Q158,"00000000"))</f>
        <v/>
      </c>
      <c r="F154" s="25" t="str">
        <f aca="false">IF(入力シート!$A158="","",14)</f>
        <v/>
      </c>
      <c r="G154" s="25" t="str">
        <f aca="false">IF(入力シート!$A158="","",1)</f>
        <v/>
      </c>
      <c r="H154" s="25" t="str">
        <f aca="false">IF(入力シート!$A158="","",1)</f>
        <v/>
      </c>
      <c r="I154" s="25" t="str">
        <f aca="false">IF(入力シート!$A158="","",3)</f>
        <v/>
      </c>
      <c r="J154" s="25" t="str">
        <f aca="false">IF(入力シート!$A158="","",1)</f>
        <v/>
      </c>
      <c r="K154" s="25" t="str">
        <f aca="false">IF(入力シート!$A158="","",入力シート!B158)</f>
        <v/>
      </c>
      <c r="L154" s="25" t="str">
        <f aca="false">IF(入力シート!$A158="","","")</f>
        <v/>
      </c>
      <c r="M154" s="25" t="str">
        <f aca="false">IF(入力シート!$A158="","","")</f>
        <v/>
      </c>
      <c r="N154" s="25" t="str">
        <f aca="false">IF(入力シート!$A158="","",入力シート!R158)</f>
        <v/>
      </c>
      <c r="O154" s="25" t="str">
        <f aca="false">IF(入力シート!$A158="","",IF(入力シート!G158="",1,入力シート!G158))</f>
        <v/>
      </c>
      <c r="P154" s="25" t="str">
        <f aca="false">IF(入力シート!$A158="","",入力シート!D158)</f>
        <v/>
      </c>
      <c r="Q154" s="25" t="str">
        <f aca="false">IF(入力シート!$A158="","","")</f>
        <v/>
      </c>
      <c r="R154" s="25" t="str">
        <f aca="false">IF(入力シート!$A158="","",入力シート!J158)</f>
        <v/>
      </c>
      <c r="S154" s="25" t="str">
        <f aca="false">IF(入力シート!$A158="","",入力シート!L158)</f>
        <v/>
      </c>
      <c r="T154" s="25" t="str">
        <f aca="false">IF(入力シート!$A158="","",入力シート!K158)</f>
        <v/>
      </c>
      <c r="U154" s="25" t="str">
        <f aca="false">IF(入力シート!$A158="","",0)</f>
        <v/>
      </c>
      <c r="V154" s="25" t="str">
        <f aca="false">IF(入力シート!$A158="","",0)</f>
        <v/>
      </c>
      <c r="W154" s="25" t="str">
        <f aca="false">IF(入力シート!$A158="","","0000")</f>
        <v/>
      </c>
      <c r="X154" s="25" t="str">
        <f aca="false">IF(入力シート!$A158="","",入力シート!E158)</f>
        <v/>
      </c>
      <c r="Y154" s="25" t="str">
        <f aca="false">IF(入力シート!$A158="","",入力シート!F158)</f>
        <v/>
      </c>
      <c r="Z154" s="25" t="str">
        <f aca="false">IF(入力シート!$A158="","",入力シート!O158)</f>
        <v/>
      </c>
      <c r="AA154" s="25" t="str">
        <f aca="false">IF(入力シート!$A158="","","")</f>
        <v/>
      </c>
      <c r="AB154" s="25" t="str">
        <f aca="false">IF(入力シート!$A158="","",入力シート!P158)</f>
        <v/>
      </c>
      <c r="AC154" s="25" t="str">
        <f aca="false">IF(入力シート!$A158="","",入力シート!U158)</f>
        <v/>
      </c>
      <c r="AD154" s="25" t="str">
        <f aca="false">IF(入力シート!$A158="","",0)</f>
        <v/>
      </c>
      <c r="AE154" s="25" t="str">
        <f aca="false">IF(入力シート!$A158="","",入力シート!I158)</f>
        <v/>
      </c>
      <c r="AF154" s="25" t="str">
        <f aca="false">IF(入力シート!$A158="","",入力シート!M158)</f>
        <v/>
      </c>
      <c r="AG154" s="25" t="str">
        <f aca="false">IF(入力シート!$A158="","",入力シート!N158)</f>
        <v/>
      </c>
      <c r="AH154" s="25" t="str">
        <f aca="false">IF(入力シート!$A158="","","")</f>
        <v/>
      </c>
      <c r="AI154" s="25" t="str">
        <f aca="false">IF(入力シート!$A158="","","")</f>
        <v/>
      </c>
      <c r="AJ154" s="25" t="str">
        <f aca="false">IF(入力シート!$A158="","","")</f>
        <v/>
      </c>
      <c r="AK154" s="25" t="str">
        <f aca="false">IF(入力シート!$A158="","",2)</f>
        <v/>
      </c>
      <c r="AL154" s="25" t="str">
        <f aca="false">IF(入力シート!$A158="","","")</f>
        <v/>
      </c>
      <c r="AM154" s="25" t="str">
        <f aca="false">IF(入力シート!$A158="","","")</f>
        <v/>
      </c>
      <c r="AN154" s="25" t="str">
        <f aca="false">IF(入力シート!$A158="","",入力シート!C158)</f>
        <v/>
      </c>
      <c r="AO154" s="25" t="str">
        <f aca="false">IF(入力シート!$A158="","","")</f>
        <v/>
      </c>
      <c r="AP154" s="25" t="str">
        <f aca="false">IF(入力シート!$A158="","","")</f>
        <v/>
      </c>
      <c r="AQ154" s="25" t="str">
        <f aca="false">IF(入力シート!$A158="","","")</f>
        <v/>
      </c>
    </row>
    <row r="155" customFormat="false" ht="15" hidden="false" customHeight="true" outlineLevel="0" collapsed="false">
      <c r="A155" s="25" t="str">
        <f aca="false">IF(入力シート!$A159="","",1)</f>
        <v/>
      </c>
      <c r="B155" s="25" t="str">
        <f aca="false">IF(入力シート!$A159="","",1)</f>
        <v/>
      </c>
      <c r="C155" s="25" t="str">
        <f aca="false">IF(入力シート!$A159="","",0)</f>
        <v/>
      </c>
      <c r="D155" s="25" t="str">
        <f aca="false">IF(入力シート!$A159="","",TEXT(入力シート!A159,"YYYYMMDD"))</f>
        <v/>
      </c>
      <c r="E155" s="25" t="str">
        <f aca="false">IF(入力シート!$A159="","",TEXT(入力シート!Q159,"00000000"))</f>
        <v/>
      </c>
      <c r="F155" s="25" t="str">
        <f aca="false">IF(入力シート!$A159="","",14)</f>
        <v/>
      </c>
      <c r="G155" s="25" t="str">
        <f aca="false">IF(入力シート!$A159="","",1)</f>
        <v/>
      </c>
      <c r="H155" s="25" t="str">
        <f aca="false">IF(入力シート!$A159="","",1)</f>
        <v/>
      </c>
      <c r="I155" s="25" t="str">
        <f aca="false">IF(入力シート!$A159="","",3)</f>
        <v/>
      </c>
      <c r="J155" s="25" t="str">
        <f aca="false">IF(入力シート!$A159="","",1)</f>
        <v/>
      </c>
      <c r="K155" s="25" t="str">
        <f aca="false">IF(入力シート!$A159="","",入力シート!B159)</f>
        <v/>
      </c>
      <c r="L155" s="25" t="str">
        <f aca="false">IF(入力シート!$A159="","","")</f>
        <v/>
      </c>
      <c r="M155" s="25" t="str">
        <f aca="false">IF(入力シート!$A159="","","")</f>
        <v/>
      </c>
      <c r="N155" s="25" t="str">
        <f aca="false">IF(入力シート!$A159="","",入力シート!R159)</f>
        <v/>
      </c>
      <c r="O155" s="25" t="str">
        <f aca="false">IF(入力シート!$A159="","",IF(入力シート!G159="",1,入力シート!G159))</f>
        <v/>
      </c>
      <c r="P155" s="25" t="str">
        <f aca="false">IF(入力シート!$A159="","",入力シート!D159)</f>
        <v/>
      </c>
      <c r="Q155" s="25" t="str">
        <f aca="false">IF(入力シート!$A159="","","")</f>
        <v/>
      </c>
      <c r="R155" s="25" t="str">
        <f aca="false">IF(入力シート!$A159="","",入力シート!J159)</f>
        <v/>
      </c>
      <c r="S155" s="25" t="str">
        <f aca="false">IF(入力シート!$A159="","",入力シート!L159)</f>
        <v/>
      </c>
      <c r="T155" s="25" t="str">
        <f aca="false">IF(入力シート!$A159="","",入力シート!K159)</f>
        <v/>
      </c>
      <c r="U155" s="25" t="str">
        <f aca="false">IF(入力シート!$A159="","",0)</f>
        <v/>
      </c>
      <c r="V155" s="25" t="str">
        <f aca="false">IF(入力シート!$A159="","",0)</f>
        <v/>
      </c>
      <c r="W155" s="25" t="str">
        <f aca="false">IF(入力シート!$A159="","","0000")</f>
        <v/>
      </c>
      <c r="X155" s="25" t="str">
        <f aca="false">IF(入力シート!$A159="","",入力シート!E159)</f>
        <v/>
      </c>
      <c r="Y155" s="25" t="str">
        <f aca="false">IF(入力シート!$A159="","",入力シート!F159)</f>
        <v/>
      </c>
      <c r="Z155" s="25" t="str">
        <f aca="false">IF(入力シート!$A159="","",入力シート!O159)</f>
        <v/>
      </c>
      <c r="AA155" s="25" t="str">
        <f aca="false">IF(入力シート!$A159="","","")</f>
        <v/>
      </c>
      <c r="AB155" s="25" t="str">
        <f aca="false">IF(入力シート!$A159="","",入力シート!P159)</f>
        <v/>
      </c>
      <c r="AC155" s="25" t="str">
        <f aca="false">IF(入力シート!$A159="","",入力シート!U159)</f>
        <v/>
      </c>
      <c r="AD155" s="25" t="str">
        <f aca="false">IF(入力シート!$A159="","",0)</f>
        <v/>
      </c>
      <c r="AE155" s="25" t="str">
        <f aca="false">IF(入力シート!$A159="","",入力シート!I159)</f>
        <v/>
      </c>
      <c r="AF155" s="25" t="str">
        <f aca="false">IF(入力シート!$A159="","",入力シート!M159)</f>
        <v/>
      </c>
      <c r="AG155" s="25" t="str">
        <f aca="false">IF(入力シート!$A159="","",入力シート!N159)</f>
        <v/>
      </c>
      <c r="AH155" s="25" t="str">
        <f aca="false">IF(入力シート!$A159="","","")</f>
        <v/>
      </c>
      <c r="AI155" s="25" t="str">
        <f aca="false">IF(入力シート!$A159="","","")</f>
        <v/>
      </c>
      <c r="AJ155" s="25" t="str">
        <f aca="false">IF(入力シート!$A159="","","")</f>
        <v/>
      </c>
      <c r="AK155" s="25" t="str">
        <f aca="false">IF(入力シート!$A159="","",2)</f>
        <v/>
      </c>
      <c r="AL155" s="25" t="str">
        <f aca="false">IF(入力シート!$A159="","","")</f>
        <v/>
      </c>
      <c r="AM155" s="25" t="str">
        <f aca="false">IF(入力シート!$A159="","","")</f>
        <v/>
      </c>
      <c r="AN155" s="25" t="str">
        <f aca="false">IF(入力シート!$A159="","",入力シート!C159)</f>
        <v/>
      </c>
      <c r="AO155" s="25" t="str">
        <f aca="false">IF(入力シート!$A159="","","")</f>
        <v/>
      </c>
      <c r="AP155" s="25" t="str">
        <f aca="false">IF(入力シート!$A159="","","")</f>
        <v/>
      </c>
      <c r="AQ155" s="25" t="str">
        <f aca="false">IF(入力シート!$A159="","","")</f>
        <v/>
      </c>
    </row>
    <row r="156" customFormat="false" ht="15" hidden="false" customHeight="true" outlineLevel="0" collapsed="false">
      <c r="A156" s="25" t="str">
        <f aca="false">IF(入力シート!$A160="","",1)</f>
        <v/>
      </c>
      <c r="B156" s="25" t="str">
        <f aca="false">IF(入力シート!$A160="","",1)</f>
        <v/>
      </c>
      <c r="C156" s="25" t="str">
        <f aca="false">IF(入力シート!$A160="","",0)</f>
        <v/>
      </c>
      <c r="D156" s="25" t="str">
        <f aca="false">IF(入力シート!$A160="","",TEXT(入力シート!A160,"YYYYMMDD"))</f>
        <v/>
      </c>
      <c r="E156" s="25" t="str">
        <f aca="false">IF(入力シート!$A160="","",TEXT(入力シート!Q160,"00000000"))</f>
        <v/>
      </c>
      <c r="F156" s="25" t="str">
        <f aca="false">IF(入力シート!$A160="","",14)</f>
        <v/>
      </c>
      <c r="G156" s="25" t="str">
        <f aca="false">IF(入力シート!$A160="","",1)</f>
        <v/>
      </c>
      <c r="H156" s="25" t="str">
        <f aca="false">IF(入力シート!$A160="","",1)</f>
        <v/>
      </c>
      <c r="I156" s="25" t="str">
        <f aca="false">IF(入力シート!$A160="","",3)</f>
        <v/>
      </c>
      <c r="J156" s="25" t="str">
        <f aca="false">IF(入力シート!$A160="","",1)</f>
        <v/>
      </c>
      <c r="K156" s="25" t="str">
        <f aca="false">IF(入力シート!$A160="","",入力シート!B160)</f>
        <v/>
      </c>
      <c r="L156" s="25" t="str">
        <f aca="false">IF(入力シート!$A160="","","")</f>
        <v/>
      </c>
      <c r="M156" s="25" t="str">
        <f aca="false">IF(入力シート!$A160="","","")</f>
        <v/>
      </c>
      <c r="N156" s="25" t="str">
        <f aca="false">IF(入力シート!$A160="","",入力シート!R160)</f>
        <v/>
      </c>
      <c r="O156" s="25" t="str">
        <f aca="false">IF(入力シート!$A160="","",IF(入力シート!G160="",1,入力シート!G160))</f>
        <v/>
      </c>
      <c r="P156" s="25" t="str">
        <f aca="false">IF(入力シート!$A160="","",入力シート!D160)</f>
        <v/>
      </c>
      <c r="Q156" s="25" t="str">
        <f aca="false">IF(入力シート!$A160="","","")</f>
        <v/>
      </c>
      <c r="R156" s="25" t="str">
        <f aca="false">IF(入力シート!$A160="","",入力シート!J160)</f>
        <v/>
      </c>
      <c r="S156" s="25" t="str">
        <f aca="false">IF(入力シート!$A160="","",入力シート!L160)</f>
        <v/>
      </c>
      <c r="T156" s="25" t="str">
        <f aca="false">IF(入力シート!$A160="","",入力シート!K160)</f>
        <v/>
      </c>
      <c r="U156" s="25" t="str">
        <f aca="false">IF(入力シート!$A160="","",0)</f>
        <v/>
      </c>
      <c r="V156" s="25" t="str">
        <f aca="false">IF(入力シート!$A160="","",0)</f>
        <v/>
      </c>
      <c r="W156" s="25" t="str">
        <f aca="false">IF(入力シート!$A160="","","0000")</f>
        <v/>
      </c>
      <c r="X156" s="25" t="str">
        <f aca="false">IF(入力シート!$A160="","",入力シート!E160)</f>
        <v/>
      </c>
      <c r="Y156" s="25" t="str">
        <f aca="false">IF(入力シート!$A160="","",入力シート!F160)</f>
        <v/>
      </c>
      <c r="Z156" s="25" t="str">
        <f aca="false">IF(入力シート!$A160="","",入力シート!O160)</f>
        <v/>
      </c>
      <c r="AA156" s="25" t="str">
        <f aca="false">IF(入力シート!$A160="","","")</f>
        <v/>
      </c>
      <c r="AB156" s="25" t="str">
        <f aca="false">IF(入力シート!$A160="","",入力シート!P160)</f>
        <v/>
      </c>
      <c r="AC156" s="25" t="str">
        <f aca="false">IF(入力シート!$A160="","",入力シート!U160)</f>
        <v/>
      </c>
      <c r="AD156" s="25" t="str">
        <f aca="false">IF(入力シート!$A160="","",0)</f>
        <v/>
      </c>
      <c r="AE156" s="25" t="str">
        <f aca="false">IF(入力シート!$A160="","",入力シート!I160)</f>
        <v/>
      </c>
      <c r="AF156" s="25" t="str">
        <f aca="false">IF(入力シート!$A160="","",入力シート!M160)</f>
        <v/>
      </c>
      <c r="AG156" s="25" t="str">
        <f aca="false">IF(入力シート!$A160="","",入力シート!N160)</f>
        <v/>
      </c>
      <c r="AH156" s="25" t="str">
        <f aca="false">IF(入力シート!$A160="","","")</f>
        <v/>
      </c>
      <c r="AI156" s="25" t="str">
        <f aca="false">IF(入力シート!$A160="","","")</f>
        <v/>
      </c>
      <c r="AJ156" s="25" t="str">
        <f aca="false">IF(入力シート!$A160="","","")</f>
        <v/>
      </c>
      <c r="AK156" s="25" t="str">
        <f aca="false">IF(入力シート!$A160="","",2)</f>
        <v/>
      </c>
      <c r="AL156" s="25" t="str">
        <f aca="false">IF(入力シート!$A160="","","")</f>
        <v/>
      </c>
      <c r="AM156" s="25" t="str">
        <f aca="false">IF(入力シート!$A160="","","")</f>
        <v/>
      </c>
      <c r="AN156" s="25" t="str">
        <f aca="false">IF(入力シート!$A160="","",入力シート!C160)</f>
        <v/>
      </c>
      <c r="AO156" s="25" t="str">
        <f aca="false">IF(入力シート!$A160="","","")</f>
        <v/>
      </c>
      <c r="AP156" s="25" t="str">
        <f aca="false">IF(入力シート!$A160="","","")</f>
        <v/>
      </c>
      <c r="AQ156" s="25" t="str">
        <f aca="false">IF(入力シート!$A160="","","")</f>
        <v/>
      </c>
    </row>
    <row r="157" customFormat="false" ht="15" hidden="false" customHeight="true" outlineLevel="0" collapsed="false">
      <c r="A157" s="25" t="str">
        <f aca="false">IF(入力シート!$A161="","",1)</f>
        <v/>
      </c>
      <c r="B157" s="25" t="str">
        <f aca="false">IF(入力シート!$A161="","",1)</f>
        <v/>
      </c>
      <c r="C157" s="25" t="str">
        <f aca="false">IF(入力シート!$A161="","",0)</f>
        <v/>
      </c>
      <c r="D157" s="25" t="str">
        <f aca="false">IF(入力シート!$A161="","",TEXT(入力シート!A161,"YYYYMMDD"))</f>
        <v/>
      </c>
      <c r="E157" s="25" t="str">
        <f aca="false">IF(入力シート!$A161="","",TEXT(入力シート!Q161,"00000000"))</f>
        <v/>
      </c>
      <c r="F157" s="25" t="str">
        <f aca="false">IF(入力シート!$A161="","",14)</f>
        <v/>
      </c>
      <c r="G157" s="25" t="str">
        <f aca="false">IF(入力シート!$A161="","",1)</f>
        <v/>
      </c>
      <c r="H157" s="25" t="str">
        <f aca="false">IF(入力シート!$A161="","",1)</f>
        <v/>
      </c>
      <c r="I157" s="25" t="str">
        <f aca="false">IF(入力シート!$A161="","",3)</f>
        <v/>
      </c>
      <c r="J157" s="25" t="str">
        <f aca="false">IF(入力シート!$A161="","",1)</f>
        <v/>
      </c>
      <c r="K157" s="25" t="str">
        <f aca="false">IF(入力シート!$A161="","",入力シート!B161)</f>
        <v/>
      </c>
      <c r="L157" s="25" t="str">
        <f aca="false">IF(入力シート!$A161="","","")</f>
        <v/>
      </c>
      <c r="M157" s="25" t="str">
        <f aca="false">IF(入力シート!$A161="","","")</f>
        <v/>
      </c>
      <c r="N157" s="25" t="str">
        <f aca="false">IF(入力シート!$A161="","",入力シート!R161)</f>
        <v/>
      </c>
      <c r="O157" s="25" t="str">
        <f aca="false">IF(入力シート!$A161="","",IF(入力シート!G161="",1,入力シート!G161))</f>
        <v/>
      </c>
      <c r="P157" s="25" t="str">
        <f aca="false">IF(入力シート!$A161="","",入力シート!D161)</f>
        <v/>
      </c>
      <c r="Q157" s="25" t="str">
        <f aca="false">IF(入力シート!$A161="","","")</f>
        <v/>
      </c>
      <c r="R157" s="25" t="str">
        <f aca="false">IF(入力シート!$A161="","",入力シート!J161)</f>
        <v/>
      </c>
      <c r="S157" s="25" t="str">
        <f aca="false">IF(入力シート!$A161="","",入力シート!L161)</f>
        <v/>
      </c>
      <c r="T157" s="25" t="str">
        <f aca="false">IF(入力シート!$A161="","",入力シート!K161)</f>
        <v/>
      </c>
      <c r="U157" s="25" t="str">
        <f aca="false">IF(入力シート!$A161="","",0)</f>
        <v/>
      </c>
      <c r="V157" s="25" t="str">
        <f aca="false">IF(入力シート!$A161="","",0)</f>
        <v/>
      </c>
      <c r="W157" s="25" t="str">
        <f aca="false">IF(入力シート!$A161="","","0000")</f>
        <v/>
      </c>
      <c r="X157" s="25" t="str">
        <f aca="false">IF(入力シート!$A161="","",入力シート!E161)</f>
        <v/>
      </c>
      <c r="Y157" s="25" t="str">
        <f aca="false">IF(入力シート!$A161="","",入力シート!F161)</f>
        <v/>
      </c>
      <c r="Z157" s="25" t="str">
        <f aca="false">IF(入力シート!$A161="","",入力シート!O161)</f>
        <v/>
      </c>
      <c r="AA157" s="25" t="str">
        <f aca="false">IF(入力シート!$A161="","","")</f>
        <v/>
      </c>
      <c r="AB157" s="25" t="str">
        <f aca="false">IF(入力シート!$A161="","",入力シート!P161)</f>
        <v/>
      </c>
      <c r="AC157" s="25" t="str">
        <f aca="false">IF(入力シート!$A161="","",入力シート!U161)</f>
        <v/>
      </c>
      <c r="AD157" s="25" t="str">
        <f aca="false">IF(入力シート!$A161="","",0)</f>
        <v/>
      </c>
      <c r="AE157" s="25" t="str">
        <f aca="false">IF(入力シート!$A161="","",入力シート!I161)</f>
        <v/>
      </c>
      <c r="AF157" s="25" t="str">
        <f aca="false">IF(入力シート!$A161="","",入力シート!M161)</f>
        <v/>
      </c>
      <c r="AG157" s="25" t="str">
        <f aca="false">IF(入力シート!$A161="","",入力シート!N161)</f>
        <v/>
      </c>
      <c r="AH157" s="25" t="str">
        <f aca="false">IF(入力シート!$A161="","","")</f>
        <v/>
      </c>
      <c r="AI157" s="25" t="str">
        <f aca="false">IF(入力シート!$A161="","","")</f>
        <v/>
      </c>
      <c r="AJ157" s="25" t="str">
        <f aca="false">IF(入力シート!$A161="","","")</f>
        <v/>
      </c>
      <c r="AK157" s="25" t="str">
        <f aca="false">IF(入力シート!$A161="","",2)</f>
        <v/>
      </c>
      <c r="AL157" s="25" t="str">
        <f aca="false">IF(入力シート!$A161="","","")</f>
        <v/>
      </c>
      <c r="AM157" s="25" t="str">
        <f aca="false">IF(入力シート!$A161="","","")</f>
        <v/>
      </c>
      <c r="AN157" s="25" t="str">
        <f aca="false">IF(入力シート!$A161="","",入力シート!C161)</f>
        <v/>
      </c>
      <c r="AO157" s="25" t="str">
        <f aca="false">IF(入力シート!$A161="","","")</f>
        <v/>
      </c>
      <c r="AP157" s="25" t="str">
        <f aca="false">IF(入力シート!$A161="","","")</f>
        <v/>
      </c>
      <c r="AQ157" s="25" t="str">
        <f aca="false">IF(入力シート!$A161="","","")</f>
        <v/>
      </c>
    </row>
    <row r="158" customFormat="false" ht="15" hidden="false" customHeight="true" outlineLevel="0" collapsed="false">
      <c r="A158" s="25" t="str">
        <f aca="false">IF(入力シート!$A162="","",1)</f>
        <v/>
      </c>
      <c r="B158" s="25" t="str">
        <f aca="false">IF(入力シート!$A162="","",1)</f>
        <v/>
      </c>
      <c r="C158" s="25" t="str">
        <f aca="false">IF(入力シート!$A162="","",0)</f>
        <v/>
      </c>
      <c r="D158" s="25" t="str">
        <f aca="false">IF(入力シート!$A162="","",TEXT(入力シート!A162,"YYYYMMDD"))</f>
        <v/>
      </c>
      <c r="E158" s="25" t="str">
        <f aca="false">IF(入力シート!$A162="","",TEXT(入力シート!Q162,"00000000"))</f>
        <v/>
      </c>
      <c r="F158" s="25" t="str">
        <f aca="false">IF(入力シート!$A162="","",14)</f>
        <v/>
      </c>
      <c r="G158" s="25" t="str">
        <f aca="false">IF(入力シート!$A162="","",1)</f>
        <v/>
      </c>
      <c r="H158" s="25" t="str">
        <f aca="false">IF(入力シート!$A162="","",1)</f>
        <v/>
      </c>
      <c r="I158" s="25" t="str">
        <f aca="false">IF(入力シート!$A162="","",3)</f>
        <v/>
      </c>
      <c r="J158" s="25" t="str">
        <f aca="false">IF(入力シート!$A162="","",1)</f>
        <v/>
      </c>
      <c r="K158" s="25" t="str">
        <f aca="false">IF(入力シート!$A162="","",入力シート!B162)</f>
        <v/>
      </c>
      <c r="L158" s="25" t="str">
        <f aca="false">IF(入力シート!$A162="","","")</f>
        <v/>
      </c>
      <c r="M158" s="25" t="str">
        <f aca="false">IF(入力シート!$A162="","","")</f>
        <v/>
      </c>
      <c r="N158" s="25" t="str">
        <f aca="false">IF(入力シート!$A162="","",入力シート!R162)</f>
        <v/>
      </c>
      <c r="O158" s="25" t="str">
        <f aca="false">IF(入力シート!$A162="","",IF(入力シート!G162="",1,入力シート!G162))</f>
        <v/>
      </c>
      <c r="P158" s="25" t="str">
        <f aca="false">IF(入力シート!$A162="","",入力シート!D162)</f>
        <v/>
      </c>
      <c r="Q158" s="25" t="str">
        <f aca="false">IF(入力シート!$A162="","","")</f>
        <v/>
      </c>
      <c r="R158" s="25" t="str">
        <f aca="false">IF(入力シート!$A162="","",入力シート!J162)</f>
        <v/>
      </c>
      <c r="S158" s="25" t="str">
        <f aca="false">IF(入力シート!$A162="","",入力シート!L162)</f>
        <v/>
      </c>
      <c r="T158" s="25" t="str">
        <f aca="false">IF(入力シート!$A162="","",入力シート!K162)</f>
        <v/>
      </c>
      <c r="U158" s="25" t="str">
        <f aca="false">IF(入力シート!$A162="","",0)</f>
        <v/>
      </c>
      <c r="V158" s="25" t="str">
        <f aca="false">IF(入力シート!$A162="","",0)</f>
        <v/>
      </c>
      <c r="W158" s="25" t="str">
        <f aca="false">IF(入力シート!$A162="","","0000")</f>
        <v/>
      </c>
      <c r="X158" s="25" t="str">
        <f aca="false">IF(入力シート!$A162="","",入力シート!E162)</f>
        <v/>
      </c>
      <c r="Y158" s="25" t="str">
        <f aca="false">IF(入力シート!$A162="","",入力シート!F162)</f>
        <v/>
      </c>
      <c r="Z158" s="25" t="str">
        <f aca="false">IF(入力シート!$A162="","",入力シート!O162)</f>
        <v/>
      </c>
      <c r="AA158" s="25" t="str">
        <f aca="false">IF(入力シート!$A162="","","")</f>
        <v/>
      </c>
      <c r="AB158" s="25" t="str">
        <f aca="false">IF(入力シート!$A162="","",入力シート!P162)</f>
        <v/>
      </c>
      <c r="AC158" s="25" t="str">
        <f aca="false">IF(入力シート!$A162="","",入力シート!U162)</f>
        <v/>
      </c>
      <c r="AD158" s="25" t="str">
        <f aca="false">IF(入力シート!$A162="","",0)</f>
        <v/>
      </c>
      <c r="AE158" s="25" t="str">
        <f aca="false">IF(入力シート!$A162="","",入力シート!I162)</f>
        <v/>
      </c>
      <c r="AF158" s="25" t="str">
        <f aca="false">IF(入力シート!$A162="","",入力シート!M162)</f>
        <v/>
      </c>
      <c r="AG158" s="25" t="str">
        <f aca="false">IF(入力シート!$A162="","",入力シート!N162)</f>
        <v/>
      </c>
      <c r="AH158" s="25" t="str">
        <f aca="false">IF(入力シート!$A162="","","")</f>
        <v/>
      </c>
      <c r="AI158" s="25" t="str">
        <f aca="false">IF(入力シート!$A162="","","")</f>
        <v/>
      </c>
      <c r="AJ158" s="25" t="str">
        <f aca="false">IF(入力シート!$A162="","","")</f>
        <v/>
      </c>
      <c r="AK158" s="25" t="str">
        <f aca="false">IF(入力シート!$A162="","",2)</f>
        <v/>
      </c>
      <c r="AL158" s="25" t="str">
        <f aca="false">IF(入力シート!$A162="","","")</f>
        <v/>
      </c>
      <c r="AM158" s="25" t="str">
        <f aca="false">IF(入力シート!$A162="","","")</f>
        <v/>
      </c>
      <c r="AN158" s="25" t="str">
        <f aca="false">IF(入力シート!$A162="","",入力シート!C162)</f>
        <v/>
      </c>
      <c r="AO158" s="25" t="str">
        <f aca="false">IF(入力シート!$A162="","","")</f>
        <v/>
      </c>
      <c r="AP158" s="25" t="str">
        <f aca="false">IF(入力シート!$A162="","","")</f>
        <v/>
      </c>
      <c r="AQ158" s="25" t="str">
        <f aca="false">IF(入力シート!$A162="","","")</f>
        <v/>
      </c>
    </row>
    <row r="159" customFormat="false" ht="15" hidden="false" customHeight="true" outlineLevel="0" collapsed="false">
      <c r="A159" s="25" t="str">
        <f aca="false">IF(入力シート!$A163="","",1)</f>
        <v/>
      </c>
      <c r="B159" s="25" t="str">
        <f aca="false">IF(入力シート!$A163="","",1)</f>
        <v/>
      </c>
      <c r="C159" s="25" t="str">
        <f aca="false">IF(入力シート!$A163="","",0)</f>
        <v/>
      </c>
      <c r="D159" s="25" t="str">
        <f aca="false">IF(入力シート!$A163="","",TEXT(入力シート!A163,"YYYYMMDD"))</f>
        <v/>
      </c>
      <c r="E159" s="25" t="str">
        <f aca="false">IF(入力シート!$A163="","",TEXT(入力シート!Q163,"00000000"))</f>
        <v/>
      </c>
      <c r="F159" s="25" t="str">
        <f aca="false">IF(入力シート!$A163="","",14)</f>
        <v/>
      </c>
      <c r="G159" s="25" t="str">
        <f aca="false">IF(入力シート!$A163="","",1)</f>
        <v/>
      </c>
      <c r="H159" s="25" t="str">
        <f aca="false">IF(入力シート!$A163="","",1)</f>
        <v/>
      </c>
      <c r="I159" s="25" t="str">
        <f aca="false">IF(入力シート!$A163="","",3)</f>
        <v/>
      </c>
      <c r="J159" s="25" t="str">
        <f aca="false">IF(入力シート!$A163="","",1)</f>
        <v/>
      </c>
      <c r="K159" s="25" t="str">
        <f aca="false">IF(入力シート!$A163="","",入力シート!B163)</f>
        <v/>
      </c>
      <c r="L159" s="25" t="str">
        <f aca="false">IF(入力シート!$A163="","","")</f>
        <v/>
      </c>
      <c r="M159" s="25" t="str">
        <f aca="false">IF(入力シート!$A163="","","")</f>
        <v/>
      </c>
      <c r="N159" s="25" t="str">
        <f aca="false">IF(入力シート!$A163="","",入力シート!R163)</f>
        <v/>
      </c>
      <c r="O159" s="25" t="str">
        <f aca="false">IF(入力シート!$A163="","",IF(入力シート!G163="",1,入力シート!G163))</f>
        <v/>
      </c>
      <c r="P159" s="25" t="str">
        <f aca="false">IF(入力シート!$A163="","",入力シート!D163)</f>
        <v/>
      </c>
      <c r="Q159" s="25" t="str">
        <f aca="false">IF(入力シート!$A163="","","")</f>
        <v/>
      </c>
      <c r="R159" s="25" t="str">
        <f aca="false">IF(入力シート!$A163="","",入力シート!J163)</f>
        <v/>
      </c>
      <c r="S159" s="25" t="str">
        <f aca="false">IF(入力シート!$A163="","",入力シート!L163)</f>
        <v/>
      </c>
      <c r="T159" s="25" t="str">
        <f aca="false">IF(入力シート!$A163="","",入力シート!K163)</f>
        <v/>
      </c>
      <c r="U159" s="25" t="str">
        <f aca="false">IF(入力シート!$A163="","",0)</f>
        <v/>
      </c>
      <c r="V159" s="25" t="str">
        <f aca="false">IF(入力シート!$A163="","",0)</f>
        <v/>
      </c>
      <c r="W159" s="25" t="str">
        <f aca="false">IF(入力シート!$A163="","","0000")</f>
        <v/>
      </c>
      <c r="X159" s="25" t="str">
        <f aca="false">IF(入力シート!$A163="","",入力シート!E163)</f>
        <v/>
      </c>
      <c r="Y159" s="25" t="str">
        <f aca="false">IF(入力シート!$A163="","",入力シート!F163)</f>
        <v/>
      </c>
      <c r="Z159" s="25" t="str">
        <f aca="false">IF(入力シート!$A163="","",入力シート!O163)</f>
        <v/>
      </c>
      <c r="AA159" s="25" t="str">
        <f aca="false">IF(入力シート!$A163="","","")</f>
        <v/>
      </c>
      <c r="AB159" s="25" t="str">
        <f aca="false">IF(入力シート!$A163="","",入力シート!P163)</f>
        <v/>
      </c>
      <c r="AC159" s="25" t="str">
        <f aca="false">IF(入力シート!$A163="","",入力シート!U163)</f>
        <v/>
      </c>
      <c r="AD159" s="25" t="str">
        <f aca="false">IF(入力シート!$A163="","",0)</f>
        <v/>
      </c>
      <c r="AE159" s="25" t="str">
        <f aca="false">IF(入力シート!$A163="","",入力シート!I163)</f>
        <v/>
      </c>
      <c r="AF159" s="25" t="str">
        <f aca="false">IF(入力シート!$A163="","",入力シート!M163)</f>
        <v/>
      </c>
      <c r="AG159" s="25" t="str">
        <f aca="false">IF(入力シート!$A163="","",入力シート!N163)</f>
        <v/>
      </c>
      <c r="AH159" s="25" t="str">
        <f aca="false">IF(入力シート!$A163="","","")</f>
        <v/>
      </c>
      <c r="AI159" s="25" t="str">
        <f aca="false">IF(入力シート!$A163="","","")</f>
        <v/>
      </c>
      <c r="AJ159" s="25" t="str">
        <f aca="false">IF(入力シート!$A163="","","")</f>
        <v/>
      </c>
      <c r="AK159" s="25" t="str">
        <f aca="false">IF(入力シート!$A163="","",2)</f>
        <v/>
      </c>
      <c r="AL159" s="25" t="str">
        <f aca="false">IF(入力シート!$A163="","","")</f>
        <v/>
      </c>
      <c r="AM159" s="25" t="str">
        <f aca="false">IF(入力シート!$A163="","","")</f>
        <v/>
      </c>
      <c r="AN159" s="25" t="str">
        <f aca="false">IF(入力シート!$A163="","",入力シート!C163)</f>
        <v/>
      </c>
      <c r="AO159" s="25" t="str">
        <f aca="false">IF(入力シート!$A163="","","")</f>
        <v/>
      </c>
      <c r="AP159" s="25" t="str">
        <f aca="false">IF(入力シート!$A163="","","")</f>
        <v/>
      </c>
      <c r="AQ159" s="25" t="str">
        <f aca="false">IF(入力シート!$A163="","","")</f>
        <v/>
      </c>
    </row>
    <row r="160" customFormat="false" ht="15" hidden="false" customHeight="true" outlineLevel="0" collapsed="false">
      <c r="A160" s="25" t="str">
        <f aca="false">IF(入力シート!$A164="","",1)</f>
        <v/>
      </c>
      <c r="B160" s="25" t="str">
        <f aca="false">IF(入力シート!$A164="","",1)</f>
        <v/>
      </c>
      <c r="C160" s="25" t="str">
        <f aca="false">IF(入力シート!$A164="","",0)</f>
        <v/>
      </c>
      <c r="D160" s="25" t="str">
        <f aca="false">IF(入力シート!$A164="","",TEXT(入力シート!A164,"YYYYMMDD"))</f>
        <v/>
      </c>
      <c r="E160" s="25" t="str">
        <f aca="false">IF(入力シート!$A164="","",TEXT(入力シート!Q164,"00000000"))</f>
        <v/>
      </c>
      <c r="F160" s="25" t="str">
        <f aca="false">IF(入力シート!$A164="","",14)</f>
        <v/>
      </c>
      <c r="G160" s="25" t="str">
        <f aca="false">IF(入力シート!$A164="","",1)</f>
        <v/>
      </c>
      <c r="H160" s="25" t="str">
        <f aca="false">IF(入力シート!$A164="","",1)</f>
        <v/>
      </c>
      <c r="I160" s="25" t="str">
        <f aca="false">IF(入力シート!$A164="","",3)</f>
        <v/>
      </c>
      <c r="J160" s="25" t="str">
        <f aca="false">IF(入力シート!$A164="","",1)</f>
        <v/>
      </c>
      <c r="K160" s="25" t="str">
        <f aca="false">IF(入力シート!$A164="","",入力シート!B164)</f>
        <v/>
      </c>
      <c r="L160" s="25" t="str">
        <f aca="false">IF(入力シート!$A164="","","")</f>
        <v/>
      </c>
      <c r="M160" s="25" t="str">
        <f aca="false">IF(入力シート!$A164="","","")</f>
        <v/>
      </c>
      <c r="N160" s="25" t="str">
        <f aca="false">IF(入力シート!$A164="","",入力シート!R164)</f>
        <v/>
      </c>
      <c r="O160" s="25" t="str">
        <f aca="false">IF(入力シート!$A164="","",IF(入力シート!G164="",1,入力シート!G164))</f>
        <v/>
      </c>
      <c r="P160" s="25" t="str">
        <f aca="false">IF(入力シート!$A164="","",入力シート!D164)</f>
        <v/>
      </c>
      <c r="Q160" s="25" t="str">
        <f aca="false">IF(入力シート!$A164="","","")</f>
        <v/>
      </c>
      <c r="R160" s="25" t="str">
        <f aca="false">IF(入力シート!$A164="","",入力シート!J164)</f>
        <v/>
      </c>
      <c r="S160" s="25" t="str">
        <f aca="false">IF(入力シート!$A164="","",入力シート!L164)</f>
        <v/>
      </c>
      <c r="T160" s="25" t="str">
        <f aca="false">IF(入力シート!$A164="","",入力シート!K164)</f>
        <v/>
      </c>
      <c r="U160" s="25" t="str">
        <f aca="false">IF(入力シート!$A164="","",0)</f>
        <v/>
      </c>
      <c r="V160" s="25" t="str">
        <f aca="false">IF(入力シート!$A164="","",0)</f>
        <v/>
      </c>
      <c r="W160" s="25" t="str">
        <f aca="false">IF(入力シート!$A164="","","0000")</f>
        <v/>
      </c>
      <c r="X160" s="25" t="str">
        <f aca="false">IF(入力シート!$A164="","",入力シート!E164)</f>
        <v/>
      </c>
      <c r="Y160" s="25" t="str">
        <f aca="false">IF(入力シート!$A164="","",入力シート!F164)</f>
        <v/>
      </c>
      <c r="Z160" s="25" t="str">
        <f aca="false">IF(入力シート!$A164="","",入力シート!O164)</f>
        <v/>
      </c>
      <c r="AA160" s="25" t="str">
        <f aca="false">IF(入力シート!$A164="","","")</f>
        <v/>
      </c>
      <c r="AB160" s="25" t="str">
        <f aca="false">IF(入力シート!$A164="","",入力シート!P164)</f>
        <v/>
      </c>
      <c r="AC160" s="25" t="str">
        <f aca="false">IF(入力シート!$A164="","",入力シート!U164)</f>
        <v/>
      </c>
      <c r="AD160" s="25" t="str">
        <f aca="false">IF(入力シート!$A164="","",0)</f>
        <v/>
      </c>
      <c r="AE160" s="25" t="str">
        <f aca="false">IF(入力シート!$A164="","",入力シート!I164)</f>
        <v/>
      </c>
      <c r="AF160" s="25" t="str">
        <f aca="false">IF(入力シート!$A164="","",入力シート!M164)</f>
        <v/>
      </c>
      <c r="AG160" s="25" t="str">
        <f aca="false">IF(入力シート!$A164="","",入力シート!N164)</f>
        <v/>
      </c>
      <c r="AH160" s="25" t="str">
        <f aca="false">IF(入力シート!$A164="","","")</f>
        <v/>
      </c>
      <c r="AI160" s="25" t="str">
        <f aca="false">IF(入力シート!$A164="","","")</f>
        <v/>
      </c>
      <c r="AJ160" s="25" t="str">
        <f aca="false">IF(入力シート!$A164="","","")</f>
        <v/>
      </c>
      <c r="AK160" s="25" t="str">
        <f aca="false">IF(入力シート!$A164="","",2)</f>
        <v/>
      </c>
      <c r="AL160" s="25" t="str">
        <f aca="false">IF(入力シート!$A164="","","")</f>
        <v/>
      </c>
      <c r="AM160" s="25" t="str">
        <f aca="false">IF(入力シート!$A164="","","")</f>
        <v/>
      </c>
      <c r="AN160" s="25" t="str">
        <f aca="false">IF(入力シート!$A164="","",入力シート!C164)</f>
        <v/>
      </c>
      <c r="AO160" s="25" t="str">
        <f aca="false">IF(入力シート!$A164="","","")</f>
        <v/>
      </c>
      <c r="AP160" s="25" t="str">
        <f aca="false">IF(入力シート!$A164="","","")</f>
        <v/>
      </c>
      <c r="AQ160" s="25" t="str">
        <f aca="false">IF(入力シート!$A164="","","")</f>
        <v/>
      </c>
    </row>
    <row r="161" customFormat="false" ht="15" hidden="false" customHeight="true" outlineLevel="0" collapsed="false">
      <c r="A161" s="25" t="str">
        <f aca="false">IF(入力シート!$A165="","",1)</f>
        <v/>
      </c>
      <c r="B161" s="25" t="str">
        <f aca="false">IF(入力シート!$A165="","",1)</f>
        <v/>
      </c>
      <c r="C161" s="25" t="str">
        <f aca="false">IF(入力シート!$A165="","",0)</f>
        <v/>
      </c>
      <c r="D161" s="25" t="str">
        <f aca="false">IF(入力シート!$A165="","",TEXT(入力シート!A165,"YYYYMMDD"))</f>
        <v/>
      </c>
      <c r="E161" s="25" t="str">
        <f aca="false">IF(入力シート!$A165="","",TEXT(入力シート!Q165,"00000000"))</f>
        <v/>
      </c>
      <c r="F161" s="25" t="str">
        <f aca="false">IF(入力シート!$A165="","",14)</f>
        <v/>
      </c>
      <c r="G161" s="25" t="str">
        <f aca="false">IF(入力シート!$A165="","",1)</f>
        <v/>
      </c>
      <c r="H161" s="25" t="str">
        <f aca="false">IF(入力シート!$A165="","",1)</f>
        <v/>
      </c>
      <c r="I161" s="25" t="str">
        <f aca="false">IF(入力シート!$A165="","",3)</f>
        <v/>
      </c>
      <c r="J161" s="25" t="str">
        <f aca="false">IF(入力シート!$A165="","",1)</f>
        <v/>
      </c>
      <c r="K161" s="25" t="str">
        <f aca="false">IF(入力シート!$A165="","",入力シート!B165)</f>
        <v/>
      </c>
      <c r="L161" s="25" t="str">
        <f aca="false">IF(入力シート!$A165="","","")</f>
        <v/>
      </c>
      <c r="M161" s="25" t="str">
        <f aca="false">IF(入力シート!$A165="","","")</f>
        <v/>
      </c>
      <c r="N161" s="25" t="str">
        <f aca="false">IF(入力シート!$A165="","",入力シート!R165)</f>
        <v/>
      </c>
      <c r="O161" s="25" t="str">
        <f aca="false">IF(入力シート!$A165="","",IF(入力シート!G165="",1,入力シート!G165))</f>
        <v/>
      </c>
      <c r="P161" s="25" t="str">
        <f aca="false">IF(入力シート!$A165="","",入力シート!D165)</f>
        <v/>
      </c>
      <c r="Q161" s="25" t="str">
        <f aca="false">IF(入力シート!$A165="","","")</f>
        <v/>
      </c>
      <c r="R161" s="25" t="str">
        <f aca="false">IF(入力シート!$A165="","",入力シート!J165)</f>
        <v/>
      </c>
      <c r="S161" s="25" t="str">
        <f aca="false">IF(入力シート!$A165="","",入力シート!L165)</f>
        <v/>
      </c>
      <c r="T161" s="25" t="str">
        <f aca="false">IF(入力シート!$A165="","",入力シート!K165)</f>
        <v/>
      </c>
      <c r="U161" s="25" t="str">
        <f aca="false">IF(入力シート!$A165="","",0)</f>
        <v/>
      </c>
      <c r="V161" s="25" t="str">
        <f aca="false">IF(入力シート!$A165="","",0)</f>
        <v/>
      </c>
      <c r="W161" s="25" t="str">
        <f aca="false">IF(入力シート!$A165="","","0000")</f>
        <v/>
      </c>
      <c r="X161" s="25" t="str">
        <f aca="false">IF(入力シート!$A165="","",入力シート!E165)</f>
        <v/>
      </c>
      <c r="Y161" s="25" t="str">
        <f aca="false">IF(入力シート!$A165="","",入力シート!F165)</f>
        <v/>
      </c>
      <c r="Z161" s="25" t="str">
        <f aca="false">IF(入力シート!$A165="","",入力シート!O165)</f>
        <v/>
      </c>
      <c r="AA161" s="25" t="str">
        <f aca="false">IF(入力シート!$A165="","","")</f>
        <v/>
      </c>
      <c r="AB161" s="25" t="str">
        <f aca="false">IF(入力シート!$A165="","",入力シート!P165)</f>
        <v/>
      </c>
      <c r="AC161" s="25" t="str">
        <f aca="false">IF(入力シート!$A165="","",入力シート!U165)</f>
        <v/>
      </c>
      <c r="AD161" s="25" t="str">
        <f aca="false">IF(入力シート!$A165="","",0)</f>
        <v/>
      </c>
      <c r="AE161" s="25" t="str">
        <f aca="false">IF(入力シート!$A165="","",入力シート!I165)</f>
        <v/>
      </c>
      <c r="AF161" s="25" t="str">
        <f aca="false">IF(入力シート!$A165="","",入力シート!M165)</f>
        <v/>
      </c>
      <c r="AG161" s="25" t="str">
        <f aca="false">IF(入力シート!$A165="","",入力シート!N165)</f>
        <v/>
      </c>
      <c r="AH161" s="25" t="str">
        <f aca="false">IF(入力シート!$A165="","","")</f>
        <v/>
      </c>
      <c r="AI161" s="25" t="str">
        <f aca="false">IF(入力シート!$A165="","","")</f>
        <v/>
      </c>
      <c r="AJ161" s="25" t="str">
        <f aca="false">IF(入力シート!$A165="","","")</f>
        <v/>
      </c>
      <c r="AK161" s="25" t="str">
        <f aca="false">IF(入力シート!$A165="","",2)</f>
        <v/>
      </c>
      <c r="AL161" s="25" t="str">
        <f aca="false">IF(入力シート!$A165="","","")</f>
        <v/>
      </c>
      <c r="AM161" s="25" t="str">
        <f aca="false">IF(入力シート!$A165="","","")</f>
        <v/>
      </c>
      <c r="AN161" s="25" t="str">
        <f aca="false">IF(入力シート!$A165="","",入力シート!C165)</f>
        <v/>
      </c>
      <c r="AO161" s="25" t="str">
        <f aca="false">IF(入力シート!$A165="","","")</f>
        <v/>
      </c>
      <c r="AP161" s="25" t="str">
        <f aca="false">IF(入力シート!$A165="","","")</f>
        <v/>
      </c>
      <c r="AQ161" s="25" t="str">
        <f aca="false">IF(入力シート!$A165="","","")</f>
        <v/>
      </c>
    </row>
    <row r="162" customFormat="false" ht="15" hidden="false" customHeight="true" outlineLevel="0" collapsed="false">
      <c r="A162" s="25" t="str">
        <f aca="false">IF(入力シート!$A166="","",1)</f>
        <v/>
      </c>
      <c r="B162" s="25" t="str">
        <f aca="false">IF(入力シート!$A166="","",1)</f>
        <v/>
      </c>
      <c r="C162" s="25" t="str">
        <f aca="false">IF(入力シート!$A166="","",0)</f>
        <v/>
      </c>
      <c r="D162" s="25" t="str">
        <f aca="false">IF(入力シート!$A166="","",TEXT(入力シート!A166,"YYYYMMDD"))</f>
        <v/>
      </c>
      <c r="E162" s="25" t="str">
        <f aca="false">IF(入力シート!$A166="","",TEXT(入力シート!Q166,"00000000"))</f>
        <v/>
      </c>
      <c r="F162" s="25" t="str">
        <f aca="false">IF(入力シート!$A166="","",14)</f>
        <v/>
      </c>
      <c r="G162" s="25" t="str">
        <f aca="false">IF(入力シート!$A166="","",1)</f>
        <v/>
      </c>
      <c r="H162" s="25" t="str">
        <f aca="false">IF(入力シート!$A166="","",1)</f>
        <v/>
      </c>
      <c r="I162" s="25" t="str">
        <f aca="false">IF(入力シート!$A166="","",3)</f>
        <v/>
      </c>
      <c r="J162" s="25" t="str">
        <f aca="false">IF(入力シート!$A166="","",1)</f>
        <v/>
      </c>
      <c r="K162" s="25" t="str">
        <f aca="false">IF(入力シート!$A166="","",入力シート!B166)</f>
        <v/>
      </c>
      <c r="L162" s="25" t="str">
        <f aca="false">IF(入力シート!$A166="","","")</f>
        <v/>
      </c>
      <c r="M162" s="25" t="str">
        <f aca="false">IF(入力シート!$A166="","","")</f>
        <v/>
      </c>
      <c r="N162" s="25" t="str">
        <f aca="false">IF(入力シート!$A166="","",入力シート!R166)</f>
        <v/>
      </c>
      <c r="O162" s="25" t="str">
        <f aca="false">IF(入力シート!$A166="","",IF(入力シート!G166="",1,入力シート!G166))</f>
        <v/>
      </c>
      <c r="P162" s="25" t="str">
        <f aca="false">IF(入力シート!$A166="","",入力シート!D166)</f>
        <v/>
      </c>
      <c r="Q162" s="25" t="str">
        <f aca="false">IF(入力シート!$A166="","","")</f>
        <v/>
      </c>
      <c r="R162" s="25" t="str">
        <f aca="false">IF(入力シート!$A166="","",入力シート!J166)</f>
        <v/>
      </c>
      <c r="S162" s="25" t="str">
        <f aca="false">IF(入力シート!$A166="","",入力シート!L166)</f>
        <v/>
      </c>
      <c r="T162" s="25" t="str">
        <f aca="false">IF(入力シート!$A166="","",入力シート!K166)</f>
        <v/>
      </c>
      <c r="U162" s="25" t="str">
        <f aca="false">IF(入力シート!$A166="","",0)</f>
        <v/>
      </c>
      <c r="V162" s="25" t="str">
        <f aca="false">IF(入力シート!$A166="","",0)</f>
        <v/>
      </c>
      <c r="W162" s="25" t="str">
        <f aca="false">IF(入力シート!$A166="","","0000")</f>
        <v/>
      </c>
      <c r="X162" s="25" t="str">
        <f aca="false">IF(入力シート!$A166="","",入力シート!E166)</f>
        <v/>
      </c>
      <c r="Y162" s="25" t="str">
        <f aca="false">IF(入力シート!$A166="","",入力シート!F166)</f>
        <v/>
      </c>
      <c r="Z162" s="25" t="str">
        <f aca="false">IF(入力シート!$A166="","",入力シート!O166)</f>
        <v/>
      </c>
      <c r="AA162" s="25" t="str">
        <f aca="false">IF(入力シート!$A166="","","")</f>
        <v/>
      </c>
      <c r="AB162" s="25" t="str">
        <f aca="false">IF(入力シート!$A166="","",入力シート!P166)</f>
        <v/>
      </c>
      <c r="AC162" s="25" t="str">
        <f aca="false">IF(入力シート!$A166="","",入力シート!U166)</f>
        <v/>
      </c>
      <c r="AD162" s="25" t="str">
        <f aca="false">IF(入力シート!$A166="","",0)</f>
        <v/>
      </c>
      <c r="AE162" s="25" t="str">
        <f aca="false">IF(入力シート!$A166="","",入力シート!I166)</f>
        <v/>
      </c>
      <c r="AF162" s="25" t="str">
        <f aca="false">IF(入力シート!$A166="","",入力シート!M166)</f>
        <v/>
      </c>
      <c r="AG162" s="25" t="str">
        <f aca="false">IF(入力シート!$A166="","",入力シート!N166)</f>
        <v/>
      </c>
      <c r="AH162" s="25" t="str">
        <f aca="false">IF(入力シート!$A166="","","")</f>
        <v/>
      </c>
      <c r="AI162" s="25" t="str">
        <f aca="false">IF(入力シート!$A166="","","")</f>
        <v/>
      </c>
      <c r="AJ162" s="25" t="str">
        <f aca="false">IF(入力シート!$A166="","","")</f>
        <v/>
      </c>
      <c r="AK162" s="25" t="str">
        <f aca="false">IF(入力シート!$A166="","",2)</f>
        <v/>
      </c>
      <c r="AL162" s="25" t="str">
        <f aca="false">IF(入力シート!$A166="","","")</f>
        <v/>
      </c>
      <c r="AM162" s="25" t="str">
        <f aca="false">IF(入力シート!$A166="","","")</f>
        <v/>
      </c>
      <c r="AN162" s="25" t="str">
        <f aca="false">IF(入力シート!$A166="","",入力シート!C166)</f>
        <v/>
      </c>
      <c r="AO162" s="25" t="str">
        <f aca="false">IF(入力シート!$A166="","","")</f>
        <v/>
      </c>
      <c r="AP162" s="25" t="str">
        <f aca="false">IF(入力シート!$A166="","","")</f>
        <v/>
      </c>
      <c r="AQ162" s="25" t="str">
        <f aca="false">IF(入力シート!$A166="","","")</f>
        <v/>
      </c>
    </row>
    <row r="163" customFormat="false" ht="15" hidden="false" customHeight="true" outlineLevel="0" collapsed="false">
      <c r="A163" s="25" t="str">
        <f aca="false">IF(入力シート!$A167="","",1)</f>
        <v/>
      </c>
      <c r="B163" s="25" t="str">
        <f aca="false">IF(入力シート!$A167="","",1)</f>
        <v/>
      </c>
      <c r="C163" s="25" t="str">
        <f aca="false">IF(入力シート!$A167="","",0)</f>
        <v/>
      </c>
      <c r="D163" s="25" t="str">
        <f aca="false">IF(入力シート!$A167="","",TEXT(入力シート!A167,"YYYYMMDD"))</f>
        <v/>
      </c>
      <c r="E163" s="25" t="str">
        <f aca="false">IF(入力シート!$A167="","",TEXT(入力シート!Q167,"00000000"))</f>
        <v/>
      </c>
      <c r="F163" s="25" t="str">
        <f aca="false">IF(入力シート!$A167="","",14)</f>
        <v/>
      </c>
      <c r="G163" s="25" t="str">
        <f aca="false">IF(入力シート!$A167="","",1)</f>
        <v/>
      </c>
      <c r="H163" s="25" t="str">
        <f aca="false">IF(入力シート!$A167="","",1)</f>
        <v/>
      </c>
      <c r="I163" s="25" t="str">
        <f aca="false">IF(入力シート!$A167="","",3)</f>
        <v/>
      </c>
      <c r="J163" s="25" t="str">
        <f aca="false">IF(入力シート!$A167="","",1)</f>
        <v/>
      </c>
      <c r="K163" s="25" t="str">
        <f aca="false">IF(入力シート!$A167="","",入力シート!B167)</f>
        <v/>
      </c>
      <c r="L163" s="25" t="str">
        <f aca="false">IF(入力シート!$A167="","","")</f>
        <v/>
      </c>
      <c r="M163" s="25" t="str">
        <f aca="false">IF(入力シート!$A167="","","")</f>
        <v/>
      </c>
      <c r="N163" s="25" t="str">
        <f aca="false">IF(入力シート!$A167="","",入力シート!R167)</f>
        <v/>
      </c>
      <c r="O163" s="25" t="str">
        <f aca="false">IF(入力シート!$A167="","",IF(入力シート!G167="",1,入力シート!G167))</f>
        <v/>
      </c>
      <c r="P163" s="25" t="str">
        <f aca="false">IF(入力シート!$A167="","",入力シート!D167)</f>
        <v/>
      </c>
      <c r="Q163" s="25" t="str">
        <f aca="false">IF(入力シート!$A167="","","")</f>
        <v/>
      </c>
      <c r="R163" s="25" t="str">
        <f aca="false">IF(入力シート!$A167="","",入力シート!J167)</f>
        <v/>
      </c>
      <c r="S163" s="25" t="str">
        <f aca="false">IF(入力シート!$A167="","",入力シート!L167)</f>
        <v/>
      </c>
      <c r="T163" s="25" t="str">
        <f aca="false">IF(入力シート!$A167="","",入力シート!K167)</f>
        <v/>
      </c>
      <c r="U163" s="25" t="str">
        <f aca="false">IF(入力シート!$A167="","",0)</f>
        <v/>
      </c>
      <c r="V163" s="25" t="str">
        <f aca="false">IF(入力シート!$A167="","",0)</f>
        <v/>
      </c>
      <c r="W163" s="25" t="str">
        <f aca="false">IF(入力シート!$A167="","","0000")</f>
        <v/>
      </c>
      <c r="X163" s="25" t="str">
        <f aca="false">IF(入力シート!$A167="","",入力シート!E167)</f>
        <v/>
      </c>
      <c r="Y163" s="25" t="str">
        <f aca="false">IF(入力シート!$A167="","",入力シート!F167)</f>
        <v/>
      </c>
      <c r="Z163" s="25" t="str">
        <f aca="false">IF(入力シート!$A167="","",入力シート!O167)</f>
        <v/>
      </c>
      <c r="AA163" s="25" t="str">
        <f aca="false">IF(入力シート!$A167="","","")</f>
        <v/>
      </c>
      <c r="AB163" s="25" t="str">
        <f aca="false">IF(入力シート!$A167="","",入力シート!P167)</f>
        <v/>
      </c>
      <c r="AC163" s="25" t="str">
        <f aca="false">IF(入力シート!$A167="","",入力シート!U167)</f>
        <v/>
      </c>
      <c r="AD163" s="25" t="str">
        <f aca="false">IF(入力シート!$A167="","",0)</f>
        <v/>
      </c>
      <c r="AE163" s="25" t="str">
        <f aca="false">IF(入力シート!$A167="","",入力シート!I167)</f>
        <v/>
      </c>
      <c r="AF163" s="25" t="str">
        <f aca="false">IF(入力シート!$A167="","",入力シート!M167)</f>
        <v/>
      </c>
      <c r="AG163" s="25" t="str">
        <f aca="false">IF(入力シート!$A167="","",入力シート!N167)</f>
        <v/>
      </c>
      <c r="AH163" s="25" t="str">
        <f aca="false">IF(入力シート!$A167="","","")</f>
        <v/>
      </c>
      <c r="AI163" s="25" t="str">
        <f aca="false">IF(入力シート!$A167="","","")</f>
        <v/>
      </c>
      <c r="AJ163" s="25" t="str">
        <f aca="false">IF(入力シート!$A167="","","")</f>
        <v/>
      </c>
      <c r="AK163" s="25" t="str">
        <f aca="false">IF(入力シート!$A167="","",2)</f>
        <v/>
      </c>
      <c r="AL163" s="25" t="str">
        <f aca="false">IF(入力シート!$A167="","","")</f>
        <v/>
      </c>
      <c r="AM163" s="25" t="str">
        <f aca="false">IF(入力シート!$A167="","","")</f>
        <v/>
      </c>
      <c r="AN163" s="25" t="str">
        <f aca="false">IF(入力シート!$A167="","",入力シート!C167)</f>
        <v/>
      </c>
      <c r="AO163" s="25" t="str">
        <f aca="false">IF(入力シート!$A167="","","")</f>
        <v/>
      </c>
      <c r="AP163" s="25" t="str">
        <f aca="false">IF(入力シート!$A167="","","")</f>
        <v/>
      </c>
      <c r="AQ163" s="25" t="str">
        <f aca="false">IF(入力シート!$A167="","","")</f>
        <v/>
      </c>
    </row>
    <row r="164" customFormat="false" ht="15" hidden="false" customHeight="true" outlineLevel="0" collapsed="false">
      <c r="A164" s="25" t="str">
        <f aca="false">IF(入力シート!$A168="","",1)</f>
        <v/>
      </c>
      <c r="B164" s="25" t="str">
        <f aca="false">IF(入力シート!$A168="","",1)</f>
        <v/>
      </c>
      <c r="C164" s="25" t="str">
        <f aca="false">IF(入力シート!$A168="","",0)</f>
        <v/>
      </c>
      <c r="D164" s="25" t="str">
        <f aca="false">IF(入力シート!$A168="","",TEXT(入力シート!A168,"YYYYMMDD"))</f>
        <v/>
      </c>
      <c r="E164" s="25" t="str">
        <f aca="false">IF(入力シート!$A168="","",TEXT(入力シート!Q168,"00000000"))</f>
        <v/>
      </c>
      <c r="F164" s="25" t="str">
        <f aca="false">IF(入力シート!$A168="","",14)</f>
        <v/>
      </c>
      <c r="G164" s="25" t="str">
        <f aca="false">IF(入力シート!$A168="","",1)</f>
        <v/>
      </c>
      <c r="H164" s="25" t="str">
        <f aca="false">IF(入力シート!$A168="","",1)</f>
        <v/>
      </c>
      <c r="I164" s="25" t="str">
        <f aca="false">IF(入力シート!$A168="","",3)</f>
        <v/>
      </c>
      <c r="J164" s="25" t="str">
        <f aca="false">IF(入力シート!$A168="","",1)</f>
        <v/>
      </c>
      <c r="K164" s="25" t="str">
        <f aca="false">IF(入力シート!$A168="","",入力シート!B168)</f>
        <v/>
      </c>
      <c r="L164" s="25" t="str">
        <f aca="false">IF(入力シート!$A168="","","")</f>
        <v/>
      </c>
      <c r="M164" s="25" t="str">
        <f aca="false">IF(入力シート!$A168="","","")</f>
        <v/>
      </c>
      <c r="N164" s="25" t="str">
        <f aca="false">IF(入力シート!$A168="","",入力シート!R168)</f>
        <v/>
      </c>
      <c r="O164" s="25" t="str">
        <f aca="false">IF(入力シート!$A168="","",IF(入力シート!G168="",1,入力シート!G168))</f>
        <v/>
      </c>
      <c r="P164" s="25" t="str">
        <f aca="false">IF(入力シート!$A168="","",入力シート!D168)</f>
        <v/>
      </c>
      <c r="Q164" s="25" t="str">
        <f aca="false">IF(入力シート!$A168="","","")</f>
        <v/>
      </c>
      <c r="R164" s="25" t="str">
        <f aca="false">IF(入力シート!$A168="","",入力シート!J168)</f>
        <v/>
      </c>
      <c r="S164" s="25" t="str">
        <f aca="false">IF(入力シート!$A168="","",入力シート!L168)</f>
        <v/>
      </c>
      <c r="T164" s="25" t="str">
        <f aca="false">IF(入力シート!$A168="","",入力シート!K168)</f>
        <v/>
      </c>
      <c r="U164" s="25" t="str">
        <f aca="false">IF(入力シート!$A168="","",0)</f>
        <v/>
      </c>
      <c r="V164" s="25" t="str">
        <f aca="false">IF(入力シート!$A168="","",0)</f>
        <v/>
      </c>
      <c r="W164" s="25" t="str">
        <f aca="false">IF(入力シート!$A168="","","0000")</f>
        <v/>
      </c>
      <c r="X164" s="25" t="str">
        <f aca="false">IF(入力シート!$A168="","",入力シート!E168)</f>
        <v/>
      </c>
      <c r="Y164" s="25" t="str">
        <f aca="false">IF(入力シート!$A168="","",入力シート!F168)</f>
        <v/>
      </c>
      <c r="Z164" s="25" t="str">
        <f aca="false">IF(入力シート!$A168="","",入力シート!O168)</f>
        <v/>
      </c>
      <c r="AA164" s="25" t="str">
        <f aca="false">IF(入力シート!$A168="","","")</f>
        <v/>
      </c>
      <c r="AB164" s="25" t="str">
        <f aca="false">IF(入力シート!$A168="","",入力シート!P168)</f>
        <v/>
      </c>
      <c r="AC164" s="25" t="str">
        <f aca="false">IF(入力シート!$A168="","",入力シート!U168)</f>
        <v/>
      </c>
      <c r="AD164" s="25" t="str">
        <f aca="false">IF(入力シート!$A168="","",0)</f>
        <v/>
      </c>
      <c r="AE164" s="25" t="str">
        <f aca="false">IF(入力シート!$A168="","",入力シート!I168)</f>
        <v/>
      </c>
      <c r="AF164" s="25" t="str">
        <f aca="false">IF(入力シート!$A168="","",入力シート!M168)</f>
        <v/>
      </c>
      <c r="AG164" s="25" t="str">
        <f aca="false">IF(入力シート!$A168="","",入力シート!N168)</f>
        <v/>
      </c>
      <c r="AH164" s="25" t="str">
        <f aca="false">IF(入力シート!$A168="","","")</f>
        <v/>
      </c>
      <c r="AI164" s="25" t="str">
        <f aca="false">IF(入力シート!$A168="","","")</f>
        <v/>
      </c>
      <c r="AJ164" s="25" t="str">
        <f aca="false">IF(入力シート!$A168="","","")</f>
        <v/>
      </c>
      <c r="AK164" s="25" t="str">
        <f aca="false">IF(入力シート!$A168="","",2)</f>
        <v/>
      </c>
      <c r="AL164" s="25" t="str">
        <f aca="false">IF(入力シート!$A168="","","")</f>
        <v/>
      </c>
      <c r="AM164" s="25" t="str">
        <f aca="false">IF(入力シート!$A168="","","")</f>
        <v/>
      </c>
      <c r="AN164" s="25" t="str">
        <f aca="false">IF(入力シート!$A168="","",入力シート!C168)</f>
        <v/>
      </c>
      <c r="AO164" s="25" t="str">
        <f aca="false">IF(入力シート!$A168="","","")</f>
        <v/>
      </c>
      <c r="AP164" s="25" t="str">
        <f aca="false">IF(入力シート!$A168="","","")</f>
        <v/>
      </c>
      <c r="AQ164" s="25" t="str">
        <f aca="false">IF(入力シート!$A168="","","")</f>
        <v/>
      </c>
    </row>
    <row r="165" customFormat="false" ht="15" hidden="false" customHeight="true" outlineLevel="0" collapsed="false">
      <c r="A165" s="25" t="str">
        <f aca="false">IF(入力シート!$A169="","",1)</f>
        <v/>
      </c>
      <c r="B165" s="25" t="str">
        <f aca="false">IF(入力シート!$A169="","",1)</f>
        <v/>
      </c>
      <c r="C165" s="25" t="str">
        <f aca="false">IF(入力シート!$A169="","",0)</f>
        <v/>
      </c>
      <c r="D165" s="25" t="str">
        <f aca="false">IF(入力シート!$A169="","",TEXT(入力シート!A169,"YYYYMMDD"))</f>
        <v/>
      </c>
      <c r="E165" s="25" t="str">
        <f aca="false">IF(入力シート!$A169="","",TEXT(入力シート!Q169,"00000000"))</f>
        <v/>
      </c>
      <c r="F165" s="25" t="str">
        <f aca="false">IF(入力シート!$A169="","",14)</f>
        <v/>
      </c>
      <c r="G165" s="25" t="str">
        <f aca="false">IF(入力シート!$A169="","",1)</f>
        <v/>
      </c>
      <c r="H165" s="25" t="str">
        <f aca="false">IF(入力シート!$A169="","",1)</f>
        <v/>
      </c>
      <c r="I165" s="25" t="str">
        <f aca="false">IF(入力シート!$A169="","",3)</f>
        <v/>
      </c>
      <c r="J165" s="25" t="str">
        <f aca="false">IF(入力シート!$A169="","",1)</f>
        <v/>
      </c>
      <c r="K165" s="25" t="str">
        <f aca="false">IF(入力シート!$A169="","",入力シート!B169)</f>
        <v/>
      </c>
      <c r="L165" s="25" t="str">
        <f aca="false">IF(入力シート!$A169="","","")</f>
        <v/>
      </c>
      <c r="M165" s="25" t="str">
        <f aca="false">IF(入力シート!$A169="","","")</f>
        <v/>
      </c>
      <c r="N165" s="25" t="str">
        <f aca="false">IF(入力シート!$A169="","",入力シート!R169)</f>
        <v/>
      </c>
      <c r="O165" s="25" t="str">
        <f aca="false">IF(入力シート!$A169="","",IF(入力シート!G169="",1,入力シート!G169))</f>
        <v/>
      </c>
      <c r="P165" s="25" t="str">
        <f aca="false">IF(入力シート!$A169="","",入力シート!D169)</f>
        <v/>
      </c>
      <c r="Q165" s="25" t="str">
        <f aca="false">IF(入力シート!$A169="","","")</f>
        <v/>
      </c>
      <c r="R165" s="25" t="str">
        <f aca="false">IF(入力シート!$A169="","",入力シート!J169)</f>
        <v/>
      </c>
      <c r="S165" s="25" t="str">
        <f aca="false">IF(入力シート!$A169="","",入力シート!L169)</f>
        <v/>
      </c>
      <c r="T165" s="25" t="str">
        <f aca="false">IF(入力シート!$A169="","",入力シート!K169)</f>
        <v/>
      </c>
      <c r="U165" s="25" t="str">
        <f aca="false">IF(入力シート!$A169="","",0)</f>
        <v/>
      </c>
      <c r="V165" s="25" t="str">
        <f aca="false">IF(入力シート!$A169="","",0)</f>
        <v/>
      </c>
      <c r="W165" s="25" t="str">
        <f aca="false">IF(入力シート!$A169="","","0000")</f>
        <v/>
      </c>
      <c r="X165" s="25" t="str">
        <f aca="false">IF(入力シート!$A169="","",入力シート!E169)</f>
        <v/>
      </c>
      <c r="Y165" s="25" t="str">
        <f aca="false">IF(入力シート!$A169="","",入力シート!F169)</f>
        <v/>
      </c>
      <c r="Z165" s="25" t="str">
        <f aca="false">IF(入力シート!$A169="","",入力シート!O169)</f>
        <v/>
      </c>
      <c r="AA165" s="25" t="str">
        <f aca="false">IF(入力シート!$A169="","","")</f>
        <v/>
      </c>
      <c r="AB165" s="25" t="str">
        <f aca="false">IF(入力シート!$A169="","",入力シート!P169)</f>
        <v/>
      </c>
      <c r="AC165" s="25" t="str">
        <f aca="false">IF(入力シート!$A169="","",入力シート!U169)</f>
        <v/>
      </c>
      <c r="AD165" s="25" t="str">
        <f aca="false">IF(入力シート!$A169="","",0)</f>
        <v/>
      </c>
      <c r="AE165" s="25" t="str">
        <f aca="false">IF(入力シート!$A169="","",入力シート!I169)</f>
        <v/>
      </c>
      <c r="AF165" s="25" t="str">
        <f aca="false">IF(入力シート!$A169="","",入力シート!M169)</f>
        <v/>
      </c>
      <c r="AG165" s="25" t="str">
        <f aca="false">IF(入力シート!$A169="","",入力シート!N169)</f>
        <v/>
      </c>
      <c r="AH165" s="25" t="str">
        <f aca="false">IF(入力シート!$A169="","","")</f>
        <v/>
      </c>
      <c r="AI165" s="25" t="str">
        <f aca="false">IF(入力シート!$A169="","","")</f>
        <v/>
      </c>
      <c r="AJ165" s="25" t="str">
        <f aca="false">IF(入力シート!$A169="","","")</f>
        <v/>
      </c>
      <c r="AK165" s="25" t="str">
        <f aca="false">IF(入力シート!$A169="","",2)</f>
        <v/>
      </c>
      <c r="AL165" s="25" t="str">
        <f aca="false">IF(入力シート!$A169="","","")</f>
        <v/>
      </c>
      <c r="AM165" s="25" t="str">
        <f aca="false">IF(入力シート!$A169="","","")</f>
        <v/>
      </c>
      <c r="AN165" s="25" t="str">
        <f aca="false">IF(入力シート!$A169="","",入力シート!C169)</f>
        <v/>
      </c>
      <c r="AO165" s="25" t="str">
        <f aca="false">IF(入力シート!$A169="","","")</f>
        <v/>
      </c>
      <c r="AP165" s="25" t="str">
        <f aca="false">IF(入力シート!$A169="","","")</f>
        <v/>
      </c>
      <c r="AQ165" s="25" t="str">
        <f aca="false">IF(入力シート!$A169="","","")</f>
        <v/>
      </c>
    </row>
    <row r="166" customFormat="false" ht="15" hidden="false" customHeight="true" outlineLevel="0" collapsed="false">
      <c r="A166" s="25" t="str">
        <f aca="false">IF(入力シート!$A170="","",1)</f>
        <v/>
      </c>
      <c r="B166" s="25" t="str">
        <f aca="false">IF(入力シート!$A170="","",1)</f>
        <v/>
      </c>
      <c r="C166" s="25" t="str">
        <f aca="false">IF(入力シート!$A170="","",0)</f>
        <v/>
      </c>
      <c r="D166" s="25" t="str">
        <f aca="false">IF(入力シート!$A170="","",TEXT(入力シート!A170,"YYYYMMDD"))</f>
        <v/>
      </c>
      <c r="E166" s="25" t="str">
        <f aca="false">IF(入力シート!$A170="","",TEXT(入力シート!Q170,"00000000"))</f>
        <v/>
      </c>
      <c r="F166" s="25" t="str">
        <f aca="false">IF(入力シート!$A170="","",14)</f>
        <v/>
      </c>
      <c r="G166" s="25" t="str">
        <f aca="false">IF(入力シート!$A170="","",1)</f>
        <v/>
      </c>
      <c r="H166" s="25" t="str">
        <f aca="false">IF(入力シート!$A170="","",1)</f>
        <v/>
      </c>
      <c r="I166" s="25" t="str">
        <f aca="false">IF(入力シート!$A170="","",3)</f>
        <v/>
      </c>
      <c r="J166" s="25" t="str">
        <f aca="false">IF(入力シート!$A170="","",1)</f>
        <v/>
      </c>
      <c r="K166" s="25" t="str">
        <f aca="false">IF(入力シート!$A170="","",入力シート!B170)</f>
        <v/>
      </c>
      <c r="L166" s="25" t="str">
        <f aca="false">IF(入力シート!$A170="","","")</f>
        <v/>
      </c>
      <c r="M166" s="25" t="str">
        <f aca="false">IF(入力シート!$A170="","","")</f>
        <v/>
      </c>
      <c r="N166" s="25" t="str">
        <f aca="false">IF(入力シート!$A170="","",入力シート!R170)</f>
        <v/>
      </c>
      <c r="O166" s="25" t="str">
        <f aca="false">IF(入力シート!$A170="","",IF(入力シート!G170="",1,入力シート!G170))</f>
        <v/>
      </c>
      <c r="P166" s="25" t="str">
        <f aca="false">IF(入力シート!$A170="","",入力シート!D170)</f>
        <v/>
      </c>
      <c r="Q166" s="25" t="str">
        <f aca="false">IF(入力シート!$A170="","","")</f>
        <v/>
      </c>
      <c r="R166" s="25" t="str">
        <f aca="false">IF(入力シート!$A170="","",入力シート!J170)</f>
        <v/>
      </c>
      <c r="S166" s="25" t="str">
        <f aca="false">IF(入力シート!$A170="","",入力シート!L170)</f>
        <v/>
      </c>
      <c r="T166" s="25" t="str">
        <f aca="false">IF(入力シート!$A170="","",入力シート!K170)</f>
        <v/>
      </c>
      <c r="U166" s="25" t="str">
        <f aca="false">IF(入力シート!$A170="","",0)</f>
        <v/>
      </c>
      <c r="V166" s="25" t="str">
        <f aca="false">IF(入力シート!$A170="","",0)</f>
        <v/>
      </c>
      <c r="W166" s="25" t="str">
        <f aca="false">IF(入力シート!$A170="","","0000")</f>
        <v/>
      </c>
      <c r="X166" s="25" t="str">
        <f aca="false">IF(入力シート!$A170="","",入力シート!E170)</f>
        <v/>
      </c>
      <c r="Y166" s="25" t="str">
        <f aca="false">IF(入力シート!$A170="","",入力シート!F170)</f>
        <v/>
      </c>
      <c r="Z166" s="25" t="str">
        <f aca="false">IF(入力シート!$A170="","",入力シート!O170)</f>
        <v/>
      </c>
      <c r="AA166" s="25" t="str">
        <f aca="false">IF(入力シート!$A170="","","")</f>
        <v/>
      </c>
      <c r="AB166" s="25" t="str">
        <f aca="false">IF(入力シート!$A170="","",入力シート!P170)</f>
        <v/>
      </c>
      <c r="AC166" s="25" t="str">
        <f aca="false">IF(入力シート!$A170="","",入力シート!U170)</f>
        <v/>
      </c>
      <c r="AD166" s="25" t="str">
        <f aca="false">IF(入力シート!$A170="","",0)</f>
        <v/>
      </c>
      <c r="AE166" s="25" t="str">
        <f aca="false">IF(入力シート!$A170="","",入力シート!I170)</f>
        <v/>
      </c>
      <c r="AF166" s="25" t="str">
        <f aca="false">IF(入力シート!$A170="","",入力シート!M170)</f>
        <v/>
      </c>
      <c r="AG166" s="25" t="str">
        <f aca="false">IF(入力シート!$A170="","",入力シート!N170)</f>
        <v/>
      </c>
      <c r="AH166" s="25" t="str">
        <f aca="false">IF(入力シート!$A170="","","")</f>
        <v/>
      </c>
      <c r="AI166" s="25" t="str">
        <f aca="false">IF(入力シート!$A170="","","")</f>
        <v/>
      </c>
      <c r="AJ166" s="25" t="str">
        <f aca="false">IF(入力シート!$A170="","","")</f>
        <v/>
      </c>
      <c r="AK166" s="25" t="str">
        <f aca="false">IF(入力シート!$A170="","",2)</f>
        <v/>
      </c>
      <c r="AL166" s="25" t="str">
        <f aca="false">IF(入力シート!$A170="","","")</f>
        <v/>
      </c>
      <c r="AM166" s="25" t="str">
        <f aca="false">IF(入力シート!$A170="","","")</f>
        <v/>
      </c>
      <c r="AN166" s="25" t="str">
        <f aca="false">IF(入力シート!$A170="","",入力シート!C170)</f>
        <v/>
      </c>
      <c r="AO166" s="25" t="str">
        <f aca="false">IF(入力シート!$A170="","","")</f>
        <v/>
      </c>
      <c r="AP166" s="25" t="str">
        <f aca="false">IF(入力シート!$A170="","","")</f>
        <v/>
      </c>
      <c r="AQ166" s="25" t="str">
        <f aca="false">IF(入力シート!$A170="","","")</f>
        <v/>
      </c>
    </row>
    <row r="167" customFormat="false" ht="15" hidden="false" customHeight="true" outlineLevel="0" collapsed="false">
      <c r="A167" s="25" t="str">
        <f aca="false">IF(入力シート!$A171="","",1)</f>
        <v/>
      </c>
      <c r="B167" s="25" t="str">
        <f aca="false">IF(入力シート!$A171="","",1)</f>
        <v/>
      </c>
      <c r="C167" s="25" t="str">
        <f aca="false">IF(入力シート!$A171="","",0)</f>
        <v/>
      </c>
      <c r="D167" s="25" t="str">
        <f aca="false">IF(入力シート!$A171="","",TEXT(入力シート!A171,"YYYYMMDD"))</f>
        <v/>
      </c>
      <c r="E167" s="25" t="str">
        <f aca="false">IF(入力シート!$A171="","",TEXT(入力シート!Q171,"00000000"))</f>
        <v/>
      </c>
      <c r="F167" s="25" t="str">
        <f aca="false">IF(入力シート!$A171="","",14)</f>
        <v/>
      </c>
      <c r="G167" s="25" t="str">
        <f aca="false">IF(入力シート!$A171="","",1)</f>
        <v/>
      </c>
      <c r="H167" s="25" t="str">
        <f aca="false">IF(入力シート!$A171="","",1)</f>
        <v/>
      </c>
      <c r="I167" s="25" t="str">
        <f aca="false">IF(入力シート!$A171="","",3)</f>
        <v/>
      </c>
      <c r="J167" s="25" t="str">
        <f aca="false">IF(入力シート!$A171="","",1)</f>
        <v/>
      </c>
      <c r="K167" s="25" t="str">
        <f aca="false">IF(入力シート!$A171="","",入力シート!B171)</f>
        <v/>
      </c>
      <c r="L167" s="25" t="str">
        <f aca="false">IF(入力シート!$A171="","","")</f>
        <v/>
      </c>
      <c r="M167" s="25" t="str">
        <f aca="false">IF(入力シート!$A171="","","")</f>
        <v/>
      </c>
      <c r="N167" s="25" t="str">
        <f aca="false">IF(入力シート!$A171="","",入力シート!R171)</f>
        <v/>
      </c>
      <c r="O167" s="25" t="str">
        <f aca="false">IF(入力シート!$A171="","",IF(入力シート!G171="",1,入力シート!G171))</f>
        <v/>
      </c>
      <c r="P167" s="25" t="str">
        <f aca="false">IF(入力シート!$A171="","",入力シート!D171)</f>
        <v/>
      </c>
      <c r="Q167" s="25" t="str">
        <f aca="false">IF(入力シート!$A171="","","")</f>
        <v/>
      </c>
      <c r="R167" s="25" t="str">
        <f aca="false">IF(入力シート!$A171="","",入力シート!J171)</f>
        <v/>
      </c>
      <c r="S167" s="25" t="str">
        <f aca="false">IF(入力シート!$A171="","",入力シート!L171)</f>
        <v/>
      </c>
      <c r="T167" s="25" t="str">
        <f aca="false">IF(入力シート!$A171="","",入力シート!K171)</f>
        <v/>
      </c>
      <c r="U167" s="25" t="str">
        <f aca="false">IF(入力シート!$A171="","",0)</f>
        <v/>
      </c>
      <c r="V167" s="25" t="str">
        <f aca="false">IF(入力シート!$A171="","",0)</f>
        <v/>
      </c>
      <c r="W167" s="25" t="str">
        <f aca="false">IF(入力シート!$A171="","","0000")</f>
        <v/>
      </c>
      <c r="X167" s="25" t="str">
        <f aca="false">IF(入力シート!$A171="","",入力シート!E171)</f>
        <v/>
      </c>
      <c r="Y167" s="25" t="str">
        <f aca="false">IF(入力シート!$A171="","",入力シート!F171)</f>
        <v/>
      </c>
      <c r="Z167" s="25" t="str">
        <f aca="false">IF(入力シート!$A171="","",入力シート!O171)</f>
        <v/>
      </c>
      <c r="AA167" s="25" t="str">
        <f aca="false">IF(入力シート!$A171="","","")</f>
        <v/>
      </c>
      <c r="AB167" s="25" t="str">
        <f aca="false">IF(入力シート!$A171="","",入力シート!P171)</f>
        <v/>
      </c>
      <c r="AC167" s="25" t="str">
        <f aca="false">IF(入力シート!$A171="","",入力シート!U171)</f>
        <v/>
      </c>
      <c r="AD167" s="25" t="str">
        <f aca="false">IF(入力シート!$A171="","",0)</f>
        <v/>
      </c>
      <c r="AE167" s="25" t="str">
        <f aca="false">IF(入力シート!$A171="","",入力シート!I171)</f>
        <v/>
      </c>
      <c r="AF167" s="25" t="str">
        <f aca="false">IF(入力シート!$A171="","",入力シート!M171)</f>
        <v/>
      </c>
      <c r="AG167" s="25" t="str">
        <f aca="false">IF(入力シート!$A171="","",入力シート!N171)</f>
        <v/>
      </c>
      <c r="AH167" s="25" t="str">
        <f aca="false">IF(入力シート!$A171="","","")</f>
        <v/>
      </c>
      <c r="AI167" s="25" t="str">
        <f aca="false">IF(入力シート!$A171="","","")</f>
        <v/>
      </c>
      <c r="AJ167" s="25" t="str">
        <f aca="false">IF(入力シート!$A171="","","")</f>
        <v/>
      </c>
      <c r="AK167" s="25" t="str">
        <f aca="false">IF(入力シート!$A171="","",2)</f>
        <v/>
      </c>
      <c r="AL167" s="25" t="str">
        <f aca="false">IF(入力シート!$A171="","","")</f>
        <v/>
      </c>
      <c r="AM167" s="25" t="str">
        <f aca="false">IF(入力シート!$A171="","","")</f>
        <v/>
      </c>
      <c r="AN167" s="25" t="str">
        <f aca="false">IF(入力シート!$A171="","",入力シート!C171)</f>
        <v/>
      </c>
      <c r="AO167" s="25" t="str">
        <f aca="false">IF(入力シート!$A171="","","")</f>
        <v/>
      </c>
      <c r="AP167" s="25" t="str">
        <f aca="false">IF(入力シート!$A171="","","")</f>
        <v/>
      </c>
      <c r="AQ167" s="25" t="str">
        <f aca="false">IF(入力シート!$A171="","","")</f>
        <v/>
      </c>
    </row>
    <row r="168" customFormat="false" ht="15" hidden="false" customHeight="true" outlineLevel="0" collapsed="false">
      <c r="A168" s="25" t="str">
        <f aca="false">IF(入力シート!$A172="","",1)</f>
        <v/>
      </c>
      <c r="B168" s="25" t="str">
        <f aca="false">IF(入力シート!$A172="","",1)</f>
        <v/>
      </c>
      <c r="C168" s="25" t="str">
        <f aca="false">IF(入力シート!$A172="","",0)</f>
        <v/>
      </c>
      <c r="D168" s="25" t="str">
        <f aca="false">IF(入力シート!$A172="","",TEXT(入力シート!A172,"YYYYMMDD"))</f>
        <v/>
      </c>
      <c r="E168" s="25" t="str">
        <f aca="false">IF(入力シート!$A172="","",TEXT(入力シート!Q172,"00000000"))</f>
        <v/>
      </c>
      <c r="F168" s="25" t="str">
        <f aca="false">IF(入力シート!$A172="","",14)</f>
        <v/>
      </c>
      <c r="G168" s="25" t="str">
        <f aca="false">IF(入力シート!$A172="","",1)</f>
        <v/>
      </c>
      <c r="H168" s="25" t="str">
        <f aca="false">IF(入力シート!$A172="","",1)</f>
        <v/>
      </c>
      <c r="I168" s="25" t="str">
        <f aca="false">IF(入力シート!$A172="","",3)</f>
        <v/>
      </c>
      <c r="J168" s="25" t="str">
        <f aca="false">IF(入力シート!$A172="","",1)</f>
        <v/>
      </c>
      <c r="K168" s="25" t="str">
        <f aca="false">IF(入力シート!$A172="","",入力シート!B172)</f>
        <v/>
      </c>
      <c r="L168" s="25" t="str">
        <f aca="false">IF(入力シート!$A172="","","")</f>
        <v/>
      </c>
      <c r="M168" s="25" t="str">
        <f aca="false">IF(入力シート!$A172="","","")</f>
        <v/>
      </c>
      <c r="N168" s="25" t="str">
        <f aca="false">IF(入力シート!$A172="","",入力シート!R172)</f>
        <v/>
      </c>
      <c r="O168" s="25" t="str">
        <f aca="false">IF(入力シート!$A172="","",IF(入力シート!G172="",1,入力シート!G172))</f>
        <v/>
      </c>
      <c r="P168" s="25" t="str">
        <f aca="false">IF(入力シート!$A172="","",入力シート!D172)</f>
        <v/>
      </c>
      <c r="Q168" s="25" t="str">
        <f aca="false">IF(入力シート!$A172="","","")</f>
        <v/>
      </c>
      <c r="R168" s="25" t="str">
        <f aca="false">IF(入力シート!$A172="","",入力シート!J172)</f>
        <v/>
      </c>
      <c r="S168" s="25" t="str">
        <f aca="false">IF(入力シート!$A172="","",入力シート!L172)</f>
        <v/>
      </c>
      <c r="T168" s="25" t="str">
        <f aca="false">IF(入力シート!$A172="","",入力シート!K172)</f>
        <v/>
      </c>
      <c r="U168" s="25" t="str">
        <f aca="false">IF(入力シート!$A172="","",0)</f>
        <v/>
      </c>
      <c r="V168" s="25" t="str">
        <f aca="false">IF(入力シート!$A172="","",0)</f>
        <v/>
      </c>
      <c r="W168" s="25" t="str">
        <f aca="false">IF(入力シート!$A172="","","0000")</f>
        <v/>
      </c>
      <c r="X168" s="25" t="str">
        <f aca="false">IF(入力シート!$A172="","",入力シート!E172)</f>
        <v/>
      </c>
      <c r="Y168" s="25" t="str">
        <f aca="false">IF(入力シート!$A172="","",入力シート!F172)</f>
        <v/>
      </c>
      <c r="Z168" s="25" t="str">
        <f aca="false">IF(入力シート!$A172="","",入力シート!O172)</f>
        <v/>
      </c>
      <c r="AA168" s="25" t="str">
        <f aca="false">IF(入力シート!$A172="","","")</f>
        <v/>
      </c>
      <c r="AB168" s="25" t="str">
        <f aca="false">IF(入力シート!$A172="","",入力シート!P172)</f>
        <v/>
      </c>
      <c r="AC168" s="25" t="str">
        <f aca="false">IF(入力シート!$A172="","",入力シート!U172)</f>
        <v/>
      </c>
      <c r="AD168" s="25" t="str">
        <f aca="false">IF(入力シート!$A172="","",0)</f>
        <v/>
      </c>
      <c r="AE168" s="25" t="str">
        <f aca="false">IF(入力シート!$A172="","",入力シート!I172)</f>
        <v/>
      </c>
      <c r="AF168" s="25" t="str">
        <f aca="false">IF(入力シート!$A172="","",入力シート!M172)</f>
        <v/>
      </c>
      <c r="AG168" s="25" t="str">
        <f aca="false">IF(入力シート!$A172="","",入力シート!N172)</f>
        <v/>
      </c>
      <c r="AH168" s="25" t="str">
        <f aca="false">IF(入力シート!$A172="","","")</f>
        <v/>
      </c>
      <c r="AI168" s="25" t="str">
        <f aca="false">IF(入力シート!$A172="","","")</f>
        <v/>
      </c>
      <c r="AJ168" s="25" t="str">
        <f aca="false">IF(入力シート!$A172="","","")</f>
        <v/>
      </c>
      <c r="AK168" s="25" t="str">
        <f aca="false">IF(入力シート!$A172="","",2)</f>
        <v/>
      </c>
      <c r="AL168" s="25" t="str">
        <f aca="false">IF(入力シート!$A172="","","")</f>
        <v/>
      </c>
      <c r="AM168" s="25" t="str">
        <f aca="false">IF(入力シート!$A172="","","")</f>
        <v/>
      </c>
      <c r="AN168" s="25" t="str">
        <f aca="false">IF(入力シート!$A172="","",入力シート!C172)</f>
        <v/>
      </c>
      <c r="AO168" s="25" t="str">
        <f aca="false">IF(入力シート!$A172="","","")</f>
        <v/>
      </c>
      <c r="AP168" s="25" t="str">
        <f aca="false">IF(入力シート!$A172="","","")</f>
        <v/>
      </c>
      <c r="AQ168" s="25" t="str">
        <f aca="false">IF(入力シート!$A172="","","")</f>
        <v/>
      </c>
    </row>
    <row r="169" customFormat="false" ht="15" hidden="false" customHeight="true" outlineLevel="0" collapsed="false">
      <c r="A169" s="25" t="str">
        <f aca="false">IF(入力シート!$A173="","",1)</f>
        <v/>
      </c>
      <c r="B169" s="25" t="str">
        <f aca="false">IF(入力シート!$A173="","",1)</f>
        <v/>
      </c>
      <c r="C169" s="25" t="str">
        <f aca="false">IF(入力シート!$A173="","",0)</f>
        <v/>
      </c>
      <c r="D169" s="25" t="str">
        <f aca="false">IF(入力シート!$A173="","",TEXT(入力シート!A173,"YYYYMMDD"))</f>
        <v/>
      </c>
      <c r="E169" s="25" t="str">
        <f aca="false">IF(入力シート!$A173="","",TEXT(入力シート!Q173,"00000000"))</f>
        <v/>
      </c>
      <c r="F169" s="25" t="str">
        <f aca="false">IF(入力シート!$A173="","",14)</f>
        <v/>
      </c>
      <c r="G169" s="25" t="str">
        <f aca="false">IF(入力シート!$A173="","",1)</f>
        <v/>
      </c>
      <c r="H169" s="25" t="str">
        <f aca="false">IF(入力シート!$A173="","",1)</f>
        <v/>
      </c>
      <c r="I169" s="25" t="str">
        <f aca="false">IF(入力シート!$A173="","",3)</f>
        <v/>
      </c>
      <c r="J169" s="25" t="str">
        <f aca="false">IF(入力シート!$A173="","",1)</f>
        <v/>
      </c>
      <c r="K169" s="25" t="str">
        <f aca="false">IF(入力シート!$A173="","",入力シート!B173)</f>
        <v/>
      </c>
      <c r="L169" s="25" t="str">
        <f aca="false">IF(入力シート!$A173="","","")</f>
        <v/>
      </c>
      <c r="M169" s="25" t="str">
        <f aca="false">IF(入力シート!$A173="","","")</f>
        <v/>
      </c>
      <c r="N169" s="25" t="str">
        <f aca="false">IF(入力シート!$A173="","",入力シート!R173)</f>
        <v/>
      </c>
      <c r="O169" s="25" t="str">
        <f aca="false">IF(入力シート!$A173="","",IF(入力シート!G173="",1,入力シート!G173))</f>
        <v/>
      </c>
      <c r="P169" s="25" t="str">
        <f aca="false">IF(入力シート!$A173="","",入力シート!D173)</f>
        <v/>
      </c>
      <c r="Q169" s="25" t="str">
        <f aca="false">IF(入力シート!$A173="","","")</f>
        <v/>
      </c>
      <c r="R169" s="25" t="str">
        <f aca="false">IF(入力シート!$A173="","",入力シート!J173)</f>
        <v/>
      </c>
      <c r="S169" s="25" t="str">
        <f aca="false">IF(入力シート!$A173="","",入力シート!L173)</f>
        <v/>
      </c>
      <c r="T169" s="25" t="str">
        <f aca="false">IF(入力シート!$A173="","",入力シート!K173)</f>
        <v/>
      </c>
      <c r="U169" s="25" t="str">
        <f aca="false">IF(入力シート!$A173="","",0)</f>
        <v/>
      </c>
      <c r="V169" s="25" t="str">
        <f aca="false">IF(入力シート!$A173="","",0)</f>
        <v/>
      </c>
      <c r="W169" s="25" t="str">
        <f aca="false">IF(入力シート!$A173="","","0000")</f>
        <v/>
      </c>
      <c r="X169" s="25" t="str">
        <f aca="false">IF(入力シート!$A173="","",入力シート!E173)</f>
        <v/>
      </c>
      <c r="Y169" s="25" t="str">
        <f aca="false">IF(入力シート!$A173="","",入力シート!F173)</f>
        <v/>
      </c>
      <c r="Z169" s="25" t="str">
        <f aca="false">IF(入力シート!$A173="","",入力シート!O173)</f>
        <v/>
      </c>
      <c r="AA169" s="25" t="str">
        <f aca="false">IF(入力シート!$A173="","","")</f>
        <v/>
      </c>
      <c r="AB169" s="25" t="str">
        <f aca="false">IF(入力シート!$A173="","",入力シート!P173)</f>
        <v/>
      </c>
      <c r="AC169" s="25" t="str">
        <f aca="false">IF(入力シート!$A173="","",入力シート!U173)</f>
        <v/>
      </c>
      <c r="AD169" s="25" t="str">
        <f aca="false">IF(入力シート!$A173="","",0)</f>
        <v/>
      </c>
      <c r="AE169" s="25" t="str">
        <f aca="false">IF(入力シート!$A173="","",入力シート!I173)</f>
        <v/>
      </c>
      <c r="AF169" s="25" t="str">
        <f aca="false">IF(入力シート!$A173="","",入力シート!M173)</f>
        <v/>
      </c>
      <c r="AG169" s="25" t="str">
        <f aca="false">IF(入力シート!$A173="","",入力シート!N173)</f>
        <v/>
      </c>
      <c r="AH169" s="25" t="str">
        <f aca="false">IF(入力シート!$A173="","","")</f>
        <v/>
      </c>
      <c r="AI169" s="25" t="str">
        <f aca="false">IF(入力シート!$A173="","","")</f>
        <v/>
      </c>
      <c r="AJ169" s="25" t="str">
        <f aca="false">IF(入力シート!$A173="","","")</f>
        <v/>
      </c>
      <c r="AK169" s="25" t="str">
        <f aca="false">IF(入力シート!$A173="","",2)</f>
        <v/>
      </c>
      <c r="AL169" s="25" t="str">
        <f aca="false">IF(入力シート!$A173="","","")</f>
        <v/>
      </c>
      <c r="AM169" s="25" t="str">
        <f aca="false">IF(入力シート!$A173="","","")</f>
        <v/>
      </c>
      <c r="AN169" s="25" t="str">
        <f aca="false">IF(入力シート!$A173="","",入力シート!C173)</f>
        <v/>
      </c>
      <c r="AO169" s="25" t="str">
        <f aca="false">IF(入力シート!$A173="","","")</f>
        <v/>
      </c>
      <c r="AP169" s="25" t="str">
        <f aca="false">IF(入力シート!$A173="","","")</f>
        <v/>
      </c>
      <c r="AQ169" s="25" t="str">
        <f aca="false">IF(入力シート!$A173="","","")</f>
        <v/>
      </c>
    </row>
    <row r="170" customFormat="false" ht="15" hidden="false" customHeight="true" outlineLevel="0" collapsed="false">
      <c r="A170" s="25" t="str">
        <f aca="false">IF(入力シート!$A174="","",1)</f>
        <v/>
      </c>
      <c r="B170" s="25" t="str">
        <f aca="false">IF(入力シート!$A174="","",1)</f>
        <v/>
      </c>
      <c r="C170" s="25" t="str">
        <f aca="false">IF(入力シート!$A174="","",0)</f>
        <v/>
      </c>
      <c r="D170" s="25" t="str">
        <f aca="false">IF(入力シート!$A174="","",TEXT(入力シート!A174,"YYYYMMDD"))</f>
        <v/>
      </c>
      <c r="E170" s="25" t="str">
        <f aca="false">IF(入力シート!$A174="","",TEXT(入力シート!Q174,"00000000"))</f>
        <v/>
      </c>
      <c r="F170" s="25" t="str">
        <f aca="false">IF(入力シート!$A174="","",14)</f>
        <v/>
      </c>
      <c r="G170" s="25" t="str">
        <f aca="false">IF(入力シート!$A174="","",1)</f>
        <v/>
      </c>
      <c r="H170" s="25" t="str">
        <f aca="false">IF(入力シート!$A174="","",1)</f>
        <v/>
      </c>
      <c r="I170" s="25" t="str">
        <f aca="false">IF(入力シート!$A174="","",3)</f>
        <v/>
      </c>
      <c r="J170" s="25" t="str">
        <f aca="false">IF(入力シート!$A174="","",1)</f>
        <v/>
      </c>
      <c r="K170" s="25" t="str">
        <f aca="false">IF(入力シート!$A174="","",入力シート!B174)</f>
        <v/>
      </c>
      <c r="L170" s="25" t="str">
        <f aca="false">IF(入力シート!$A174="","","")</f>
        <v/>
      </c>
      <c r="M170" s="25" t="str">
        <f aca="false">IF(入力シート!$A174="","","")</f>
        <v/>
      </c>
      <c r="N170" s="25" t="str">
        <f aca="false">IF(入力シート!$A174="","",入力シート!R174)</f>
        <v/>
      </c>
      <c r="O170" s="25" t="str">
        <f aca="false">IF(入力シート!$A174="","",IF(入力シート!G174="",1,入力シート!G174))</f>
        <v/>
      </c>
      <c r="P170" s="25" t="str">
        <f aca="false">IF(入力シート!$A174="","",入力シート!D174)</f>
        <v/>
      </c>
      <c r="Q170" s="25" t="str">
        <f aca="false">IF(入力シート!$A174="","","")</f>
        <v/>
      </c>
      <c r="R170" s="25" t="str">
        <f aca="false">IF(入力シート!$A174="","",入力シート!J174)</f>
        <v/>
      </c>
      <c r="S170" s="25" t="str">
        <f aca="false">IF(入力シート!$A174="","",入力シート!L174)</f>
        <v/>
      </c>
      <c r="T170" s="25" t="str">
        <f aca="false">IF(入力シート!$A174="","",入力シート!K174)</f>
        <v/>
      </c>
      <c r="U170" s="25" t="str">
        <f aca="false">IF(入力シート!$A174="","",0)</f>
        <v/>
      </c>
      <c r="V170" s="25" t="str">
        <f aca="false">IF(入力シート!$A174="","",0)</f>
        <v/>
      </c>
      <c r="W170" s="25" t="str">
        <f aca="false">IF(入力シート!$A174="","","0000")</f>
        <v/>
      </c>
      <c r="X170" s="25" t="str">
        <f aca="false">IF(入力シート!$A174="","",入力シート!E174)</f>
        <v/>
      </c>
      <c r="Y170" s="25" t="str">
        <f aca="false">IF(入力シート!$A174="","",入力シート!F174)</f>
        <v/>
      </c>
      <c r="Z170" s="25" t="str">
        <f aca="false">IF(入力シート!$A174="","",入力シート!O174)</f>
        <v/>
      </c>
      <c r="AA170" s="25" t="str">
        <f aca="false">IF(入力シート!$A174="","","")</f>
        <v/>
      </c>
      <c r="AB170" s="25" t="str">
        <f aca="false">IF(入力シート!$A174="","",入力シート!P174)</f>
        <v/>
      </c>
      <c r="AC170" s="25" t="str">
        <f aca="false">IF(入力シート!$A174="","",入力シート!U174)</f>
        <v/>
      </c>
      <c r="AD170" s="25" t="str">
        <f aca="false">IF(入力シート!$A174="","",0)</f>
        <v/>
      </c>
      <c r="AE170" s="25" t="str">
        <f aca="false">IF(入力シート!$A174="","",入力シート!I174)</f>
        <v/>
      </c>
      <c r="AF170" s="25" t="str">
        <f aca="false">IF(入力シート!$A174="","",入力シート!M174)</f>
        <v/>
      </c>
      <c r="AG170" s="25" t="str">
        <f aca="false">IF(入力シート!$A174="","",入力シート!N174)</f>
        <v/>
      </c>
      <c r="AH170" s="25" t="str">
        <f aca="false">IF(入力シート!$A174="","","")</f>
        <v/>
      </c>
      <c r="AI170" s="25" t="str">
        <f aca="false">IF(入力シート!$A174="","","")</f>
        <v/>
      </c>
      <c r="AJ170" s="25" t="str">
        <f aca="false">IF(入力シート!$A174="","","")</f>
        <v/>
      </c>
      <c r="AK170" s="25" t="str">
        <f aca="false">IF(入力シート!$A174="","",2)</f>
        <v/>
      </c>
      <c r="AL170" s="25" t="str">
        <f aca="false">IF(入力シート!$A174="","","")</f>
        <v/>
      </c>
      <c r="AM170" s="25" t="str">
        <f aca="false">IF(入力シート!$A174="","","")</f>
        <v/>
      </c>
      <c r="AN170" s="25" t="str">
        <f aca="false">IF(入力シート!$A174="","",入力シート!C174)</f>
        <v/>
      </c>
      <c r="AO170" s="25" t="str">
        <f aca="false">IF(入力シート!$A174="","","")</f>
        <v/>
      </c>
      <c r="AP170" s="25" t="str">
        <f aca="false">IF(入力シート!$A174="","","")</f>
        <v/>
      </c>
      <c r="AQ170" s="25" t="str">
        <f aca="false">IF(入力シート!$A174="","","")</f>
        <v/>
      </c>
    </row>
    <row r="171" customFormat="false" ht="15" hidden="false" customHeight="true" outlineLevel="0" collapsed="false">
      <c r="A171" s="25" t="str">
        <f aca="false">IF(入力シート!$A175="","",1)</f>
        <v/>
      </c>
      <c r="B171" s="25" t="str">
        <f aca="false">IF(入力シート!$A175="","",1)</f>
        <v/>
      </c>
      <c r="C171" s="25" t="str">
        <f aca="false">IF(入力シート!$A175="","",0)</f>
        <v/>
      </c>
      <c r="D171" s="25" t="str">
        <f aca="false">IF(入力シート!$A175="","",TEXT(入力シート!A175,"YYYYMMDD"))</f>
        <v/>
      </c>
      <c r="E171" s="25" t="str">
        <f aca="false">IF(入力シート!$A175="","",TEXT(入力シート!Q175,"00000000"))</f>
        <v/>
      </c>
      <c r="F171" s="25" t="str">
        <f aca="false">IF(入力シート!$A175="","",14)</f>
        <v/>
      </c>
      <c r="G171" s="25" t="str">
        <f aca="false">IF(入力シート!$A175="","",1)</f>
        <v/>
      </c>
      <c r="H171" s="25" t="str">
        <f aca="false">IF(入力シート!$A175="","",1)</f>
        <v/>
      </c>
      <c r="I171" s="25" t="str">
        <f aca="false">IF(入力シート!$A175="","",3)</f>
        <v/>
      </c>
      <c r="J171" s="25" t="str">
        <f aca="false">IF(入力シート!$A175="","",1)</f>
        <v/>
      </c>
      <c r="K171" s="25" t="str">
        <f aca="false">IF(入力シート!$A175="","",入力シート!B175)</f>
        <v/>
      </c>
      <c r="L171" s="25" t="str">
        <f aca="false">IF(入力シート!$A175="","","")</f>
        <v/>
      </c>
      <c r="M171" s="25" t="str">
        <f aca="false">IF(入力シート!$A175="","","")</f>
        <v/>
      </c>
      <c r="N171" s="25" t="str">
        <f aca="false">IF(入力シート!$A175="","",入力シート!R175)</f>
        <v/>
      </c>
      <c r="O171" s="25" t="str">
        <f aca="false">IF(入力シート!$A175="","",IF(入力シート!G175="",1,入力シート!G175))</f>
        <v/>
      </c>
      <c r="P171" s="25" t="str">
        <f aca="false">IF(入力シート!$A175="","",入力シート!D175)</f>
        <v/>
      </c>
      <c r="Q171" s="25" t="str">
        <f aca="false">IF(入力シート!$A175="","","")</f>
        <v/>
      </c>
      <c r="R171" s="25" t="str">
        <f aca="false">IF(入力シート!$A175="","",入力シート!J175)</f>
        <v/>
      </c>
      <c r="S171" s="25" t="str">
        <f aca="false">IF(入力シート!$A175="","",入力シート!L175)</f>
        <v/>
      </c>
      <c r="T171" s="25" t="str">
        <f aca="false">IF(入力シート!$A175="","",入力シート!K175)</f>
        <v/>
      </c>
      <c r="U171" s="25" t="str">
        <f aca="false">IF(入力シート!$A175="","",0)</f>
        <v/>
      </c>
      <c r="V171" s="25" t="str">
        <f aca="false">IF(入力シート!$A175="","",0)</f>
        <v/>
      </c>
      <c r="W171" s="25" t="str">
        <f aca="false">IF(入力シート!$A175="","","0000")</f>
        <v/>
      </c>
      <c r="X171" s="25" t="str">
        <f aca="false">IF(入力シート!$A175="","",入力シート!E175)</f>
        <v/>
      </c>
      <c r="Y171" s="25" t="str">
        <f aca="false">IF(入力シート!$A175="","",入力シート!F175)</f>
        <v/>
      </c>
      <c r="Z171" s="25" t="str">
        <f aca="false">IF(入力シート!$A175="","",入力シート!O175)</f>
        <v/>
      </c>
      <c r="AA171" s="25" t="str">
        <f aca="false">IF(入力シート!$A175="","","")</f>
        <v/>
      </c>
      <c r="AB171" s="25" t="str">
        <f aca="false">IF(入力シート!$A175="","",入力シート!P175)</f>
        <v/>
      </c>
      <c r="AC171" s="25" t="str">
        <f aca="false">IF(入力シート!$A175="","",入力シート!U175)</f>
        <v/>
      </c>
      <c r="AD171" s="25" t="str">
        <f aca="false">IF(入力シート!$A175="","",0)</f>
        <v/>
      </c>
      <c r="AE171" s="25" t="str">
        <f aca="false">IF(入力シート!$A175="","",入力シート!I175)</f>
        <v/>
      </c>
      <c r="AF171" s="25" t="str">
        <f aca="false">IF(入力シート!$A175="","",入力シート!M175)</f>
        <v/>
      </c>
      <c r="AG171" s="25" t="str">
        <f aca="false">IF(入力シート!$A175="","",入力シート!N175)</f>
        <v/>
      </c>
      <c r="AH171" s="25" t="str">
        <f aca="false">IF(入力シート!$A175="","","")</f>
        <v/>
      </c>
      <c r="AI171" s="25" t="str">
        <f aca="false">IF(入力シート!$A175="","","")</f>
        <v/>
      </c>
      <c r="AJ171" s="25" t="str">
        <f aca="false">IF(入力シート!$A175="","","")</f>
        <v/>
      </c>
      <c r="AK171" s="25" t="str">
        <f aca="false">IF(入力シート!$A175="","",2)</f>
        <v/>
      </c>
      <c r="AL171" s="25" t="str">
        <f aca="false">IF(入力シート!$A175="","","")</f>
        <v/>
      </c>
      <c r="AM171" s="25" t="str">
        <f aca="false">IF(入力シート!$A175="","","")</f>
        <v/>
      </c>
      <c r="AN171" s="25" t="str">
        <f aca="false">IF(入力シート!$A175="","",入力シート!C175)</f>
        <v/>
      </c>
      <c r="AO171" s="25" t="str">
        <f aca="false">IF(入力シート!$A175="","","")</f>
        <v/>
      </c>
      <c r="AP171" s="25" t="str">
        <f aca="false">IF(入力シート!$A175="","","")</f>
        <v/>
      </c>
      <c r="AQ171" s="25" t="str">
        <f aca="false">IF(入力シート!$A175="","","")</f>
        <v/>
      </c>
    </row>
    <row r="172" customFormat="false" ht="15" hidden="false" customHeight="true" outlineLevel="0" collapsed="false">
      <c r="A172" s="25" t="str">
        <f aca="false">IF(入力シート!$A176="","",1)</f>
        <v/>
      </c>
      <c r="B172" s="25" t="str">
        <f aca="false">IF(入力シート!$A176="","",1)</f>
        <v/>
      </c>
      <c r="C172" s="25" t="str">
        <f aca="false">IF(入力シート!$A176="","",0)</f>
        <v/>
      </c>
      <c r="D172" s="25" t="str">
        <f aca="false">IF(入力シート!$A176="","",TEXT(入力シート!A176,"YYYYMMDD"))</f>
        <v/>
      </c>
      <c r="E172" s="25" t="str">
        <f aca="false">IF(入力シート!$A176="","",TEXT(入力シート!Q176,"00000000"))</f>
        <v/>
      </c>
      <c r="F172" s="25" t="str">
        <f aca="false">IF(入力シート!$A176="","",14)</f>
        <v/>
      </c>
      <c r="G172" s="25" t="str">
        <f aca="false">IF(入力シート!$A176="","",1)</f>
        <v/>
      </c>
      <c r="H172" s="25" t="str">
        <f aca="false">IF(入力シート!$A176="","",1)</f>
        <v/>
      </c>
      <c r="I172" s="25" t="str">
        <f aca="false">IF(入力シート!$A176="","",3)</f>
        <v/>
      </c>
      <c r="J172" s="25" t="str">
        <f aca="false">IF(入力シート!$A176="","",1)</f>
        <v/>
      </c>
      <c r="K172" s="25" t="str">
        <f aca="false">IF(入力シート!$A176="","",入力シート!B176)</f>
        <v/>
      </c>
      <c r="L172" s="25" t="str">
        <f aca="false">IF(入力シート!$A176="","","")</f>
        <v/>
      </c>
      <c r="M172" s="25" t="str">
        <f aca="false">IF(入力シート!$A176="","","")</f>
        <v/>
      </c>
      <c r="N172" s="25" t="str">
        <f aca="false">IF(入力シート!$A176="","",入力シート!R176)</f>
        <v/>
      </c>
      <c r="O172" s="25" t="str">
        <f aca="false">IF(入力シート!$A176="","",IF(入力シート!G176="",1,入力シート!G176))</f>
        <v/>
      </c>
      <c r="P172" s="25" t="str">
        <f aca="false">IF(入力シート!$A176="","",入力シート!D176)</f>
        <v/>
      </c>
      <c r="Q172" s="25" t="str">
        <f aca="false">IF(入力シート!$A176="","","")</f>
        <v/>
      </c>
      <c r="R172" s="25" t="str">
        <f aca="false">IF(入力シート!$A176="","",入力シート!J176)</f>
        <v/>
      </c>
      <c r="S172" s="25" t="str">
        <f aca="false">IF(入力シート!$A176="","",入力シート!L176)</f>
        <v/>
      </c>
      <c r="T172" s="25" t="str">
        <f aca="false">IF(入力シート!$A176="","",入力シート!K176)</f>
        <v/>
      </c>
      <c r="U172" s="25" t="str">
        <f aca="false">IF(入力シート!$A176="","",0)</f>
        <v/>
      </c>
      <c r="V172" s="25" t="str">
        <f aca="false">IF(入力シート!$A176="","",0)</f>
        <v/>
      </c>
      <c r="W172" s="25" t="str">
        <f aca="false">IF(入力シート!$A176="","","0000")</f>
        <v/>
      </c>
      <c r="X172" s="25" t="str">
        <f aca="false">IF(入力シート!$A176="","",入力シート!E176)</f>
        <v/>
      </c>
      <c r="Y172" s="25" t="str">
        <f aca="false">IF(入力シート!$A176="","",入力シート!F176)</f>
        <v/>
      </c>
      <c r="Z172" s="25" t="str">
        <f aca="false">IF(入力シート!$A176="","",入力シート!O176)</f>
        <v/>
      </c>
      <c r="AA172" s="25" t="str">
        <f aca="false">IF(入力シート!$A176="","","")</f>
        <v/>
      </c>
      <c r="AB172" s="25" t="str">
        <f aca="false">IF(入力シート!$A176="","",入力シート!P176)</f>
        <v/>
      </c>
      <c r="AC172" s="25" t="str">
        <f aca="false">IF(入力シート!$A176="","",入力シート!U176)</f>
        <v/>
      </c>
      <c r="AD172" s="25" t="str">
        <f aca="false">IF(入力シート!$A176="","",0)</f>
        <v/>
      </c>
      <c r="AE172" s="25" t="str">
        <f aca="false">IF(入力シート!$A176="","",入力シート!I176)</f>
        <v/>
      </c>
      <c r="AF172" s="25" t="str">
        <f aca="false">IF(入力シート!$A176="","",入力シート!M176)</f>
        <v/>
      </c>
      <c r="AG172" s="25" t="str">
        <f aca="false">IF(入力シート!$A176="","",入力シート!N176)</f>
        <v/>
      </c>
      <c r="AH172" s="25" t="str">
        <f aca="false">IF(入力シート!$A176="","","")</f>
        <v/>
      </c>
      <c r="AI172" s="25" t="str">
        <f aca="false">IF(入力シート!$A176="","","")</f>
        <v/>
      </c>
      <c r="AJ172" s="25" t="str">
        <f aca="false">IF(入力シート!$A176="","","")</f>
        <v/>
      </c>
      <c r="AK172" s="25" t="str">
        <f aca="false">IF(入力シート!$A176="","",2)</f>
        <v/>
      </c>
      <c r="AL172" s="25" t="str">
        <f aca="false">IF(入力シート!$A176="","","")</f>
        <v/>
      </c>
      <c r="AM172" s="25" t="str">
        <f aca="false">IF(入力シート!$A176="","","")</f>
        <v/>
      </c>
      <c r="AN172" s="25" t="str">
        <f aca="false">IF(入力シート!$A176="","",入力シート!C176)</f>
        <v/>
      </c>
      <c r="AO172" s="25" t="str">
        <f aca="false">IF(入力シート!$A176="","","")</f>
        <v/>
      </c>
      <c r="AP172" s="25" t="str">
        <f aca="false">IF(入力シート!$A176="","","")</f>
        <v/>
      </c>
      <c r="AQ172" s="25" t="str">
        <f aca="false">IF(入力シート!$A176="","","")</f>
        <v/>
      </c>
    </row>
    <row r="173" customFormat="false" ht="15" hidden="false" customHeight="true" outlineLevel="0" collapsed="false">
      <c r="A173" s="25" t="str">
        <f aca="false">IF(入力シート!$A177="","",1)</f>
        <v/>
      </c>
      <c r="B173" s="25" t="str">
        <f aca="false">IF(入力シート!$A177="","",1)</f>
        <v/>
      </c>
      <c r="C173" s="25" t="str">
        <f aca="false">IF(入力シート!$A177="","",0)</f>
        <v/>
      </c>
      <c r="D173" s="25" t="str">
        <f aca="false">IF(入力シート!$A177="","",TEXT(入力シート!A177,"YYYYMMDD"))</f>
        <v/>
      </c>
      <c r="E173" s="25" t="str">
        <f aca="false">IF(入力シート!$A177="","",TEXT(入力シート!Q177,"00000000"))</f>
        <v/>
      </c>
      <c r="F173" s="25" t="str">
        <f aca="false">IF(入力シート!$A177="","",14)</f>
        <v/>
      </c>
      <c r="G173" s="25" t="str">
        <f aca="false">IF(入力シート!$A177="","",1)</f>
        <v/>
      </c>
      <c r="H173" s="25" t="str">
        <f aca="false">IF(入力シート!$A177="","",1)</f>
        <v/>
      </c>
      <c r="I173" s="25" t="str">
        <f aca="false">IF(入力シート!$A177="","",3)</f>
        <v/>
      </c>
      <c r="J173" s="25" t="str">
        <f aca="false">IF(入力シート!$A177="","",1)</f>
        <v/>
      </c>
      <c r="K173" s="25" t="str">
        <f aca="false">IF(入力シート!$A177="","",入力シート!B177)</f>
        <v/>
      </c>
      <c r="L173" s="25" t="str">
        <f aca="false">IF(入力シート!$A177="","","")</f>
        <v/>
      </c>
      <c r="M173" s="25" t="str">
        <f aca="false">IF(入力シート!$A177="","","")</f>
        <v/>
      </c>
      <c r="N173" s="25" t="str">
        <f aca="false">IF(入力シート!$A177="","",入力シート!R177)</f>
        <v/>
      </c>
      <c r="O173" s="25" t="str">
        <f aca="false">IF(入力シート!$A177="","",IF(入力シート!G177="",1,入力シート!G177))</f>
        <v/>
      </c>
      <c r="P173" s="25" t="str">
        <f aca="false">IF(入力シート!$A177="","",入力シート!D177)</f>
        <v/>
      </c>
      <c r="Q173" s="25" t="str">
        <f aca="false">IF(入力シート!$A177="","","")</f>
        <v/>
      </c>
      <c r="R173" s="25" t="str">
        <f aca="false">IF(入力シート!$A177="","",入力シート!J177)</f>
        <v/>
      </c>
      <c r="S173" s="25" t="str">
        <f aca="false">IF(入力シート!$A177="","",入力シート!L177)</f>
        <v/>
      </c>
      <c r="T173" s="25" t="str">
        <f aca="false">IF(入力シート!$A177="","",入力シート!K177)</f>
        <v/>
      </c>
      <c r="U173" s="25" t="str">
        <f aca="false">IF(入力シート!$A177="","",0)</f>
        <v/>
      </c>
      <c r="V173" s="25" t="str">
        <f aca="false">IF(入力シート!$A177="","",0)</f>
        <v/>
      </c>
      <c r="W173" s="25" t="str">
        <f aca="false">IF(入力シート!$A177="","","0000")</f>
        <v/>
      </c>
      <c r="X173" s="25" t="str">
        <f aca="false">IF(入力シート!$A177="","",入力シート!E177)</f>
        <v/>
      </c>
      <c r="Y173" s="25" t="str">
        <f aca="false">IF(入力シート!$A177="","",入力シート!F177)</f>
        <v/>
      </c>
      <c r="Z173" s="25" t="str">
        <f aca="false">IF(入力シート!$A177="","",入力シート!O177)</f>
        <v/>
      </c>
      <c r="AA173" s="25" t="str">
        <f aca="false">IF(入力シート!$A177="","","")</f>
        <v/>
      </c>
      <c r="AB173" s="25" t="str">
        <f aca="false">IF(入力シート!$A177="","",入力シート!P177)</f>
        <v/>
      </c>
      <c r="AC173" s="25" t="str">
        <f aca="false">IF(入力シート!$A177="","",入力シート!U177)</f>
        <v/>
      </c>
      <c r="AD173" s="25" t="str">
        <f aca="false">IF(入力シート!$A177="","",0)</f>
        <v/>
      </c>
      <c r="AE173" s="25" t="str">
        <f aca="false">IF(入力シート!$A177="","",入力シート!I177)</f>
        <v/>
      </c>
      <c r="AF173" s="25" t="str">
        <f aca="false">IF(入力シート!$A177="","",入力シート!M177)</f>
        <v/>
      </c>
      <c r="AG173" s="25" t="str">
        <f aca="false">IF(入力シート!$A177="","",入力シート!N177)</f>
        <v/>
      </c>
      <c r="AH173" s="25" t="str">
        <f aca="false">IF(入力シート!$A177="","","")</f>
        <v/>
      </c>
      <c r="AI173" s="25" t="str">
        <f aca="false">IF(入力シート!$A177="","","")</f>
        <v/>
      </c>
      <c r="AJ173" s="25" t="str">
        <f aca="false">IF(入力シート!$A177="","","")</f>
        <v/>
      </c>
      <c r="AK173" s="25" t="str">
        <f aca="false">IF(入力シート!$A177="","",2)</f>
        <v/>
      </c>
      <c r="AL173" s="25" t="str">
        <f aca="false">IF(入力シート!$A177="","","")</f>
        <v/>
      </c>
      <c r="AM173" s="25" t="str">
        <f aca="false">IF(入力シート!$A177="","","")</f>
        <v/>
      </c>
      <c r="AN173" s="25" t="str">
        <f aca="false">IF(入力シート!$A177="","",入力シート!C177)</f>
        <v/>
      </c>
      <c r="AO173" s="25" t="str">
        <f aca="false">IF(入力シート!$A177="","","")</f>
        <v/>
      </c>
      <c r="AP173" s="25" t="str">
        <f aca="false">IF(入力シート!$A177="","","")</f>
        <v/>
      </c>
      <c r="AQ173" s="25" t="str">
        <f aca="false">IF(入力シート!$A177="","","")</f>
        <v/>
      </c>
    </row>
    <row r="174" customFormat="false" ht="15" hidden="false" customHeight="true" outlineLevel="0" collapsed="false">
      <c r="A174" s="25" t="str">
        <f aca="false">IF(入力シート!$A178="","",1)</f>
        <v/>
      </c>
      <c r="B174" s="25" t="str">
        <f aca="false">IF(入力シート!$A178="","",1)</f>
        <v/>
      </c>
      <c r="C174" s="25" t="str">
        <f aca="false">IF(入力シート!$A178="","",0)</f>
        <v/>
      </c>
      <c r="D174" s="25" t="str">
        <f aca="false">IF(入力シート!$A178="","",TEXT(入力シート!A178,"YYYYMMDD"))</f>
        <v/>
      </c>
      <c r="E174" s="25" t="str">
        <f aca="false">IF(入力シート!$A178="","",TEXT(入力シート!Q178,"00000000"))</f>
        <v/>
      </c>
      <c r="F174" s="25" t="str">
        <f aca="false">IF(入力シート!$A178="","",14)</f>
        <v/>
      </c>
      <c r="G174" s="25" t="str">
        <f aca="false">IF(入力シート!$A178="","",1)</f>
        <v/>
      </c>
      <c r="H174" s="25" t="str">
        <f aca="false">IF(入力シート!$A178="","",1)</f>
        <v/>
      </c>
      <c r="I174" s="25" t="str">
        <f aca="false">IF(入力シート!$A178="","",3)</f>
        <v/>
      </c>
      <c r="J174" s="25" t="str">
        <f aca="false">IF(入力シート!$A178="","",1)</f>
        <v/>
      </c>
      <c r="K174" s="25" t="str">
        <f aca="false">IF(入力シート!$A178="","",入力シート!B178)</f>
        <v/>
      </c>
      <c r="L174" s="25" t="str">
        <f aca="false">IF(入力シート!$A178="","","")</f>
        <v/>
      </c>
      <c r="M174" s="25" t="str">
        <f aca="false">IF(入力シート!$A178="","","")</f>
        <v/>
      </c>
      <c r="N174" s="25" t="str">
        <f aca="false">IF(入力シート!$A178="","",入力シート!R178)</f>
        <v/>
      </c>
      <c r="O174" s="25" t="str">
        <f aca="false">IF(入力シート!$A178="","",IF(入力シート!G178="",1,入力シート!G178))</f>
        <v/>
      </c>
      <c r="P174" s="25" t="str">
        <f aca="false">IF(入力シート!$A178="","",入力シート!D178)</f>
        <v/>
      </c>
      <c r="Q174" s="25" t="str">
        <f aca="false">IF(入力シート!$A178="","","")</f>
        <v/>
      </c>
      <c r="R174" s="25" t="str">
        <f aca="false">IF(入力シート!$A178="","",入力シート!J178)</f>
        <v/>
      </c>
      <c r="S174" s="25" t="str">
        <f aca="false">IF(入力シート!$A178="","",入力シート!L178)</f>
        <v/>
      </c>
      <c r="T174" s="25" t="str">
        <f aca="false">IF(入力シート!$A178="","",入力シート!K178)</f>
        <v/>
      </c>
      <c r="U174" s="25" t="str">
        <f aca="false">IF(入力シート!$A178="","",0)</f>
        <v/>
      </c>
      <c r="V174" s="25" t="str">
        <f aca="false">IF(入力シート!$A178="","",0)</f>
        <v/>
      </c>
      <c r="W174" s="25" t="str">
        <f aca="false">IF(入力シート!$A178="","","0000")</f>
        <v/>
      </c>
      <c r="X174" s="25" t="str">
        <f aca="false">IF(入力シート!$A178="","",入力シート!E178)</f>
        <v/>
      </c>
      <c r="Y174" s="25" t="str">
        <f aca="false">IF(入力シート!$A178="","",入力シート!F178)</f>
        <v/>
      </c>
      <c r="Z174" s="25" t="str">
        <f aca="false">IF(入力シート!$A178="","",入力シート!O178)</f>
        <v/>
      </c>
      <c r="AA174" s="25" t="str">
        <f aca="false">IF(入力シート!$A178="","","")</f>
        <v/>
      </c>
      <c r="AB174" s="25" t="str">
        <f aca="false">IF(入力シート!$A178="","",入力シート!P178)</f>
        <v/>
      </c>
      <c r="AC174" s="25" t="str">
        <f aca="false">IF(入力シート!$A178="","",入力シート!U178)</f>
        <v/>
      </c>
      <c r="AD174" s="25" t="str">
        <f aca="false">IF(入力シート!$A178="","",0)</f>
        <v/>
      </c>
      <c r="AE174" s="25" t="str">
        <f aca="false">IF(入力シート!$A178="","",入力シート!I178)</f>
        <v/>
      </c>
      <c r="AF174" s="25" t="str">
        <f aca="false">IF(入力シート!$A178="","",入力シート!M178)</f>
        <v/>
      </c>
      <c r="AG174" s="25" t="str">
        <f aca="false">IF(入力シート!$A178="","",入力シート!N178)</f>
        <v/>
      </c>
      <c r="AH174" s="25" t="str">
        <f aca="false">IF(入力シート!$A178="","","")</f>
        <v/>
      </c>
      <c r="AI174" s="25" t="str">
        <f aca="false">IF(入力シート!$A178="","","")</f>
        <v/>
      </c>
      <c r="AJ174" s="25" t="str">
        <f aca="false">IF(入力シート!$A178="","","")</f>
        <v/>
      </c>
      <c r="AK174" s="25" t="str">
        <f aca="false">IF(入力シート!$A178="","",2)</f>
        <v/>
      </c>
      <c r="AL174" s="25" t="str">
        <f aca="false">IF(入力シート!$A178="","","")</f>
        <v/>
      </c>
      <c r="AM174" s="25" t="str">
        <f aca="false">IF(入力シート!$A178="","","")</f>
        <v/>
      </c>
      <c r="AN174" s="25" t="str">
        <f aca="false">IF(入力シート!$A178="","",入力シート!C178)</f>
        <v/>
      </c>
      <c r="AO174" s="25" t="str">
        <f aca="false">IF(入力シート!$A178="","","")</f>
        <v/>
      </c>
      <c r="AP174" s="25" t="str">
        <f aca="false">IF(入力シート!$A178="","","")</f>
        <v/>
      </c>
      <c r="AQ174" s="25" t="str">
        <f aca="false">IF(入力シート!$A178="","","")</f>
        <v/>
      </c>
    </row>
    <row r="175" customFormat="false" ht="15" hidden="false" customHeight="true" outlineLevel="0" collapsed="false">
      <c r="A175" s="25" t="str">
        <f aca="false">IF(入力シート!$A179="","",1)</f>
        <v/>
      </c>
      <c r="B175" s="25" t="str">
        <f aca="false">IF(入力シート!$A179="","",1)</f>
        <v/>
      </c>
      <c r="C175" s="25" t="str">
        <f aca="false">IF(入力シート!$A179="","",0)</f>
        <v/>
      </c>
      <c r="D175" s="25" t="str">
        <f aca="false">IF(入力シート!$A179="","",TEXT(入力シート!A179,"YYYYMMDD"))</f>
        <v/>
      </c>
      <c r="E175" s="25" t="str">
        <f aca="false">IF(入力シート!$A179="","",TEXT(入力シート!Q179,"00000000"))</f>
        <v/>
      </c>
      <c r="F175" s="25" t="str">
        <f aca="false">IF(入力シート!$A179="","",14)</f>
        <v/>
      </c>
      <c r="G175" s="25" t="str">
        <f aca="false">IF(入力シート!$A179="","",1)</f>
        <v/>
      </c>
      <c r="H175" s="25" t="str">
        <f aca="false">IF(入力シート!$A179="","",1)</f>
        <v/>
      </c>
      <c r="I175" s="25" t="str">
        <f aca="false">IF(入力シート!$A179="","",3)</f>
        <v/>
      </c>
      <c r="J175" s="25" t="str">
        <f aca="false">IF(入力シート!$A179="","",1)</f>
        <v/>
      </c>
      <c r="K175" s="25" t="str">
        <f aca="false">IF(入力シート!$A179="","",入力シート!B179)</f>
        <v/>
      </c>
      <c r="L175" s="25" t="str">
        <f aca="false">IF(入力シート!$A179="","","")</f>
        <v/>
      </c>
      <c r="M175" s="25" t="str">
        <f aca="false">IF(入力シート!$A179="","","")</f>
        <v/>
      </c>
      <c r="N175" s="25" t="str">
        <f aca="false">IF(入力シート!$A179="","",入力シート!R179)</f>
        <v/>
      </c>
      <c r="O175" s="25" t="str">
        <f aca="false">IF(入力シート!$A179="","",IF(入力シート!G179="",1,入力シート!G179))</f>
        <v/>
      </c>
      <c r="P175" s="25" t="str">
        <f aca="false">IF(入力シート!$A179="","",入力シート!D179)</f>
        <v/>
      </c>
      <c r="Q175" s="25" t="str">
        <f aca="false">IF(入力シート!$A179="","","")</f>
        <v/>
      </c>
      <c r="R175" s="25" t="str">
        <f aca="false">IF(入力シート!$A179="","",入力シート!J179)</f>
        <v/>
      </c>
      <c r="S175" s="25" t="str">
        <f aca="false">IF(入力シート!$A179="","",入力シート!L179)</f>
        <v/>
      </c>
      <c r="T175" s="25" t="str">
        <f aca="false">IF(入力シート!$A179="","",入力シート!K179)</f>
        <v/>
      </c>
      <c r="U175" s="25" t="str">
        <f aca="false">IF(入力シート!$A179="","",0)</f>
        <v/>
      </c>
      <c r="V175" s="25" t="str">
        <f aca="false">IF(入力シート!$A179="","",0)</f>
        <v/>
      </c>
      <c r="W175" s="25" t="str">
        <f aca="false">IF(入力シート!$A179="","","0000")</f>
        <v/>
      </c>
      <c r="X175" s="25" t="str">
        <f aca="false">IF(入力シート!$A179="","",入力シート!E179)</f>
        <v/>
      </c>
      <c r="Y175" s="25" t="str">
        <f aca="false">IF(入力シート!$A179="","",入力シート!F179)</f>
        <v/>
      </c>
      <c r="Z175" s="25" t="str">
        <f aca="false">IF(入力シート!$A179="","",入力シート!O179)</f>
        <v/>
      </c>
      <c r="AA175" s="25" t="str">
        <f aca="false">IF(入力シート!$A179="","","")</f>
        <v/>
      </c>
      <c r="AB175" s="25" t="str">
        <f aca="false">IF(入力シート!$A179="","",入力シート!P179)</f>
        <v/>
      </c>
      <c r="AC175" s="25" t="str">
        <f aca="false">IF(入力シート!$A179="","",入力シート!U179)</f>
        <v/>
      </c>
      <c r="AD175" s="25" t="str">
        <f aca="false">IF(入力シート!$A179="","",0)</f>
        <v/>
      </c>
      <c r="AE175" s="25" t="str">
        <f aca="false">IF(入力シート!$A179="","",入力シート!I179)</f>
        <v/>
      </c>
      <c r="AF175" s="25" t="str">
        <f aca="false">IF(入力シート!$A179="","",入力シート!M179)</f>
        <v/>
      </c>
      <c r="AG175" s="25" t="str">
        <f aca="false">IF(入力シート!$A179="","",入力シート!N179)</f>
        <v/>
      </c>
      <c r="AH175" s="25" t="str">
        <f aca="false">IF(入力シート!$A179="","","")</f>
        <v/>
      </c>
      <c r="AI175" s="25" t="str">
        <f aca="false">IF(入力シート!$A179="","","")</f>
        <v/>
      </c>
      <c r="AJ175" s="25" t="str">
        <f aca="false">IF(入力シート!$A179="","","")</f>
        <v/>
      </c>
      <c r="AK175" s="25" t="str">
        <f aca="false">IF(入力シート!$A179="","",2)</f>
        <v/>
      </c>
      <c r="AL175" s="25" t="str">
        <f aca="false">IF(入力シート!$A179="","","")</f>
        <v/>
      </c>
      <c r="AM175" s="25" t="str">
        <f aca="false">IF(入力シート!$A179="","","")</f>
        <v/>
      </c>
      <c r="AN175" s="25" t="str">
        <f aca="false">IF(入力シート!$A179="","",入力シート!C179)</f>
        <v/>
      </c>
      <c r="AO175" s="25" t="str">
        <f aca="false">IF(入力シート!$A179="","","")</f>
        <v/>
      </c>
      <c r="AP175" s="25" t="str">
        <f aca="false">IF(入力シート!$A179="","","")</f>
        <v/>
      </c>
      <c r="AQ175" s="25" t="str">
        <f aca="false">IF(入力シート!$A179="","","")</f>
        <v/>
      </c>
    </row>
    <row r="176" customFormat="false" ht="15" hidden="false" customHeight="true" outlineLevel="0" collapsed="false">
      <c r="A176" s="25" t="str">
        <f aca="false">IF(入力シート!$A180="","",1)</f>
        <v/>
      </c>
      <c r="B176" s="25" t="str">
        <f aca="false">IF(入力シート!$A180="","",1)</f>
        <v/>
      </c>
      <c r="C176" s="25" t="str">
        <f aca="false">IF(入力シート!$A180="","",0)</f>
        <v/>
      </c>
      <c r="D176" s="25" t="str">
        <f aca="false">IF(入力シート!$A180="","",TEXT(入力シート!A180,"YYYYMMDD"))</f>
        <v/>
      </c>
      <c r="E176" s="25" t="str">
        <f aca="false">IF(入力シート!$A180="","",TEXT(入力シート!Q180,"00000000"))</f>
        <v/>
      </c>
      <c r="F176" s="25" t="str">
        <f aca="false">IF(入力シート!$A180="","",14)</f>
        <v/>
      </c>
      <c r="G176" s="25" t="str">
        <f aca="false">IF(入力シート!$A180="","",1)</f>
        <v/>
      </c>
      <c r="H176" s="25" t="str">
        <f aca="false">IF(入力シート!$A180="","",1)</f>
        <v/>
      </c>
      <c r="I176" s="25" t="str">
        <f aca="false">IF(入力シート!$A180="","",3)</f>
        <v/>
      </c>
      <c r="J176" s="25" t="str">
        <f aca="false">IF(入力シート!$A180="","",1)</f>
        <v/>
      </c>
      <c r="K176" s="25" t="str">
        <f aca="false">IF(入力シート!$A180="","",入力シート!B180)</f>
        <v/>
      </c>
      <c r="L176" s="25" t="str">
        <f aca="false">IF(入力シート!$A180="","","")</f>
        <v/>
      </c>
      <c r="M176" s="25" t="str">
        <f aca="false">IF(入力シート!$A180="","","")</f>
        <v/>
      </c>
      <c r="N176" s="25" t="str">
        <f aca="false">IF(入力シート!$A180="","",入力シート!R180)</f>
        <v/>
      </c>
      <c r="O176" s="25" t="str">
        <f aca="false">IF(入力シート!$A180="","",IF(入力シート!G180="",1,入力シート!G180))</f>
        <v/>
      </c>
      <c r="P176" s="25" t="str">
        <f aca="false">IF(入力シート!$A180="","",入力シート!D180)</f>
        <v/>
      </c>
      <c r="Q176" s="25" t="str">
        <f aca="false">IF(入力シート!$A180="","","")</f>
        <v/>
      </c>
      <c r="R176" s="25" t="str">
        <f aca="false">IF(入力シート!$A180="","",入力シート!J180)</f>
        <v/>
      </c>
      <c r="S176" s="25" t="str">
        <f aca="false">IF(入力シート!$A180="","",入力シート!L180)</f>
        <v/>
      </c>
      <c r="T176" s="25" t="str">
        <f aca="false">IF(入力シート!$A180="","",入力シート!K180)</f>
        <v/>
      </c>
      <c r="U176" s="25" t="str">
        <f aca="false">IF(入力シート!$A180="","",0)</f>
        <v/>
      </c>
      <c r="V176" s="25" t="str">
        <f aca="false">IF(入力シート!$A180="","",0)</f>
        <v/>
      </c>
      <c r="W176" s="25" t="str">
        <f aca="false">IF(入力シート!$A180="","","0000")</f>
        <v/>
      </c>
      <c r="X176" s="25" t="str">
        <f aca="false">IF(入力シート!$A180="","",入力シート!E180)</f>
        <v/>
      </c>
      <c r="Y176" s="25" t="str">
        <f aca="false">IF(入力シート!$A180="","",入力シート!F180)</f>
        <v/>
      </c>
      <c r="Z176" s="25" t="str">
        <f aca="false">IF(入力シート!$A180="","",入力シート!O180)</f>
        <v/>
      </c>
      <c r="AA176" s="25" t="str">
        <f aca="false">IF(入力シート!$A180="","","")</f>
        <v/>
      </c>
      <c r="AB176" s="25" t="str">
        <f aca="false">IF(入力シート!$A180="","",入力シート!P180)</f>
        <v/>
      </c>
      <c r="AC176" s="25" t="str">
        <f aca="false">IF(入力シート!$A180="","",入力シート!U180)</f>
        <v/>
      </c>
      <c r="AD176" s="25" t="str">
        <f aca="false">IF(入力シート!$A180="","",0)</f>
        <v/>
      </c>
      <c r="AE176" s="25" t="str">
        <f aca="false">IF(入力シート!$A180="","",入力シート!I180)</f>
        <v/>
      </c>
      <c r="AF176" s="25" t="str">
        <f aca="false">IF(入力シート!$A180="","",入力シート!M180)</f>
        <v/>
      </c>
      <c r="AG176" s="25" t="str">
        <f aca="false">IF(入力シート!$A180="","",入力シート!N180)</f>
        <v/>
      </c>
      <c r="AH176" s="25" t="str">
        <f aca="false">IF(入力シート!$A180="","","")</f>
        <v/>
      </c>
      <c r="AI176" s="25" t="str">
        <f aca="false">IF(入力シート!$A180="","","")</f>
        <v/>
      </c>
      <c r="AJ176" s="25" t="str">
        <f aca="false">IF(入力シート!$A180="","","")</f>
        <v/>
      </c>
      <c r="AK176" s="25" t="str">
        <f aca="false">IF(入力シート!$A180="","",2)</f>
        <v/>
      </c>
      <c r="AL176" s="25" t="str">
        <f aca="false">IF(入力シート!$A180="","","")</f>
        <v/>
      </c>
      <c r="AM176" s="25" t="str">
        <f aca="false">IF(入力シート!$A180="","","")</f>
        <v/>
      </c>
      <c r="AN176" s="25" t="str">
        <f aca="false">IF(入力シート!$A180="","",入力シート!C180)</f>
        <v/>
      </c>
      <c r="AO176" s="25" t="str">
        <f aca="false">IF(入力シート!$A180="","","")</f>
        <v/>
      </c>
      <c r="AP176" s="25" t="str">
        <f aca="false">IF(入力シート!$A180="","","")</f>
        <v/>
      </c>
      <c r="AQ176" s="25" t="str">
        <f aca="false">IF(入力シート!$A180="","","")</f>
        <v/>
      </c>
    </row>
    <row r="177" customFormat="false" ht="15" hidden="false" customHeight="true" outlineLevel="0" collapsed="false">
      <c r="A177" s="25" t="str">
        <f aca="false">IF(入力シート!$A181="","",1)</f>
        <v/>
      </c>
      <c r="B177" s="25" t="str">
        <f aca="false">IF(入力シート!$A181="","",1)</f>
        <v/>
      </c>
      <c r="C177" s="25" t="str">
        <f aca="false">IF(入力シート!$A181="","",0)</f>
        <v/>
      </c>
      <c r="D177" s="25" t="str">
        <f aca="false">IF(入力シート!$A181="","",TEXT(入力シート!A181,"YYYYMMDD"))</f>
        <v/>
      </c>
      <c r="E177" s="25" t="str">
        <f aca="false">IF(入力シート!$A181="","",TEXT(入力シート!Q181,"00000000"))</f>
        <v/>
      </c>
      <c r="F177" s="25" t="str">
        <f aca="false">IF(入力シート!$A181="","",14)</f>
        <v/>
      </c>
      <c r="G177" s="25" t="str">
        <f aca="false">IF(入力シート!$A181="","",1)</f>
        <v/>
      </c>
      <c r="H177" s="25" t="str">
        <f aca="false">IF(入力シート!$A181="","",1)</f>
        <v/>
      </c>
      <c r="I177" s="25" t="str">
        <f aca="false">IF(入力シート!$A181="","",3)</f>
        <v/>
      </c>
      <c r="J177" s="25" t="str">
        <f aca="false">IF(入力シート!$A181="","",1)</f>
        <v/>
      </c>
      <c r="K177" s="25" t="str">
        <f aca="false">IF(入力シート!$A181="","",入力シート!B181)</f>
        <v/>
      </c>
      <c r="L177" s="25" t="str">
        <f aca="false">IF(入力シート!$A181="","","")</f>
        <v/>
      </c>
      <c r="M177" s="25" t="str">
        <f aca="false">IF(入力シート!$A181="","","")</f>
        <v/>
      </c>
      <c r="N177" s="25" t="str">
        <f aca="false">IF(入力シート!$A181="","",入力シート!R181)</f>
        <v/>
      </c>
      <c r="O177" s="25" t="str">
        <f aca="false">IF(入力シート!$A181="","",IF(入力シート!G181="",1,入力シート!G181))</f>
        <v/>
      </c>
      <c r="P177" s="25" t="str">
        <f aca="false">IF(入力シート!$A181="","",入力シート!D181)</f>
        <v/>
      </c>
      <c r="Q177" s="25" t="str">
        <f aca="false">IF(入力シート!$A181="","","")</f>
        <v/>
      </c>
      <c r="R177" s="25" t="str">
        <f aca="false">IF(入力シート!$A181="","",入力シート!J181)</f>
        <v/>
      </c>
      <c r="S177" s="25" t="str">
        <f aca="false">IF(入力シート!$A181="","",入力シート!L181)</f>
        <v/>
      </c>
      <c r="T177" s="25" t="str">
        <f aca="false">IF(入力シート!$A181="","",入力シート!K181)</f>
        <v/>
      </c>
      <c r="U177" s="25" t="str">
        <f aca="false">IF(入力シート!$A181="","",0)</f>
        <v/>
      </c>
      <c r="V177" s="25" t="str">
        <f aca="false">IF(入力シート!$A181="","",0)</f>
        <v/>
      </c>
      <c r="W177" s="25" t="str">
        <f aca="false">IF(入力シート!$A181="","","0000")</f>
        <v/>
      </c>
      <c r="X177" s="25" t="str">
        <f aca="false">IF(入力シート!$A181="","",入力シート!E181)</f>
        <v/>
      </c>
      <c r="Y177" s="25" t="str">
        <f aca="false">IF(入力シート!$A181="","",入力シート!F181)</f>
        <v/>
      </c>
      <c r="Z177" s="25" t="str">
        <f aca="false">IF(入力シート!$A181="","",入力シート!O181)</f>
        <v/>
      </c>
      <c r="AA177" s="25" t="str">
        <f aca="false">IF(入力シート!$A181="","","")</f>
        <v/>
      </c>
      <c r="AB177" s="25" t="str">
        <f aca="false">IF(入力シート!$A181="","",入力シート!P181)</f>
        <v/>
      </c>
      <c r="AC177" s="25" t="str">
        <f aca="false">IF(入力シート!$A181="","",入力シート!U181)</f>
        <v/>
      </c>
      <c r="AD177" s="25" t="str">
        <f aca="false">IF(入力シート!$A181="","",0)</f>
        <v/>
      </c>
      <c r="AE177" s="25" t="str">
        <f aca="false">IF(入力シート!$A181="","",入力シート!I181)</f>
        <v/>
      </c>
      <c r="AF177" s="25" t="str">
        <f aca="false">IF(入力シート!$A181="","",入力シート!M181)</f>
        <v/>
      </c>
      <c r="AG177" s="25" t="str">
        <f aca="false">IF(入力シート!$A181="","",入力シート!N181)</f>
        <v/>
      </c>
      <c r="AH177" s="25" t="str">
        <f aca="false">IF(入力シート!$A181="","","")</f>
        <v/>
      </c>
      <c r="AI177" s="25" t="str">
        <f aca="false">IF(入力シート!$A181="","","")</f>
        <v/>
      </c>
      <c r="AJ177" s="25" t="str">
        <f aca="false">IF(入力シート!$A181="","","")</f>
        <v/>
      </c>
      <c r="AK177" s="25" t="str">
        <f aca="false">IF(入力シート!$A181="","",2)</f>
        <v/>
      </c>
      <c r="AL177" s="25" t="str">
        <f aca="false">IF(入力シート!$A181="","","")</f>
        <v/>
      </c>
      <c r="AM177" s="25" t="str">
        <f aca="false">IF(入力シート!$A181="","","")</f>
        <v/>
      </c>
      <c r="AN177" s="25" t="str">
        <f aca="false">IF(入力シート!$A181="","",入力シート!C181)</f>
        <v/>
      </c>
      <c r="AO177" s="25" t="str">
        <f aca="false">IF(入力シート!$A181="","","")</f>
        <v/>
      </c>
      <c r="AP177" s="25" t="str">
        <f aca="false">IF(入力シート!$A181="","","")</f>
        <v/>
      </c>
      <c r="AQ177" s="25" t="str">
        <f aca="false">IF(入力シート!$A181="","","")</f>
        <v/>
      </c>
    </row>
    <row r="178" customFormat="false" ht="15" hidden="false" customHeight="true" outlineLevel="0" collapsed="false">
      <c r="A178" s="25" t="str">
        <f aca="false">IF(入力シート!$A182="","",1)</f>
        <v/>
      </c>
      <c r="B178" s="25" t="str">
        <f aca="false">IF(入力シート!$A182="","",1)</f>
        <v/>
      </c>
      <c r="C178" s="25" t="str">
        <f aca="false">IF(入力シート!$A182="","",0)</f>
        <v/>
      </c>
      <c r="D178" s="25" t="str">
        <f aca="false">IF(入力シート!$A182="","",TEXT(入力シート!A182,"YYYYMMDD"))</f>
        <v/>
      </c>
      <c r="E178" s="25" t="str">
        <f aca="false">IF(入力シート!$A182="","",TEXT(入力シート!Q182,"00000000"))</f>
        <v/>
      </c>
      <c r="F178" s="25" t="str">
        <f aca="false">IF(入力シート!$A182="","",14)</f>
        <v/>
      </c>
      <c r="G178" s="25" t="str">
        <f aca="false">IF(入力シート!$A182="","",1)</f>
        <v/>
      </c>
      <c r="H178" s="25" t="str">
        <f aca="false">IF(入力シート!$A182="","",1)</f>
        <v/>
      </c>
      <c r="I178" s="25" t="str">
        <f aca="false">IF(入力シート!$A182="","",3)</f>
        <v/>
      </c>
      <c r="J178" s="25" t="str">
        <f aca="false">IF(入力シート!$A182="","",1)</f>
        <v/>
      </c>
      <c r="K178" s="25" t="str">
        <f aca="false">IF(入力シート!$A182="","",入力シート!B182)</f>
        <v/>
      </c>
      <c r="L178" s="25" t="str">
        <f aca="false">IF(入力シート!$A182="","","")</f>
        <v/>
      </c>
      <c r="M178" s="25" t="str">
        <f aca="false">IF(入力シート!$A182="","","")</f>
        <v/>
      </c>
      <c r="N178" s="25" t="str">
        <f aca="false">IF(入力シート!$A182="","",入力シート!R182)</f>
        <v/>
      </c>
      <c r="O178" s="25" t="str">
        <f aca="false">IF(入力シート!$A182="","",IF(入力シート!G182="",1,入力シート!G182))</f>
        <v/>
      </c>
      <c r="P178" s="25" t="str">
        <f aca="false">IF(入力シート!$A182="","",入力シート!D182)</f>
        <v/>
      </c>
      <c r="Q178" s="25" t="str">
        <f aca="false">IF(入力シート!$A182="","","")</f>
        <v/>
      </c>
      <c r="R178" s="25" t="str">
        <f aca="false">IF(入力シート!$A182="","",入力シート!J182)</f>
        <v/>
      </c>
      <c r="S178" s="25" t="str">
        <f aca="false">IF(入力シート!$A182="","",入力シート!L182)</f>
        <v/>
      </c>
      <c r="T178" s="25" t="str">
        <f aca="false">IF(入力シート!$A182="","",入力シート!K182)</f>
        <v/>
      </c>
      <c r="U178" s="25" t="str">
        <f aca="false">IF(入力シート!$A182="","",0)</f>
        <v/>
      </c>
      <c r="V178" s="25" t="str">
        <f aca="false">IF(入力シート!$A182="","",0)</f>
        <v/>
      </c>
      <c r="W178" s="25" t="str">
        <f aca="false">IF(入力シート!$A182="","","0000")</f>
        <v/>
      </c>
      <c r="X178" s="25" t="str">
        <f aca="false">IF(入力シート!$A182="","",入力シート!E182)</f>
        <v/>
      </c>
      <c r="Y178" s="25" t="str">
        <f aca="false">IF(入力シート!$A182="","",入力シート!F182)</f>
        <v/>
      </c>
      <c r="Z178" s="25" t="str">
        <f aca="false">IF(入力シート!$A182="","",入力シート!O182)</f>
        <v/>
      </c>
      <c r="AA178" s="25" t="str">
        <f aca="false">IF(入力シート!$A182="","","")</f>
        <v/>
      </c>
      <c r="AB178" s="25" t="str">
        <f aca="false">IF(入力シート!$A182="","",入力シート!P182)</f>
        <v/>
      </c>
      <c r="AC178" s="25" t="str">
        <f aca="false">IF(入力シート!$A182="","",入力シート!U182)</f>
        <v/>
      </c>
      <c r="AD178" s="25" t="str">
        <f aca="false">IF(入力シート!$A182="","",0)</f>
        <v/>
      </c>
      <c r="AE178" s="25" t="str">
        <f aca="false">IF(入力シート!$A182="","",入力シート!I182)</f>
        <v/>
      </c>
      <c r="AF178" s="25" t="str">
        <f aca="false">IF(入力シート!$A182="","",入力シート!M182)</f>
        <v/>
      </c>
      <c r="AG178" s="25" t="str">
        <f aca="false">IF(入力シート!$A182="","",入力シート!N182)</f>
        <v/>
      </c>
      <c r="AH178" s="25" t="str">
        <f aca="false">IF(入力シート!$A182="","","")</f>
        <v/>
      </c>
      <c r="AI178" s="25" t="str">
        <f aca="false">IF(入力シート!$A182="","","")</f>
        <v/>
      </c>
      <c r="AJ178" s="25" t="str">
        <f aca="false">IF(入力シート!$A182="","","")</f>
        <v/>
      </c>
      <c r="AK178" s="25" t="str">
        <f aca="false">IF(入力シート!$A182="","",2)</f>
        <v/>
      </c>
      <c r="AL178" s="25" t="str">
        <f aca="false">IF(入力シート!$A182="","","")</f>
        <v/>
      </c>
      <c r="AM178" s="25" t="str">
        <f aca="false">IF(入力シート!$A182="","","")</f>
        <v/>
      </c>
      <c r="AN178" s="25" t="str">
        <f aca="false">IF(入力シート!$A182="","",入力シート!C182)</f>
        <v/>
      </c>
      <c r="AO178" s="25" t="str">
        <f aca="false">IF(入力シート!$A182="","","")</f>
        <v/>
      </c>
      <c r="AP178" s="25" t="str">
        <f aca="false">IF(入力シート!$A182="","","")</f>
        <v/>
      </c>
      <c r="AQ178" s="25" t="str">
        <f aca="false">IF(入力シート!$A182="","","")</f>
        <v/>
      </c>
    </row>
    <row r="179" customFormat="false" ht="15" hidden="false" customHeight="true" outlineLevel="0" collapsed="false">
      <c r="A179" s="25" t="str">
        <f aca="false">IF(入力シート!$A183="","",1)</f>
        <v/>
      </c>
      <c r="B179" s="25" t="str">
        <f aca="false">IF(入力シート!$A183="","",1)</f>
        <v/>
      </c>
      <c r="C179" s="25" t="str">
        <f aca="false">IF(入力シート!$A183="","",0)</f>
        <v/>
      </c>
      <c r="D179" s="25" t="str">
        <f aca="false">IF(入力シート!$A183="","",TEXT(入力シート!A183,"YYYYMMDD"))</f>
        <v/>
      </c>
      <c r="E179" s="25" t="str">
        <f aca="false">IF(入力シート!$A183="","",TEXT(入力シート!Q183,"00000000"))</f>
        <v/>
      </c>
      <c r="F179" s="25" t="str">
        <f aca="false">IF(入力シート!$A183="","",14)</f>
        <v/>
      </c>
      <c r="G179" s="25" t="str">
        <f aca="false">IF(入力シート!$A183="","",1)</f>
        <v/>
      </c>
      <c r="H179" s="25" t="str">
        <f aca="false">IF(入力シート!$A183="","",1)</f>
        <v/>
      </c>
      <c r="I179" s="25" t="str">
        <f aca="false">IF(入力シート!$A183="","",3)</f>
        <v/>
      </c>
      <c r="J179" s="25" t="str">
        <f aca="false">IF(入力シート!$A183="","",1)</f>
        <v/>
      </c>
      <c r="K179" s="25" t="str">
        <f aca="false">IF(入力シート!$A183="","",入力シート!B183)</f>
        <v/>
      </c>
      <c r="L179" s="25" t="str">
        <f aca="false">IF(入力シート!$A183="","","")</f>
        <v/>
      </c>
      <c r="M179" s="25" t="str">
        <f aca="false">IF(入力シート!$A183="","","")</f>
        <v/>
      </c>
      <c r="N179" s="25" t="str">
        <f aca="false">IF(入力シート!$A183="","",入力シート!R183)</f>
        <v/>
      </c>
      <c r="O179" s="25" t="str">
        <f aca="false">IF(入力シート!$A183="","",IF(入力シート!G183="",1,入力シート!G183))</f>
        <v/>
      </c>
      <c r="P179" s="25" t="str">
        <f aca="false">IF(入力シート!$A183="","",入力シート!D183)</f>
        <v/>
      </c>
      <c r="Q179" s="25" t="str">
        <f aca="false">IF(入力シート!$A183="","","")</f>
        <v/>
      </c>
      <c r="R179" s="25" t="str">
        <f aca="false">IF(入力シート!$A183="","",入力シート!J183)</f>
        <v/>
      </c>
      <c r="S179" s="25" t="str">
        <f aca="false">IF(入力シート!$A183="","",入力シート!L183)</f>
        <v/>
      </c>
      <c r="T179" s="25" t="str">
        <f aca="false">IF(入力シート!$A183="","",入力シート!K183)</f>
        <v/>
      </c>
      <c r="U179" s="25" t="str">
        <f aca="false">IF(入力シート!$A183="","",0)</f>
        <v/>
      </c>
      <c r="V179" s="25" t="str">
        <f aca="false">IF(入力シート!$A183="","",0)</f>
        <v/>
      </c>
      <c r="W179" s="25" t="str">
        <f aca="false">IF(入力シート!$A183="","","0000")</f>
        <v/>
      </c>
      <c r="X179" s="25" t="str">
        <f aca="false">IF(入力シート!$A183="","",入力シート!E183)</f>
        <v/>
      </c>
      <c r="Y179" s="25" t="str">
        <f aca="false">IF(入力シート!$A183="","",入力シート!F183)</f>
        <v/>
      </c>
      <c r="Z179" s="25" t="str">
        <f aca="false">IF(入力シート!$A183="","",入力シート!O183)</f>
        <v/>
      </c>
      <c r="AA179" s="25" t="str">
        <f aca="false">IF(入力シート!$A183="","","")</f>
        <v/>
      </c>
      <c r="AB179" s="25" t="str">
        <f aca="false">IF(入力シート!$A183="","",入力シート!P183)</f>
        <v/>
      </c>
      <c r="AC179" s="25" t="str">
        <f aca="false">IF(入力シート!$A183="","",入力シート!U183)</f>
        <v/>
      </c>
      <c r="AD179" s="25" t="str">
        <f aca="false">IF(入力シート!$A183="","",0)</f>
        <v/>
      </c>
      <c r="AE179" s="25" t="str">
        <f aca="false">IF(入力シート!$A183="","",入力シート!I183)</f>
        <v/>
      </c>
      <c r="AF179" s="25" t="str">
        <f aca="false">IF(入力シート!$A183="","",入力シート!M183)</f>
        <v/>
      </c>
      <c r="AG179" s="25" t="str">
        <f aca="false">IF(入力シート!$A183="","",入力シート!N183)</f>
        <v/>
      </c>
      <c r="AH179" s="25" t="str">
        <f aca="false">IF(入力シート!$A183="","","")</f>
        <v/>
      </c>
      <c r="AI179" s="25" t="str">
        <f aca="false">IF(入力シート!$A183="","","")</f>
        <v/>
      </c>
      <c r="AJ179" s="25" t="str">
        <f aca="false">IF(入力シート!$A183="","","")</f>
        <v/>
      </c>
      <c r="AK179" s="25" t="str">
        <f aca="false">IF(入力シート!$A183="","",2)</f>
        <v/>
      </c>
      <c r="AL179" s="25" t="str">
        <f aca="false">IF(入力シート!$A183="","","")</f>
        <v/>
      </c>
      <c r="AM179" s="25" t="str">
        <f aca="false">IF(入力シート!$A183="","","")</f>
        <v/>
      </c>
      <c r="AN179" s="25" t="str">
        <f aca="false">IF(入力シート!$A183="","",入力シート!C183)</f>
        <v/>
      </c>
      <c r="AO179" s="25" t="str">
        <f aca="false">IF(入力シート!$A183="","","")</f>
        <v/>
      </c>
      <c r="AP179" s="25" t="str">
        <f aca="false">IF(入力シート!$A183="","","")</f>
        <v/>
      </c>
      <c r="AQ179" s="25" t="str">
        <f aca="false">IF(入力シート!$A183="","","")</f>
        <v/>
      </c>
    </row>
    <row r="180" customFormat="false" ht="15" hidden="false" customHeight="true" outlineLevel="0" collapsed="false">
      <c r="A180" s="25" t="str">
        <f aca="false">IF(入力シート!$A184="","",1)</f>
        <v/>
      </c>
      <c r="B180" s="25" t="str">
        <f aca="false">IF(入力シート!$A184="","",1)</f>
        <v/>
      </c>
      <c r="C180" s="25" t="str">
        <f aca="false">IF(入力シート!$A184="","",0)</f>
        <v/>
      </c>
      <c r="D180" s="25" t="str">
        <f aca="false">IF(入力シート!$A184="","",TEXT(入力シート!A184,"YYYYMMDD"))</f>
        <v/>
      </c>
      <c r="E180" s="25" t="str">
        <f aca="false">IF(入力シート!$A184="","",TEXT(入力シート!Q184,"00000000"))</f>
        <v/>
      </c>
      <c r="F180" s="25" t="str">
        <f aca="false">IF(入力シート!$A184="","",14)</f>
        <v/>
      </c>
      <c r="G180" s="25" t="str">
        <f aca="false">IF(入力シート!$A184="","",1)</f>
        <v/>
      </c>
      <c r="H180" s="25" t="str">
        <f aca="false">IF(入力シート!$A184="","",1)</f>
        <v/>
      </c>
      <c r="I180" s="25" t="str">
        <f aca="false">IF(入力シート!$A184="","",3)</f>
        <v/>
      </c>
      <c r="J180" s="25" t="str">
        <f aca="false">IF(入力シート!$A184="","",1)</f>
        <v/>
      </c>
      <c r="K180" s="25" t="str">
        <f aca="false">IF(入力シート!$A184="","",入力シート!B184)</f>
        <v/>
      </c>
      <c r="L180" s="25" t="str">
        <f aca="false">IF(入力シート!$A184="","","")</f>
        <v/>
      </c>
      <c r="M180" s="25" t="str">
        <f aca="false">IF(入力シート!$A184="","","")</f>
        <v/>
      </c>
      <c r="N180" s="25" t="str">
        <f aca="false">IF(入力シート!$A184="","",入力シート!R184)</f>
        <v/>
      </c>
      <c r="O180" s="25" t="str">
        <f aca="false">IF(入力シート!$A184="","",IF(入力シート!G184="",1,入力シート!G184))</f>
        <v/>
      </c>
      <c r="P180" s="25" t="str">
        <f aca="false">IF(入力シート!$A184="","",入力シート!D184)</f>
        <v/>
      </c>
      <c r="Q180" s="25" t="str">
        <f aca="false">IF(入力シート!$A184="","","")</f>
        <v/>
      </c>
      <c r="R180" s="25" t="str">
        <f aca="false">IF(入力シート!$A184="","",入力シート!J184)</f>
        <v/>
      </c>
      <c r="S180" s="25" t="str">
        <f aca="false">IF(入力シート!$A184="","",入力シート!L184)</f>
        <v/>
      </c>
      <c r="T180" s="25" t="str">
        <f aca="false">IF(入力シート!$A184="","",入力シート!K184)</f>
        <v/>
      </c>
      <c r="U180" s="25" t="str">
        <f aca="false">IF(入力シート!$A184="","",0)</f>
        <v/>
      </c>
      <c r="V180" s="25" t="str">
        <f aca="false">IF(入力シート!$A184="","",0)</f>
        <v/>
      </c>
      <c r="W180" s="25" t="str">
        <f aca="false">IF(入力シート!$A184="","","0000")</f>
        <v/>
      </c>
      <c r="X180" s="25" t="str">
        <f aca="false">IF(入力シート!$A184="","",入力シート!E184)</f>
        <v/>
      </c>
      <c r="Y180" s="25" t="str">
        <f aca="false">IF(入力シート!$A184="","",入力シート!F184)</f>
        <v/>
      </c>
      <c r="Z180" s="25" t="str">
        <f aca="false">IF(入力シート!$A184="","",入力シート!O184)</f>
        <v/>
      </c>
      <c r="AA180" s="25" t="str">
        <f aca="false">IF(入力シート!$A184="","","")</f>
        <v/>
      </c>
      <c r="AB180" s="25" t="str">
        <f aca="false">IF(入力シート!$A184="","",入力シート!P184)</f>
        <v/>
      </c>
      <c r="AC180" s="25" t="str">
        <f aca="false">IF(入力シート!$A184="","",入力シート!U184)</f>
        <v/>
      </c>
      <c r="AD180" s="25" t="str">
        <f aca="false">IF(入力シート!$A184="","",0)</f>
        <v/>
      </c>
      <c r="AE180" s="25" t="str">
        <f aca="false">IF(入力シート!$A184="","",入力シート!I184)</f>
        <v/>
      </c>
      <c r="AF180" s="25" t="str">
        <f aca="false">IF(入力シート!$A184="","",入力シート!M184)</f>
        <v/>
      </c>
      <c r="AG180" s="25" t="str">
        <f aca="false">IF(入力シート!$A184="","",入力シート!N184)</f>
        <v/>
      </c>
      <c r="AH180" s="25" t="str">
        <f aca="false">IF(入力シート!$A184="","","")</f>
        <v/>
      </c>
      <c r="AI180" s="25" t="str">
        <f aca="false">IF(入力シート!$A184="","","")</f>
        <v/>
      </c>
      <c r="AJ180" s="25" t="str">
        <f aca="false">IF(入力シート!$A184="","","")</f>
        <v/>
      </c>
      <c r="AK180" s="25" t="str">
        <f aca="false">IF(入力シート!$A184="","",2)</f>
        <v/>
      </c>
      <c r="AL180" s="25" t="str">
        <f aca="false">IF(入力シート!$A184="","","")</f>
        <v/>
      </c>
      <c r="AM180" s="25" t="str">
        <f aca="false">IF(入力シート!$A184="","","")</f>
        <v/>
      </c>
      <c r="AN180" s="25" t="str">
        <f aca="false">IF(入力シート!$A184="","",入力シート!C184)</f>
        <v/>
      </c>
      <c r="AO180" s="25" t="str">
        <f aca="false">IF(入力シート!$A184="","","")</f>
        <v/>
      </c>
      <c r="AP180" s="25" t="str">
        <f aca="false">IF(入力シート!$A184="","","")</f>
        <v/>
      </c>
      <c r="AQ180" s="25" t="str">
        <f aca="false">IF(入力シート!$A184="","","")</f>
        <v/>
      </c>
    </row>
    <row r="181" customFormat="false" ht="15" hidden="false" customHeight="true" outlineLevel="0" collapsed="false">
      <c r="A181" s="25" t="str">
        <f aca="false">IF(入力シート!$A185="","",1)</f>
        <v/>
      </c>
      <c r="B181" s="25" t="str">
        <f aca="false">IF(入力シート!$A185="","",1)</f>
        <v/>
      </c>
      <c r="C181" s="25" t="str">
        <f aca="false">IF(入力シート!$A185="","",0)</f>
        <v/>
      </c>
      <c r="D181" s="25" t="str">
        <f aca="false">IF(入力シート!$A185="","",TEXT(入力シート!A185,"YYYYMMDD"))</f>
        <v/>
      </c>
      <c r="E181" s="25" t="str">
        <f aca="false">IF(入力シート!$A185="","",TEXT(入力シート!Q185,"00000000"))</f>
        <v/>
      </c>
      <c r="F181" s="25" t="str">
        <f aca="false">IF(入力シート!$A185="","",14)</f>
        <v/>
      </c>
      <c r="G181" s="25" t="str">
        <f aca="false">IF(入力シート!$A185="","",1)</f>
        <v/>
      </c>
      <c r="H181" s="25" t="str">
        <f aca="false">IF(入力シート!$A185="","",1)</f>
        <v/>
      </c>
      <c r="I181" s="25" t="str">
        <f aca="false">IF(入力シート!$A185="","",3)</f>
        <v/>
      </c>
      <c r="J181" s="25" t="str">
        <f aca="false">IF(入力シート!$A185="","",1)</f>
        <v/>
      </c>
      <c r="K181" s="25" t="str">
        <f aca="false">IF(入力シート!$A185="","",入力シート!B185)</f>
        <v/>
      </c>
      <c r="L181" s="25" t="str">
        <f aca="false">IF(入力シート!$A185="","","")</f>
        <v/>
      </c>
      <c r="M181" s="25" t="str">
        <f aca="false">IF(入力シート!$A185="","","")</f>
        <v/>
      </c>
      <c r="N181" s="25" t="str">
        <f aca="false">IF(入力シート!$A185="","",入力シート!R185)</f>
        <v/>
      </c>
      <c r="O181" s="25" t="str">
        <f aca="false">IF(入力シート!$A185="","",IF(入力シート!G185="",1,入力シート!G185))</f>
        <v/>
      </c>
      <c r="P181" s="25" t="str">
        <f aca="false">IF(入力シート!$A185="","",入力シート!D185)</f>
        <v/>
      </c>
      <c r="Q181" s="25" t="str">
        <f aca="false">IF(入力シート!$A185="","","")</f>
        <v/>
      </c>
      <c r="R181" s="25" t="str">
        <f aca="false">IF(入力シート!$A185="","",入力シート!J185)</f>
        <v/>
      </c>
      <c r="S181" s="25" t="str">
        <f aca="false">IF(入力シート!$A185="","",入力シート!L185)</f>
        <v/>
      </c>
      <c r="T181" s="25" t="str">
        <f aca="false">IF(入力シート!$A185="","",入力シート!K185)</f>
        <v/>
      </c>
      <c r="U181" s="25" t="str">
        <f aca="false">IF(入力シート!$A185="","",0)</f>
        <v/>
      </c>
      <c r="V181" s="25" t="str">
        <f aca="false">IF(入力シート!$A185="","",0)</f>
        <v/>
      </c>
      <c r="W181" s="25" t="str">
        <f aca="false">IF(入力シート!$A185="","","0000")</f>
        <v/>
      </c>
      <c r="X181" s="25" t="str">
        <f aca="false">IF(入力シート!$A185="","",入力シート!E185)</f>
        <v/>
      </c>
      <c r="Y181" s="25" t="str">
        <f aca="false">IF(入力シート!$A185="","",入力シート!F185)</f>
        <v/>
      </c>
      <c r="Z181" s="25" t="str">
        <f aca="false">IF(入力シート!$A185="","",入力シート!O185)</f>
        <v/>
      </c>
      <c r="AA181" s="25" t="str">
        <f aca="false">IF(入力シート!$A185="","","")</f>
        <v/>
      </c>
      <c r="AB181" s="25" t="str">
        <f aca="false">IF(入力シート!$A185="","",入力シート!P185)</f>
        <v/>
      </c>
      <c r="AC181" s="25" t="str">
        <f aca="false">IF(入力シート!$A185="","",入力シート!U185)</f>
        <v/>
      </c>
      <c r="AD181" s="25" t="str">
        <f aca="false">IF(入力シート!$A185="","",0)</f>
        <v/>
      </c>
      <c r="AE181" s="25" t="str">
        <f aca="false">IF(入力シート!$A185="","",入力シート!I185)</f>
        <v/>
      </c>
      <c r="AF181" s="25" t="str">
        <f aca="false">IF(入力シート!$A185="","",入力シート!M185)</f>
        <v/>
      </c>
      <c r="AG181" s="25" t="str">
        <f aca="false">IF(入力シート!$A185="","",入力シート!N185)</f>
        <v/>
      </c>
      <c r="AH181" s="25" t="str">
        <f aca="false">IF(入力シート!$A185="","","")</f>
        <v/>
      </c>
      <c r="AI181" s="25" t="str">
        <f aca="false">IF(入力シート!$A185="","","")</f>
        <v/>
      </c>
      <c r="AJ181" s="25" t="str">
        <f aca="false">IF(入力シート!$A185="","","")</f>
        <v/>
      </c>
      <c r="AK181" s="25" t="str">
        <f aca="false">IF(入力シート!$A185="","",2)</f>
        <v/>
      </c>
      <c r="AL181" s="25" t="str">
        <f aca="false">IF(入力シート!$A185="","","")</f>
        <v/>
      </c>
      <c r="AM181" s="25" t="str">
        <f aca="false">IF(入力シート!$A185="","","")</f>
        <v/>
      </c>
      <c r="AN181" s="25" t="str">
        <f aca="false">IF(入力シート!$A185="","",入力シート!C185)</f>
        <v/>
      </c>
      <c r="AO181" s="25" t="str">
        <f aca="false">IF(入力シート!$A185="","","")</f>
        <v/>
      </c>
      <c r="AP181" s="25" t="str">
        <f aca="false">IF(入力シート!$A185="","","")</f>
        <v/>
      </c>
      <c r="AQ181" s="25" t="str">
        <f aca="false">IF(入力シート!$A185="","","")</f>
        <v/>
      </c>
    </row>
    <row r="182" customFormat="false" ht="15" hidden="false" customHeight="true" outlineLevel="0" collapsed="false">
      <c r="A182" s="25" t="str">
        <f aca="false">IF(入力シート!$A186="","",1)</f>
        <v/>
      </c>
      <c r="B182" s="25" t="str">
        <f aca="false">IF(入力シート!$A186="","",1)</f>
        <v/>
      </c>
      <c r="C182" s="25" t="str">
        <f aca="false">IF(入力シート!$A186="","",0)</f>
        <v/>
      </c>
      <c r="D182" s="25" t="str">
        <f aca="false">IF(入力シート!$A186="","",TEXT(入力シート!A186,"YYYYMMDD"))</f>
        <v/>
      </c>
      <c r="E182" s="25" t="str">
        <f aca="false">IF(入力シート!$A186="","",TEXT(入力シート!Q186,"00000000"))</f>
        <v/>
      </c>
      <c r="F182" s="25" t="str">
        <f aca="false">IF(入力シート!$A186="","",14)</f>
        <v/>
      </c>
      <c r="G182" s="25" t="str">
        <f aca="false">IF(入力シート!$A186="","",1)</f>
        <v/>
      </c>
      <c r="H182" s="25" t="str">
        <f aca="false">IF(入力シート!$A186="","",1)</f>
        <v/>
      </c>
      <c r="I182" s="25" t="str">
        <f aca="false">IF(入力シート!$A186="","",3)</f>
        <v/>
      </c>
      <c r="J182" s="25" t="str">
        <f aca="false">IF(入力シート!$A186="","",1)</f>
        <v/>
      </c>
      <c r="K182" s="25" t="str">
        <f aca="false">IF(入力シート!$A186="","",入力シート!B186)</f>
        <v/>
      </c>
      <c r="L182" s="25" t="str">
        <f aca="false">IF(入力シート!$A186="","","")</f>
        <v/>
      </c>
      <c r="M182" s="25" t="str">
        <f aca="false">IF(入力シート!$A186="","","")</f>
        <v/>
      </c>
      <c r="N182" s="25" t="str">
        <f aca="false">IF(入力シート!$A186="","",入力シート!R186)</f>
        <v/>
      </c>
      <c r="O182" s="25" t="str">
        <f aca="false">IF(入力シート!$A186="","",IF(入力シート!G186="",1,入力シート!G186))</f>
        <v/>
      </c>
      <c r="P182" s="25" t="str">
        <f aca="false">IF(入力シート!$A186="","",入力シート!D186)</f>
        <v/>
      </c>
      <c r="Q182" s="25" t="str">
        <f aca="false">IF(入力シート!$A186="","","")</f>
        <v/>
      </c>
      <c r="R182" s="25" t="str">
        <f aca="false">IF(入力シート!$A186="","",入力シート!J186)</f>
        <v/>
      </c>
      <c r="S182" s="25" t="str">
        <f aca="false">IF(入力シート!$A186="","",入力シート!L186)</f>
        <v/>
      </c>
      <c r="T182" s="25" t="str">
        <f aca="false">IF(入力シート!$A186="","",入力シート!K186)</f>
        <v/>
      </c>
      <c r="U182" s="25" t="str">
        <f aca="false">IF(入力シート!$A186="","",0)</f>
        <v/>
      </c>
      <c r="V182" s="25" t="str">
        <f aca="false">IF(入力シート!$A186="","",0)</f>
        <v/>
      </c>
      <c r="W182" s="25" t="str">
        <f aca="false">IF(入力シート!$A186="","","0000")</f>
        <v/>
      </c>
      <c r="X182" s="25" t="str">
        <f aca="false">IF(入力シート!$A186="","",入力シート!E186)</f>
        <v/>
      </c>
      <c r="Y182" s="25" t="str">
        <f aca="false">IF(入力シート!$A186="","",入力シート!F186)</f>
        <v/>
      </c>
      <c r="Z182" s="25" t="str">
        <f aca="false">IF(入力シート!$A186="","",入力シート!O186)</f>
        <v/>
      </c>
      <c r="AA182" s="25" t="str">
        <f aca="false">IF(入力シート!$A186="","","")</f>
        <v/>
      </c>
      <c r="AB182" s="25" t="str">
        <f aca="false">IF(入力シート!$A186="","",入力シート!P186)</f>
        <v/>
      </c>
      <c r="AC182" s="25" t="str">
        <f aca="false">IF(入力シート!$A186="","",入力シート!U186)</f>
        <v/>
      </c>
      <c r="AD182" s="25" t="str">
        <f aca="false">IF(入力シート!$A186="","",0)</f>
        <v/>
      </c>
      <c r="AE182" s="25" t="str">
        <f aca="false">IF(入力シート!$A186="","",入力シート!I186)</f>
        <v/>
      </c>
      <c r="AF182" s="25" t="str">
        <f aca="false">IF(入力シート!$A186="","",入力シート!M186)</f>
        <v/>
      </c>
      <c r="AG182" s="25" t="str">
        <f aca="false">IF(入力シート!$A186="","",入力シート!N186)</f>
        <v/>
      </c>
      <c r="AH182" s="25" t="str">
        <f aca="false">IF(入力シート!$A186="","","")</f>
        <v/>
      </c>
      <c r="AI182" s="25" t="str">
        <f aca="false">IF(入力シート!$A186="","","")</f>
        <v/>
      </c>
      <c r="AJ182" s="25" t="str">
        <f aca="false">IF(入力シート!$A186="","","")</f>
        <v/>
      </c>
      <c r="AK182" s="25" t="str">
        <f aca="false">IF(入力シート!$A186="","",2)</f>
        <v/>
      </c>
      <c r="AL182" s="25" t="str">
        <f aca="false">IF(入力シート!$A186="","","")</f>
        <v/>
      </c>
      <c r="AM182" s="25" t="str">
        <f aca="false">IF(入力シート!$A186="","","")</f>
        <v/>
      </c>
      <c r="AN182" s="25" t="str">
        <f aca="false">IF(入力シート!$A186="","",入力シート!C186)</f>
        <v/>
      </c>
      <c r="AO182" s="25" t="str">
        <f aca="false">IF(入力シート!$A186="","","")</f>
        <v/>
      </c>
      <c r="AP182" s="25" t="str">
        <f aca="false">IF(入力シート!$A186="","","")</f>
        <v/>
      </c>
      <c r="AQ182" s="25" t="str">
        <f aca="false">IF(入力シート!$A186="","","")</f>
        <v/>
      </c>
    </row>
    <row r="183" customFormat="false" ht="15" hidden="false" customHeight="true" outlineLevel="0" collapsed="false">
      <c r="A183" s="25" t="str">
        <f aca="false">IF(入力シート!$A187="","",1)</f>
        <v/>
      </c>
      <c r="B183" s="25" t="str">
        <f aca="false">IF(入力シート!$A187="","",1)</f>
        <v/>
      </c>
      <c r="C183" s="25" t="str">
        <f aca="false">IF(入力シート!$A187="","",0)</f>
        <v/>
      </c>
      <c r="D183" s="25" t="str">
        <f aca="false">IF(入力シート!$A187="","",TEXT(入力シート!A187,"YYYYMMDD"))</f>
        <v/>
      </c>
      <c r="E183" s="25" t="str">
        <f aca="false">IF(入力シート!$A187="","",TEXT(入力シート!Q187,"00000000"))</f>
        <v/>
      </c>
      <c r="F183" s="25" t="str">
        <f aca="false">IF(入力シート!$A187="","",14)</f>
        <v/>
      </c>
      <c r="G183" s="25" t="str">
        <f aca="false">IF(入力シート!$A187="","",1)</f>
        <v/>
      </c>
      <c r="H183" s="25" t="str">
        <f aca="false">IF(入力シート!$A187="","",1)</f>
        <v/>
      </c>
      <c r="I183" s="25" t="str">
        <f aca="false">IF(入力シート!$A187="","",3)</f>
        <v/>
      </c>
      <c r="J183" s="25" t="str">
        <f aca="false">IF(入力シート!$A187="","",1)</f>
        <v/>
      </c>
      <c r="K183" s="25" t="str">
        <f aca="false">IF(入力シート!$A187="","",入力シート!B187)</f>
        <v/>
      </c>
      <c r="L183" s="25" t="str">
        <f aca="false">IF(入力シート!$A187="","","")</f>
        <v/>
      </c>
      <c r="M183" s="25" t="str">
        <f aca="false">IF(入力シート!$A187="","","")</f>
        <v/>
      </c>
      <c r="N183" s="25" t="str">
        <f aca="false">IF(入力シート!$A187="","",入力シート!R187)</f>
        <v/>
      </c>
      <c r="O183" s="25" t="str">
        <f aca="false">IF(入力シート!$A187="","",IF(入力シート!G187="",1,入力シート!G187))</f>
        <v/>
      </c>
      <c r="P183" s="25" t="str">
        <f aca="false">IF(入力シート!$A187="","",入力シート!D187)</f>
        <v/>
      </c>
      <c r="Q183" s="25" t="str">
        <f aca="false">IF(入力シート!$A187="","","")</f>
        <v/>
      </c>
      <c r="R183" s="25" t="str">
        <f aca="false">IF(入力シート!$A187="","",入力シート!J187)</f>
        <v/>
      </c>
      <c r="S183" s="25" t="str">
        <f aca="false">IF(入力シート!$A187="","",入力シート!L187)</f>
        <v/>
      </c>
      <c r="T183" s="25" t="str">
        <f aca="false">IF(入力シート!$A187="","",入力シート!K187)</f>
        <v/>
      </c>
      <c r="U183" s="25" t="str">
        <f aca="false">IF(入力シート!$A187="","",0)</f>
        <v/>
      </c>
      <c r="V183" s="25" t="str">
        <f aca="false">IF(入力シート!$A187="","",0)</f>
        <v/>
      </c>
      <c r="W183" s="25" t="str">
        <f aca="false">IF(入力シート!$A187="","","0000")</f>
        <v/>
      </c>
      <c r="X183" s="25" t="str">
        <f aca="false">IF(入力シート!$A187="","",入力シート!E187)</f>
        <v/>
      </c>
      <c r="Y183" s="25" t="str">
        <f aca="false">IF(入力シート!$A187="","",入力シート!F187)</f>
        <v/>
      </c>
      <c r="Z183" s="25" t="str">
        <f aca="false">IF(入力シート!$A187="","",入力シート!O187)</f>
        <v/>
      </c>
      <c r="AA183" s="25" t="str">
        <f aca="false">IF(入力シート!$A187="","","")</f>
        <v/>
      </c>
      <c r="AB183" s="25" t="str">
        <f aca="false">IF(入力シート!$A187="","",入力シート!P187)</f>
        <v/>
      </c>
      <c r="AC183" s="25" t="str">
        <f aca="false">IF(入力シート!$A187="","",入力シート!U187)</f>
        <v/>
      </c>
      <c r="AD183" s="25" t="str">
        <f aca="false">IF(入力シート!$A187="","",0)</f>
        <v/>
      </c>
      <c r="AE183" s="25" t="str">
        <f aca="false">IF(入力シート!$A187="","",入力シート!I187)</f>
        <v/>
      </c>
      <c r="AF183" s="25" t="str">
        <f aca="false">IF(入力シート!$A187="","",入力シート!M187)</f>
        <v/>
      </c>
      <c r="AG183" s="25" t="str">
        <f aca="false">IF(入力シート!$A187="","",入力シート!N187)</f>
        <v/>
      </c>
      <c r="AH183" s="25" t="str">
        <f aca="false">IF(入力シート!$A187="","","")</f>
        <v/>
      </c>
      <c r="AI183" s="25" t="str">
        <f aca="false">IF(入力シート!$A187="","","")</f>
        <v/>
      </c>
      <c r="AJ183" s="25" t="str">
        <f aca="false">IF(入力シート!$A187="","","")</f>
        <v/>
      </c>
      <c r="AK183" s="25" t="str">
        <f aca="false">IF(入力シート!$A187="","",2)</f>
        <v/>
      </c>
      <c r="AL183" s="25" t="str">
        <f aca="false">IF(入力シート!$A187="","","")</f>
        <v/>
      </c>
      <c r="AM183" s="25" t="str">
        <f aca="false">IF(入力シート!$A187="","","")</f>
        <v/>
      </c>
      <c r="AN183" s="25" t="str">
        <f aca="false">IF(入力シート!$A187="","",入力シート!C187)</f>
        <v/>
      </c>
      <c r="AO183" s="25" t="str">
        <f aca="false">IF(入力シート!$A187="","","")</f>
        <v/>
      </c>
      <c r="AP183" s="25" t="str">
        <f aca="false">IF(入力シート!$A187="","","")</f>
        <v/>
      </c>
      <c r="AQ183" s="25" t="str">
        <f aca="false">IF(入力シート!$A187="","","")</f>
        <v/>
      </c>
    </row>
    <row r="184" customFormat="false" ht="15" hidden="false" customHeight="true" outlineLevel="0" collapsed="false">
      <c r="A184" s="25" t="str">
        <f aca="false">IF(入力シート!$A188="","",1)</f>
        <v/>
      </c>
      <c r="B184" s="25" t="str">
        <f aca="false">IF(入力シート!$A188="","",1)</f>
        <v/>
      </c>
      <c r="C184" s="25" t="str">
        <f aca="false">IF(入力シート!$A188="","",0)</f>
        <v/>
      </c>
      <c r="D184" s="25" t="str">
        <f aca="false">IF(入力シート!$A188="","",TEXT(入力シート!A188,"YYYYMMDD"))</f>
        <v/>
      </c>
      <c r="E184" s="25" t="str">
        <f aca="false">IF(入力シート!$A188="","",TEXT(入力シート!Q188,"00000000"))</f>
        <v/>
      </c>
      <c r="F184" s="25" t="str">
        <f aca="false">IF(入力シート!$A188="","",14)</f>
        <v/>
      </c>
      <c r="G184" s="25" t="str">
        <f aca="false">IF(入力シート!$A188="","",1)</f>
        <v/>
      </c>
      <c r="H184" s="25" t="str">
        <f aca="false">IF(入力シート!$A188="","",1)</f>
        <v/>
      </c>
      <c r="I184" s="25" t="str">
        <f aca="false">IF(入力シート!$A188="","",3)</f>
        <v/>
      </c>
      <c r="J184" s="25" t="str">
        <f aca="false">IF(入力シート!$A188="","",1)</f>
        <v/>
      </c>
      <c r="K184" s="25" t="str">
        <f aca="false">IF(入力シート!$A188="","",入力シート!B188)</f>
        <v/>
      </c>
      <c r="L184" s="25" t="str">
        <f aca="false">IF(入力シート!$A188="","","")</f>
        <v/>
      </c>
      <c r="M184" s="25" t="str">
        <f aca="false">IF(入力シート!$A188="","","")</f>
        <v/>
      </c>
      <c r="N184" s="25" t="str">
        <f aca="false">IF(入力シート!$A188="","",入力シート!R188)</f>
        <v/>
      </c>
      <c r="O184" s="25" t="str">
        <f aca="false">IF(入力シート!$A188="","",IF(入力シート!G188="",1,入力シート!G188))</f>
        <v/>
      </c>
      <c r="P184" s="25" t="str">
        <f aca="false">IF(入力シート!$A188="","",入力シート!D188)</f>
        <v/>
      </c>
      <c r="Q184" s="25" t="str">
        <f aca="false">IF(入力シート!$A188="","","")</f>
        <v/>
      </c>
      <c r="R184" s="25" t="str">
        <f aca="false">IF(入力シート!$A188="","",入力シート!J188)</f>
        <v/>
      </c>
      <c r="S184" s="25" t="str">
        <f aca="false">IF(入力シート!$A188="","",入力シート!L188)</f>
        <v/>
      </c>
      <c r="T184" s="25" t="str">
        <f aca="false">IF(入力シート!$A188="","",入力シート!K188)</f>
        <v/>
      </c>
      <c r="U184" s="25" t="str">
        <f aca="false">IF(入力シート!$A188="","",0)</f>
        <v/>
      </c>
      <c r="V184" s="25" t="str">
        <f aca="false">IF(入力シート!$A188="","",0)</f>
        <v/>
      </c>
      <c r="W184" s="25" t="str">
        <f aca="false">IF(入力シート!$A188="","","0000")</f>
        <v/>
      </c>
      <c r="X184" s="25" t="str">
        <f aca="false">IF(入力シート!$A188="","",入力シート!E188)</f>
        <v/>
      </c>
      <c r="Y184" s="25" t="str">
        <f aca="false">IF(入力シート!$A188="","",入力シート!F188)</f>
        <v/>
      </c>
      <c r="Z184" s="25" t="str">
        <f aca="false">IF(入力シート!$A188="","",入力シート!O188)</f>
        <v/>
      </c>
      <c r="AA184" s="25" t="str">
        <f aca="false">IF(入力シート!$A188="","","")</f>
        <v/>
      </c>
      <c r="AB184" s="25" t="str">
        <f aca="false">IF(入力シート!$A188="","",入力シート!P188)</f>
        <v/>
      </c>
      <c r="AC184" s="25" t="str">
        <f aca="false">IF(入力シート!$A188="","",入力シート!U188)</f>
        <v/>
      </c>
      <c r="AD184" s="25" t="str">
        <f aca="false">IF(入力シート!$A188="","",0)</f>
        <v/>
      </c>
      <c r="AE184" s="25" t="str">
        <f aca="false">IF(入力シート!$A188="","",入力シート!I188)</f>
        <v/>
      </c>
      <c r="AF184" s="25" t="str">
        <f aca="false">IF(入力シート!$A188="","",入力シート!M188)</f>
        <v/>
      </c>
      <c r="AG184" s="25" t="str">
        <f aca="false">IF(入力シート!$A188="","",入力シート!N188)</f>
        <v/>
      </c>
      <c r="AH184" s="25" t="str">
        <f aca="false">IF(入力シート!$A188="","","")</f>
        <v/>
      </c>
      <c r="AI184" s="25" t="str">
        <f aca="false">IF(入力シート!$A188="","","")</f>
        <v/>
      </c>
      <c r="AJ184" s="25" t="str">
        <f aca="false">IF(入力シート!$A188="","","")</f>
        <v/>
      </c>
      <c r="AK184" s="25" t="str">
        <f aca="false">IF(入力シート!$A188="","",2)</f>
        <v/>
      </c>
      <c r="AL184" s="25" t="str">
        <f aca="false">IF(入力シート!$A188="","","")</f>
        <v/>
      </c>
      <c r="AM184" s="25" t="str">
        <f aca="false">IF(入力シート!$A188="","","")</f>
        <v/>
      </c>
      <c r="AN184" s="25" t="str">
        <f aca="false">IF(入力シート!$A188="","",入力シート!C188)</f>
        <v/>
      </c>
      <c r="AO184" s="25" t="str">
        <f aca="false">IF(入力シート!$A188="","","")</f>
        <v/>
      </c>
      <c r="AP184" s="25" t="str">
        <f aca="false">IF(入力シート!$A188="","","")</f>
        <v/>
      </c>
      <c r="AQ184" s="25" t="str">
        <f aca="false">IF(入力シート!$A188="","","")</f>
        <v/>
      </c>
    </row>
    <row r="185" customFormat="false" ht="15" hidden="false" customHeight="true" outlineLevel="0" collapsed="false">
      <c r="A185" s="25" t="str">
        <f aca="false">IF(入力シート!$A189="","",1)</f>
        <v/>
      </c>
      <c r="B185" s="25" t="str">
        <f aca="false">IF(入力シート!$A189="","",1)</f>
        <v/>
      </c>
      <c r="C185" s="25" t="str">
        <f aca="false">IF(入力シート!$A189="","",0)</f>
        <v/>
      </c>
      <c r="D185" s="25" t="str">
        <f aca="false">IF(入力シート!$A189="","",TEXT(入力シート!A189,"YYYYMMDD"))</f>
        <v/>
      </c>
      <c r="E185" s="25" t="str">
        <f aca="false">IF(入力シート!$A189="","",TEXT(入力シート!Q189,"00000000"))</f>
        <v/>
      </c>
      <c r="F185" s="25" t="str">
        <f aca="false">IF(入力シート!$A189="","",14)</f>
        <v/>
      </c>
      <c r="G185" s="25" t="str">
        <f aca="false">IF(入力シート!$A189="","",1)</f>
        <v/>
      </c>
      <c r="H185" s="25" t="str">
        <f aca="false">IF(入力シート!$A189="","",1)</f>
        <v/>
      </c>
      <c r="I185" s="25" t="str">
        <f aca="false">IF(入力シート!$A189="","",3)</f>
        <v/>
      </c>
      <c r="J185" s="25" t="str">
        <f aca="false">IF(入力シート!$A189="","",1)</f>
        <v/>
      </c>
      <c r="K185" s="25" t="str">
        <f aca="false">IF(入力シート!$A189="","",入力シート!B189)</f>
        <v/>
      </c>
      <c r="L185" s="25" t="str">
        <f aca="false">IF(入力シート!$A189="","","")</f>
        <v/>
      </c>
      <c r="M185" s="25" t="str">
        <f aca="false">IF(入力シート!$A189="","","")</f>
        <v/>
      </c>
      <c r="N185" s="25" t="str">
        <f aca="false">IF(入力シート!$A189="","",入力シート!R189)</f>
        <v/>
      </c>
      <c r="O185" s="25" t="str">
        <f aca="false">IF(入力シート!$A189="","",IF(入力シート!G189="",1,入力シート!G189))</f>
        <v/>
      </c>
      <c r="P185" s="25" t="str">
        <f aca="false">IF(入力シート!$A189="","",入力シート!D189)</f>
        <v/>
      </c>
      <c r="Q185" s="25" t="str">
        <f aca="false">IF(入力シート!$A189="","","")</f>
        <v/>
      </c>
      <c r="R185" s="25" t="str">
        <f aca="false">IF(入力シート!$A189="","",入力シート!J189)</f>
        <v/>
      </c>
      <c r="S185" s="25" t="str">
        <f aca="false">IF(入力シート!$A189="","",入力シート!L189)</f>
        <v/>
      </c>
      <c r="T185" s="25" t="str">
        <f aca="false">IF(入力シート!$A189="","",入力シート!K189)</f>
        <v/>
      </c>
      <c r="U185" s="25" t="str">
        <f aca="false">IF(入力シート!$A189="","",0)</f>
        <v/>
      </c>
      <c r="V185" s="25" t="str">
        <f aca="false">IF(入力シート!$A189="","",0)</f>
        <v/>
      </c>
      <c r="W185" s="25" t="str">
        <f aca="false">IF(入力シート!$A189="","","0000")</f>
        <v/>
      </c>
      <c r="X185" s="25" t="str">
        <f aca="false">IF(入力シート!$A189="","",入力シート!E189)</f>
        <v/>
      </c>
      <c r="Y185" s="25" t="str">
        <f aca="false">IF(入力シート!$A189="","",入力シート!F189)</f>
        <v/>
      </c>
      <c r="Z185" s="25" t="str">
        <f aca="false">IF(入力シート!$A189="","",入力シート!O189)</f>
        <v/>
      </c>
      <c r="AA185" s="25" t="str">
        <f aca="false">IF(入力シート!$A189="","","")</f>
        <v/>
      </c>
      <c r="AB185" s="25" t="str">
        <f aca="false">IF(入力シート!$A189="","",入力シート!P189)</f>
        <v/>
      </c>
      <c r="AC185" s="25" t="str">
        <f aca="false">IF(入力シート!$A189="","",入力シート!U189)</f>
        <v/>
      </c>
      <c r="AD185" s="25" t="str">
        <f aca="false">IF(入力シート!$A189="","",0)</f>
        <v/>
      </c>
      <c r="AE185" s="25" t="str">
        <f aca="false">IF(入力シート!$A189="","",入力シート!I189)</f>
        <v/>
      </c>
      <c r="AF185" s="25" t="str">
        <f aca="false">IF(入力シート!$A189="","",入力シート!M189)</f>
        <v/>
      </c>
      <c r="AG185" s="25" t="str">
        <f aca="false">IF(入力シート!$A189="","",入力シート!N189)</f>
        <v/>
      </c>
      <c r="AH185" s="25" t="str">
        <f aca="false">IF(入力シート!$A189="","","")</f>
        <v/>
      </c>
      <c r="AI185" s="25" t="str">
        <f aca="false">IF(入力シート!$A189="","","")</f>
        <v/>
      </c>
      <c r="AJ185" s="25" t="str">
        <f aca="false">IF(入力シート!$A189="","","")</f>
        <v/>
      </c>
      <c r="AK185" s="25" t="str">
        <f aca="false">IF(入力シート!$A189="","",2)</f>
        <v/>
      </c>
      <c r="AL185" s="25" t="str">
        <f aca="false">IF(入力シート!$A189="","","")</f>
        <v/>
      </c>
      <c r="AM185" s="25" t="str">
        <f aca="false">IF(入力シート!$A189="","","")</f>
        <v/>
      </c>
      <c r="AN185" s="25" t="str">
        <f aca="false">IF(入力シート!$A189="","",入力シート!C189)</f>
        <v/>
      </c>
      <c r="AO185" s="25" t="str">
        <f aca="false">IF(入力シート!$A189="","","")</f>
        <v/>
      </c>
      <c r="AP185" s="25" t="str">
        <f aca="false">IF(入力シート!$A189="","","")</f>
        <v/>
      </c>
      <c r="AQ185" s="25" t="str">
        <f aca="false">IF(入力シート!$A189="","","")</f>
        <v/>
      </c>
    </row>
    <row r="186" customFormat="false" ht="15" hidden="false" customHeight="true" outlineLevel="0" collapsed="false">
      <c r="A186" s="25" t="str">
        <f aca="false">IF(入力シート!$A190="","",1)</f>
        <v/>
      </c>
      <c r="B186" s="25" t="str">
        <f aca="false">IF(入力シート!$A190="","",1)</f>
        <v/>
      </c>
      <c r="C186" s="25" t="str">
        <f aca="false">IF(入力シート!$A190="","",0)</f>
        <v/>
      </c>
      <c r="D186" s="25" t="str">
        <f aca="false">IF(入力シート!$A190="","",TEXT(入力シート!A190,"YYYYMMDD"))</f>
        <v/>
      </c>
      <c r="E186" s="25" t="str">
        <f aca="false">IF(入力シート!$A190="","",TEXT(入力シート!Q190,"00000000"))</f>
        <v/>
      </c>
      <c r="F186" s="25" t="str">
        <f aca="false">IF(入力シート!$A190="","",14)</f>
        <v/>
      </c>
      <c r="G186" s="25" t="str">
        <f aca="false">IF(入力シート!$A190="","",1)</f>
        <v/>
      </c>
      <c r="H186" s="25" t="str">
        <f aca="false">IF(入力シート!$A190="","",1)</f>
        <v/>
      </c>
      <c r="I186" s="25" t="str">
        <f aca="false">IF(入力シート!$A190="","",3)</f>
        <v/>
      </c>
      <c r="J186" s="25" t="str">
        <f aca="false">IF(入力シート!$A190="","",1)</f>
        <v/>
      </c>
      <c r="K186" s="25" t="str">
        <f aca="false">IF(入力シート!$A190="","",入力シート!B190)</f>
        <v/>
      </c>
      <c r="L186" s="25" t="str">
        <f aca="false">IF(入力シート!$A190="","","")</f>
        <v/>
      </c>
      <c r="M186" s="25" t="str">
        <f aca="false">IF(入力シート!$A190="","","")</f>
        <v/>
      </c>
      <c r="N186" s="25" t="str">
        <f aca="false">IF(入力シート!$A190="","",入力シート!R190)</f>
        <v/>
      </c>
      <c r="O186" s="25" t="str">
        <f aca="false">IF(入力シート!$A190="","",IF(入力シート!G190="",1,入力シート!G190))</f>
        <v/>
      </c>
      <c r="P186" s="25" t="str">
        <f aca="false">IF(入力シート!$A190="","",入力シート!D190)</f>
        <v/>
      </c>
      <c r="Q186" s="25" t="str">
        <f aca="false">IF(入力シート!$A190="","","")</f>
        <v/>
      </c>
      <c r="R186" s="25" t="str">
        <f aca="false">IF(入力シート!$A190="","",入力シート!J190)</f>
        <v/>
      </c>
      <c r="S186" s="25" t="str">
        <f aca="false">IF(入力シート!$A190="","",入力シート!L190)</f>
        <v/>
      </c>
      <c r="T186" s="25" t="str">
        <f aca="false">IF(入力シート!$A190="","",入力シート!K190)</f>
        <v/>
      </c>
      <c r="U186" s="25" t="str">
        <f aca="false">IF(入力シート!$A190="","",0)</f>
        <v/>
      </c>
      <c r="V186" s="25" t="str">
        <f aca="false">IF(入力シート!$A190="","",0)</f>
        <v/>
      </c>
      <c r="W186" s="25" t="str">
        <f aca="false">IF(入力シート!$A190="","","0000")</f>
        <v/>
      </c>
      <c r="X186" s="25" t="str">
        <f aca="false">IF(入力シート!$A190="","",入力シート!E190)</f>
        <v/>
      </c>
      <c r="Y186" s="25" t="str">
        <f aca="false">IF(入力シート!$A190="","",入力シート!F190)</f>
        <v/>
      </c>
      <c r="Z186" s="25" t="str">
        <f aca="false">IF(入力シート!$A190="","",入力シート!O190)</f>
        <v/>
      </c>
      <c r="AA186" s="25" t="str">
        <f aca="false">IF(入力シート!$A190="","","")</f>
        <v/>
      </c>
      <c r="AB186" s="25" t="str">
        <f aca="false">IF(入力シート!$A190="","",入力シート!P190)</f>
        <v/>
      </c>
      <c r="AC186" s="25" t="str">
        <f aca="false">IF(入力シート!$A190="","",入力シート!U190)</f>
        <v/>
      </c>
      <c r="AD186" s="25" t="str">
        <f aca="false">IF(入力シート!$A190="","",0)</f>
        <v/>
      </c>
      <c r="AE186" s="25" t="str">
        <f aca="false">IF(入力シート!$A190="","",入力シート!I190)</f>
        <v/>
      </c>
      <c r="AF186" s="25" t="str">
        <f aca="false">IF(入力シート!$A190="","",入力シート!M190)</f>
        <v/>
      </c>
      <c r="AG186" s="25" t="str">
        <f aca="false">IF(入力シート!$A190="","",入力シート!N190)</f>
        <v/>
      </c>
      <c r="AH186" s="25" t="str">
        <f aca="false">IF(入力シート!$A190="","","")</f>
        <v/>
      </c>
      <c r="AI186" s="25" t="str">
        <f aca="false">IF(入力シート!$A190="","","")</f>
        <v/>
      </c>
      <c r="AJ186" s="25" t="str">
        <f aca="false">IF(入力シート!$A190="","","")</f>
        <v/>
      </c>
      <c r="AK186" s="25" t="str">
        <f aca="false">IF(入力シート!$A190="","",2)</f>
        <v/>
      </c>
      <c r="AL186" s="25" t="str">
        <f aca="false">IF(入力シート!$A190="","","")</f>
        <v/>
      </c>
      <c r="AM186" s="25" t="str">
        <f aca="false">IF(入力シート!$A190="","","")</f>
        <v/>
      </c>
      <c r="AN186" s="25" t="str">
        <f aca="false">IF(入力シート!$A190="","",入力シート!C190)</f>
        <v/>
      </c>
      <c r="AO186" s="25" t="str">
        <f aca="false">IF(入力シート!$A190="","","")</f>
        <v/>
      </c>
      <c r="AP186" s="25" t="str">
        <f aca="false">IF(入力シート!$A190="","","")</f>
        <v/>
      </c>
      <c r="AQ186" s="25" t="str">
        <f aca="false">IF(入力シート!$A190="","","")</f>
        <v/>
      </c>
    </row>
    <row r="187" customFormat="false" ht="15" hidden="false" customHeight="true" outlineLevel="0" collapsed="false">
      <c r="A187" s="25" t="str">
        <f aca="false">IF(入力シート!$A191="","",1)</f>
        <v/>
      </c>
      <c r="B187" s="25" t="str">
        <f aca="false">IF(入力シート!$A191="","",1)</f>
        <v/>
      </c>
      <c r="C187" s="25" t="str">
        <f aca="false">IF(入力シート!$A191="","",0)</f>
        <v/>
      </c>
      <c r="D187" s="25" t="str">
        <f aca="false">IF(入力シート!$A191="","",TEXT(入力シート!A191,"YYYYMMDD"))</f>
        <v/>
      </c>
      <c r="E187" s="25" t="str">
        <f aca="false">IF(入力シート!$A191="","",TEXT(入力シート!Q191,"00000000"))</f>
        <v/>
      </c>
      <c r="F187" s="25" t="str">
        <f aca="false">IF(入力シート!$A191="","",14)</f>
        <v/>
      </c>
      <c r="G187" s="25" t="str">
        <f aca="false">IF(入力シート!$A191="","",1)</f>
        <v/>
      </c>
      <c r="H187" s="25" t="str">
        <f aca="false">IF(入力シート!$A191="","",1)</f>
        <v/>
      </c>
      <c r="I187" s="25" t="str">
        <f aca="false">IF(入力シート!$A191="","",3)</f>
        <v/>
      </c>
      <c r="J187" s="25" t="str">
        <f aca="false">IF(入力シート!$A191="","",1)</f>
        <v/>
      </c>
      <c r="K187" s="25" t="str">
        <f aca="false">IF(入力シート!$A191="","",入力シート!B191)</f>
        <v/>
      </c>
      <c r="L187" s="25" t="str">
        <f aca="false">IF(入力シート!$A191="","","")</f>
        <v/>
      </c>
      <c r="M187" s="25" t="str">
        <f aca="false">IF(入力シート!$A191="","","")</f>
        <v/>
      </c>
      <c r="N187" s="25" t="str">
        <f aca="false">IF(入力シート!$A191="","",入力シート!R191)</f>
        <v/>
      </c>
      <c r="O187" s="25" t="str">
        <f aca="false">IF(入力シート!$A191="","",IF(入力シート!G191="",1,入力シート!G191))</f>
        <v/>
      </c>
      <c r="P187" s="25" t="str">
        <f aca="false">IF(入力シート!$A191="","",入力シート!D191)</f>
        <v/>
      </c>
      <c r="Q187" s="25" t="str">
        <f aca="false">IF(入力シート!$A191="","","")</f>
        <v/>
      </c>
      <c r="R187" s="25" t="str">
        <f aca="false">IF(入力シート!$A191="","",入力シート!J191)</f>
        <v/>
      </c>
      <c r="S187" s="25" t="str">
        <f aca="false">IF(入力シート!$A191="","",入力シート!L191)</f>
        <v/>
      </c>
      <c r="T187" s="25" t="str">
        <f aca="false">IF(入力シート!$A191="","",入力シート!K191)</f>
        <v/>
      </c>
      <c r="U187" s="25" t="str">
        <f aca="false">IF(入力シート!$A191="","",0)</f>
        <v/>
      </c>
      <c r="V187" s="25" t="str">
        <f aca="false">IF(入力シート!$A191="","",0)</f>
        <v/>
      </c>
      <c r="W187" s="25" t="str">
        <f aca="false">IF(入力シート!$A191="","","0000")</f>
        <v/>
      </c>
      <c r="X187" s="25" t="str">
        <f aca="false">IF(入力シート!$A191="","",入力シート!E191)</f>
        <v/>
      </c>
      <c r="Y187" s="25" t="str">
        <f aca="false">IF(入力シート!$A191="","",入力シート!F191)</f>
        <v/>
      </c>
      <c r="Z187" s="25" t="str">
        <f aca="false">IF(入力シート!$A191="","",入力シート!O191)</f>
        <v/>
      </c>
      <c r="AA187" s="25" t="str">
        <f aca="false">IF(入力シート!$A191="","","")</f>
        <v/>
      </c>
      <c r="AB187" s="25" t="str">
        <f aca="false">IF(入力シート!$A191="","",入力シート!P191)</f>
        <v/>
      </c>
      <c r="AC187" s="25" t="str">
        <f aca="false">IF(入力シート!$A191="","",入力シート!U191)</f>
        <v/>
      </c>
      <c r="AD187" s="25" t="str">
        <f aca="false">IF(入力シート!$A191="","",0)</f>
        <v/>
      </c>
      <c r="AE187" s="25" t="str">
        <f aca="false">IF(入力シート!$A191="","",入力シート!I191)</f>
        <v/>
      </c>
      <c r="AF187" s="25" t="str">
        <f aca="false">IF(入力シート!$A191="","",入力シート!M191)</f>
        <v/>
      </c>
      <c r="AG187" s="25" t="str">
        <f aca="false">IF(入力シート!$A191="","",入力シート!N191)</f>
        <v/>
      </c>
      <c r="AH187" s="25" t="str">
        <f aca="false">IF(入力シート!$A191="","","")</f>
        <v/>
      </c>
      <c r="AI187" s="25" t="str">
        <f aca="false">IF(入力シート!$A191="","","")</f>
        <v/>
      </c>
      <c r="AJ187" s="25" t="str">
        <f aca="false">IF(入力シート!$A191="","","")</f>
        <v/>
      </c>
      <c r="AK187" s="25" t="str">
        <f aca="false">IF(入力シート!$A191="","",2)</f>
        <v/>
      </c>
      <c r="AL187" s="25" t="str">
        <f aca="false">IF(入力シート!$A191="","","")</f>
        <v/>
      </c>
      <c r="AM187" s="25" t="str">
        <f aca="false">IF(入力シート!$A191="","","")</f>
        <v/>
      </c>
      <c r="AN187" s="25" t="str">
        <f aca="false">IF(入力シート!$A191="","",入力シート!C191)</f>
        <v/>
      </c>
      <c r="AO187" s="25" t="str">
        <f aca="false">IF(入力シート!$A191="","","")</f>
        <v/>
      </c>
      <c r="AP187" s="25" t="str">
        <f aca="false">IF(入力シート!$A191="","","")</f>
        <v/>
      </c>
      <c r="AQ187" s="25" t="str">
        <f aca="false">IF(入力シート!$A191="","","")</f>
        <v/>
      </c>
    </row>
    <row r="188" customFormat="false" ht="15" hidden="false" customHeight="true" outlineLevel="0" collapsed="false">
      <c r="A188" s="25" t="str">
        <f aca="false">IF(入力シート!$A192="","",1)</f>
        <v/>
      </c>
      <c r="B188" s="25" t="str">
        <f aca="false">IF(入力シート!$A192="","",1)</f>
        <v/>
      </c>
      <c r="C188" s="25" t="str">
        <f aca="false">IF(入力シート!$A192="","",0)</f>
        <v/>
      </c>
      <c r="D188" s="25" t="str">
        <f aca="false">IF(入力シート!$A192="","",TEXT(入力シート!A192,"YYYYMMDD"))</f>
        <v/>
      </c>
      <c r="E188" s="25" t="str">
        <f aca="false">IF(入力シート!$A192="","",TEXT(入力シート!Q192,"00000000"))</f>
        <v/>
      </c>
      <c r="F188" s="25" t="str">
        <f aca="false">IF(入力シート!$A192="","",14)</f>
        <v/>
      </c>
      <c r="G188" s="25" t="str">
        <f aca="false">IF(入力シート!$A192="","",1)</f>
        <v/>
      </c>
      <c r="H188" s="25" t="str">
        <f aca="false">IF(入力シート!$A192="","",1)</f>
        <v/>
      </c>
      <c r="I188" s="25" t="str">
        <f aca="false">IF(入力シート!$A192="","",3)</f>
        <v/>
      </c>
      <c r="J188" s="25" t="str">
        <f aca="false">IF(入力シート!$A192="","",1)</f>
        <v/>
      </c>
      <c r="K188" s="25" t="str">
        <f aca="false">IF(入力シート!$A192="","",入力シート!B192)</f>
        <v/>
      </c>
      <c r="L188" s="25" t="str">
        <f aca="false">IF(入力シート!$A192="","","")</f>
        <v/>
      </c>
      <c r="M188" s="25" t="str">
        <f aca="false">IF(入力シート!$A192="","","")</f>
        <v/>
      </c>
      <c r="N188" s="25" t="str">
        <f aca="false">IF(入力シート!$A192="","",入力シート!R192)</f>
        <v/>
      </c>
      <c r="O188" s="25" t="str">
        <f aca="false">IF(入力シート!$A192="","",IF(入力シート!G192="",1,入力シート!G192))</f>
        <v/>
      </c>
      <c r="P188" s="25" t="str">
        <f aca="false">IF(入力シート!$A192="","",入力シート!D192)</f>
        <v/>
      </c>
      <c r="Q188" s="25" t="str">
        <f aca="false">IF(入力シート!$A192="","","")</f>
        <v/>
      </c>
      <c r="R188" s="25" t="str">
        <f aca="false">IF(入力シート!$A192="","",入力シート!J192)</f>
        <v/>
      </c>
      <c r="S188" s="25" t="str">
        <f aca="false">IF(入力シート!$A192="","",入力シート!L192)</f>
        <v/>
      </c>
      <c r="T188" s="25" t="str">
        <f aca="false">IF(入力シート!$A192="","",入力シート!K192)</f>
        <v/>
      </c>
      <c r="U188" s="25" t="str">
        <f aca="false">IF(入力シート!$A192="","",0)</f>
        <v/>
      </c>
      <c r="V188" s="25" t="str">
        <f aca="false">IF(入力シート!$A192="","",0)</f>
        <v/>
      </c>
      <c r="W188" s="25" t="str">
        <f aca="false">IF(入力シート!$A192="","","0000")</f>
        <v/>
      </c>
      <c r="X188" s="25" t="str">
        <f aca="false">IF(入力シート!$A192="","",入力シート!E192)</f>
        <v/>
      </c>
      <c r="Y188" s="25" t="str">
        <f aca="false">IF(入力シート!$A192="","",入力シート!F192)</f>
        <v/>
      </c>
      <c r="Z188" s="25" t="str">
        <f aca="false">IF(入力シート!$A192="","",入力シート!O192)</f>
        <v/>
      </c>
      <c r="AA188" s="25" t="str">
        <f aca="false">IF(入力シート!$A192="","","")</f>
        <v/>
      </c>
      <c r="AB188" s="25" t="str">
        <f aca="false">IF(入力シート!$A192="","",入力シート!P192)</f>
        <v/>
      </c>
      <c r="AC188" s="25" t="str">
        <f aca="false">IF(入力シート!$A192="","",入力シート!U192)</f>
        <v/>
      </c>
      <c r="AD188" s="25" t="str">
        <f aca="false">IF(入力シート!$A192="","",0)</f>
        <v/>
      </c>
      <c r="AE188" s="25" t="str">
        <f aca="false">IF(入力シート!$A192="","",入力シート!I192)</f>
        <v/>
      </c>
      <c r="AF188" s="25" t="str">
        <f aca="false">IF(入力シート!$A192="","",入力シート!M192)</f>
        <v/>
      </c>
      <c r="AG188" s="25" t="str">
        <f aca="false">IF(入力シート!$A192="","",入力シート!N192)</f>
        <v/>
      </c>
      <c r="AH188" s="25" t="str">
        <f aca="false">IF(入力シート!$A192="","","")</f>
        <v/>
      </c>
      <c r="AI188" s="25" t="str">
        <f aca="false">IF(入力シート!$A192="","","")</f>
        <v/>
      </c>
      <c r="AJ188" s="25" t="str">
        <f aca="false">IF(入力シート!$A192="","","")</f>
        <v/>
      </c>
      <c r="AK188" s="25" t="str">
        <f aca="false">IF(入力シート!$A192="","",2)</f>
        <v/>
      </c>
      <c r="AL188" s="25" t="str">
        <f aca="false">IF(入力シート!$A192="","","")</f>
        <v/>
      </c>
      <c r="AM188" s="25" t="str">
        <f aca="false">IF(入力シート!$A192="","","")</f>
        <v/>
      </c>
      <c r="AN188" s="25" t="str">
        <f aca="false">IF(入力シート!$A192="","",入力シート!C192)</f>
        <v/>
      </c>
      <c r="AO188" s="25" t="str">
        <f aca="false">IF(入力シート!$A192="","","")</f>
        <v/>
      </c>
      <c r="AP188" s="25" t="str">
        <f aca="false">IF(入力シート!$A192="","","")</f>
        <v/>
      </c>
      <c r="AQ188" s="25" t="str">
        <f aca="false">IF(入力シート!$A192="","","")</f>
        <v/>
      </c>
    </row>
    <row r="189" customFormat="false" ht="15" hidden="false" customHeight="true" outlineLevel="0" collapsed="false">
      <c r="A189" s="25" t="str">
        <f aca="false">IF(入力シート!$A193="","",1)</f>
        <v/>
      </c>
      <c r="B189" s="25" t="str">
        <f aca="false">IF(入力シート!$A193="","",1)</f>
        <v/>
      </c>
      <c r="C189" s="25" t="str">
        <f aca="false">IF(入力シート!$A193="","",0)</f>
        <v/>
      </c>
      <c r="D189" s="25" t="str">
        <f aca="false">IF(入力シート!$A193="","",TEXT(入力シート!A193,"YYYYMMDD"))</f>
        <v/>
      </c>
      <c r="E189" s="25" t="str">
        <f aca="false">IF(入力シート!$A193="","",TEXT(入力シート!Q193,"00000000"))</f>
        <v/>
      </c>
      <c r="F189" s="25" t="str">
        <f aca="false">IF(入力シート!$A193="","",14)</f>
        <v/>
      </c>
      <c r="G189" s="25" t="str">
        <f aca="false">IF(入力シート!$A193="","",1)</f>
        <v/>
      </c>
      <c r="H189" s="25" t="str">
        <f aca="false">IF(入力シート!$A193="","",1)</f>
        <v/>
      </c>
      <c r="I189" s="25" t="str">
        <f aca="false">IF(入力シート!$A193="","",3)</f>
        <v/>
      </c>
      <c r="J189" s="25" t="str">
        <f aca="false">IF(入力シート!$A193="","",1)</f>
        <v/>
      </c>
      <c r="K189" s="25" t="str">
        <f aca="false">IF(入力シート!$A193="","",入力シート!B193)</f>
        <v/>
      </c>
      <c r="L189" s="25" t="str">
        <f aca="false">IF(入力シート!$A193="","","")</f>
        <v/>
      </c>
      <c r="M189" s="25" t="str">
        <f aca="false">IF(入力シート!$A193="","","")</f>
        <v/>
      </c>
      <c r="N189" s="25" t="str">
        <f aca="false">IF(入力シート!$A193="","",入力シート!R193)</f>
        <v/>
      </c>
      <c r="O189" s="25" t="str">
        <f aca="false">IF(入力シート!$A193="","",IF(入力シート!G193="",1,入力シート!G193))</f>
        <v/>
      </c>
      <c r="P189" s="25" t="str">
        <f aca="false">IF(入力シート!$A193="","",入力シート!D193)</f>
        <v/>
      </c>
      <c r="Q189" s="25" t="str">
        <f aca="false">IF(入力シート!$A193="","","")</f>
        <v/>
      </c>
      <c r="R189" s="25" t="str">
        <f aca="false">IF(入力シート!$A193="","",入力シート!J193)</f>
        <v/>
      </c>
      <c r="S189" s="25" t="str">
        <f aca="false">IF(入力シート!$A193="","",入力シート!L193)</f>
        <v/>
      </c>
      <c r="T189" s="25" t="str">
        <f aca="false">IF(入力シート!$A193="","",入力シート!K193)</f>
        <v/>
      </c>
      <c r="U189" s="25" t="str">
        <f aca="false">IF(入力シート!$A193="","",0)</f>
        <v/>
      </c>
      <c r="V189" s="25" t="str">
        <f aca="false">IF(入力シート!$A193="","",0)</f>
        <v/>
      </c>
      <c r="W189" s="25" t="str">
        <f aca="false">IF(入力シート!$A193="","","0000")</f>
        <v/>
      </c>
      <c r="X189" s="25" t="str">
        <f aca="false">IF(入力シート!$A193="","",入力シート!E193)</f>
        <v/>
      </c>
      <c r="Y189" s="25" t="str">
        <f aca="false">IF(入力シート!$A193="","",入力シート!F193)</f>
        <v/>
      </c>
      <c r="Z189" s="25" t="str">
        <f aca="false">IF(入力シート!$A193="","",入力シート!O193)</f>
        <v/>
      </c>
      <c r="AA189" s="25" t="str">
        <f aca="false">IF(入力シート!$A193="","","")</f>
        <v/>
      </c>
      <c r="AB189" s="25" t="str">
        <f aca="false">IF(入力シート!$A193="","",入力シート!P193)</f>
        <v/>
      </c>
      <c r="AC189" s="25" t="str">
        <f aca="false">IF(入力シート!$A193="","",入力シート!U193)</f>
        <v/>
      </c>
      <c r="AD189" s="25" t="str">
        <f aca="false">IF(入力シート!$A193="","",0)</f>
        <v/>
      </c>
      <c r="AE189" s="25" t="str">
        <f aca="false">IF(入力シート!$A193="","",入力シート!I193)</f>
        <v/>
      </c>
      <c r="AF189" s="25" t="str">
        <f aca="false">IF(入力シート!$A193="","",入力シート!M193)</f>
        <v/>
      </c>
      <c r="AG189" s="25" t="str">
        <f aca="false">IF(入力シート!$A193="","",入力シート!N193)</f>
        <v/>
      </c>
      <c r="AH189" s="25" t="str">
        <f aca="false">IF(入力シート!$A193="","","")</f>
        <v/>
      </c>
      <c r="AI189" s="25" t="str">
        <f aca="false">IF(入力シート!$A193="","","")</f>
        <v/>
      </c>
      <c r="AJ189" s="25" t="str">
        <f aca="false">IF(入力シート!$A193="","","")</f>
        <v/>
      </c>
      <c r="AK189" s="25" t="str">
        <f aca="false">IF(入力シート!$A193="","",2)</f>
        <v/>
      </c>
      <c r="AL189" s="25" t="str">
        <f aca="false">IF(入力シート!$A193="","","")</f>
        <v/>
      </c>
      <c r="AM189" s="25" t="str">
        <f aca="false">IF(入力シート!$A193="","","")</f>
        <v/>
      </c>
      <c r="AN189" s="25" t="str">
        <f aca="false">IF(入力シート!$A193="","",入力シート!C193)</f>
        <v/>
      </c>
      <c r="AO189" s="25" t="str">
        <f aca="false">IF(入力シート!$A193="","","")</f>
        <v/>
      </c>
      <c r="AP189" s="25" t="str">
        <f aca="false">IF(入力シート!$A193="","","")</f>
        <v/>
      </c>
      <c r="AQ189" s="25" t="str">
        <f aca="false">IF(入力シート!$A193="","","")</f>
        <v/>
      </c>
    </row>
    <row r="190" customFormat="false" ht="15" hidden="false" customHeight="true" outlineLevel="0" collapsed="false">
      <c r="A190" s="25" t="str">
        <f aca="false">IF(入力シート!$A194="","",1)</f>
        <v/>
      </c>
      <c r="B190" s="25" t="str">
        <f aca="false">IF(入力シート!$A194="","",1)</f>
        <v/>
      </c>
      <c r="C190" s="25" t="str">
        <f aca="false">IF(入力シート!$A194="","",0)</f>
        <v/>
      </c>
      <c r="D190" s="25" t="str">
        <f aca="false">IF(入力シート!$A194="","",TEXT(入力シート!A194,"YYYYMMDD"))</f>
        <v/>
      </c>
      <c r="E190" s="25" t="str">
        <f aca="false">IF(入力シート!$A194="","",TEXT(入力シート!Q194,"00000000"))</f>
        <v/>
      </c>
      <c r="F190" s="25" t="str">
        <f aca="false">IF(入力シート!$A194="","",14)</f>
        <v/>
      </c>
      <c r="G190" s="25" t="str">
        <f aca="false">IF(入力シート!$A194="","",1)</f>
        <v/>
      </c>
      <c r="H190" s="25" t="str">
        <f aca="false">IF(入力シート!$A194="","",1)</f>
        <v/>
      </c>
      <c r="I190" s="25" t="str">
        <f aca="false">IF(入力シート!$A194="","",3)</f>
        <v/>
      </c>
      <c r="J190" s="25" t="str">
        <f aca="false">IF(入力シート!$A194="","",1)</f>
        <v/>
      </c>
      <c r="K190" s="25" t="str">
        <f aca="false">IF(入力シート!$A194="","",入力シート!B194)</f>
        <v/>
      </c>
      <c r="L190" s="25" t="str">
        <f aca="false">IF(入力シート!$A194="","","")</f>
        <v/>
      </c>
      <c r="M190" s="25" t="str">
        <f aca="false">IF(入力シート!$A194="","","")</f>
        <v/>
      </c>
      <c r="N190" s="25" t="str">
        <f aca="false">IF(入力シート!$A194="","",入力シート!R194)</f>
        <v/>
      </c>
      <c r="O190" s="25" t="str">
        <f aca="false">IF(入力シート!$A194="","",IF(入力シート!G194="",1,入力シート!G194))</f>
        <v/>
      </c>
      <c r="P190" s="25" t="str">
        <f aca="false">IF(入力シート!$A194="","",入力シート!D194)</f>
        <v/>
      </c>
      <c r="Q190" s="25" t="str">
        <f aca="false">IF(入力シート!$A194="","","")</f>
        <v/>
      </c>
      <c r="R190" s="25" t="str">
        <f aca="false">IF(入力シート!$A194="","",入力シート!J194)</f>
        <v/>
      </c>
      <c r="S190" s="25" t="str">
        <f aca="false">IF(入力シート!$A194="","",入力シート!L194)</f>
        <v/>
      </c>
      <c r="T190" s="25" t="str">
        <f aca="false">IF(入力シート!$A194="","",入力シート!K194)</f>
        <v/>
      </c>
      <c r="U190" s="25" t="str">
        <f aca="false">IF(入力シート!$A194="","",0)</f>
        <v/>
      </c>
      <c r="V190" s="25" t="str">
        <f aca="false">IF(入力シート!$A194="","",0)</f>
        <v/>
      </c>
      <c r="W190" s="25" t="str">
        <f aca="false">IF(入力シート!$A194="","","0000")</f>
        <v/>
      </c>
      <c r="X190" s="25" t="str">
        <f aca="false">IF(入力シート!$A194="","",入力シート!E194)</f>
        <v/>
      </c>
      <c r="Y190" s="25" t="str">
        <f aca="false">IF(入力シート!$A194="","",入力シート!F194)</f>
        <v/>
      </c>
      <c r="Z190" s="25" t="str">
        <f aca="false">IF(入力シート!$A194="","",入力シート!O194)</f>
        <v/>
      </c>
      <c r="AA190" s="25" t="str">
        <f aca="false">IF(入力シート!$A194="","","")</f>
        <v/>
      </c>
      <c r="AB190" s="25" t="str">
        <f aca="false">IF(入力シート!$A194="","",入力シート!P194)</f>
        <v/>
      </c>
      <c r="AC190" s="25" t="str">
        <f aca="false">IF(入力シート!$A194="","",入力シート!U194)</f>
        <v/>
      </c>
      <c r="AD190" s="25" t="str">
        <f aca="false">IF(入力シート!$A194="","",0)</f>
        <v/>
      </c>
      <c r="AE190" s="25" t="str">
        <f aca="false">IF(入力シート!$A194="","",入力シート!I194)</f>
        <v/>
      </c>
      <c r="AF190" s="25" t="str">
        <f aca="false">IF(入力シート!$A194="","",入力シート!M194)</f>
        <v/>
      </c>
      <c r="AG190" s="25" t="str">
        <f aca="false">IF(入力シート!$A194="","",入力シート!N194)</f>
        <v/>
      </c>
      <c r="AH190" s="25" t="str">
        <f aca="false">IF(入力シート!$A194="","","")</f>
        <v/>
      </c>
      <c r="AI190" s="25" t="str">
        <f aca="false">IF(入力シート!$A194="","","")</f>
        <v/>
      </c>
      <c r="AJ190" s="25" t="str">
        <f aca="false">IF(入力シート!$A194="","","")</f>
        <v/>
      </c>
      <c r="AK190" s="25" t="str">
        <f aca="false">IF(入力シート!$A194="","",2)</f>
        <v/>
      </c>
      <c r="AL190" s="25" t="str">
        <f aca="false">IF(入力シート!$A194="","","")</f>
        <v/>
      </c>
      <c r="AM190" s="25" t="str">
        <f aca="false">IF(入力シート!$A194="","","")</f>
        <v/>
      </c>
      <c r="AN190" s="25" t="str">
        <f aca="false">IF(入力シート!$A194="","",入力シート!C194)</f>
        <v/>
      </c>
      <c r="AO190" s="25" t="str">
        <f aca="false">IF(入力シート!$A194="","","")</f>
        <v/>
      </c>
      <c r="AP190" s="25" t="str">
        <f aca="false">IF(入力シート!$A194="","","")</f>
        <v/>
      </c>
      <c r="AQ190" s="25" t="str">
        <f aca="false">IF(入力シート!$A194="","","")</f>
        <v/>
      </c>
    </row>
    <row r="191" customFormat="false" ht="15" hidden="false" customHeight="true" outlineLevel="0" collapsed="false">
      <c r="A191" s="25" t="str">
        <f aca="false">IF(入力シート!$A195="","",1)</f>
        <v/>
      </c>
      <c r="B191" s="25" t="str">
        <f aca="false">IF(入力シート!$A195="","",1)</f>
        <v/>
      </c>
      <c r="C191" s="25" t="str">
        <f aca="false">IF(入力シート!$A195="","",0)</f>
        <v/>
      </c>
      <c r="D191" s="25" t="str">
        <f aca="false">IF(入力シート!$A195="","",TEXT(入力シート!A195,"YYYYMMDD"))</f>
        <v/>
      </c>
      <c r="E191" s="25" t="str">
        <f aca="false">IF(入力シート!$A195="","",TEXT(入力シート!Q195,"00000000"))</f>
        <v/>
      </c>
      <c r="F191" s="25" t="str">
        <f aca="false">IF(入力シート!$A195="","",14)</f>
        <v/>
      </c>
      <c r="G191" s="25" t="str">
        <f aca="false">IF(入力シート!$A195="","",1)</f>
        <v/>
      </c>
      <c r="H191" s="25" t="str">
        <f aca="false">IF(入力シート!$A195="","",1)</f>
        <v/>
      </c>
      <c r="I191" s="25" t="str">
        <f aca="false">IF(入力シート!$A195="","",3)</f>
        <v/>
      </c>
      <c r="J191" s="25" t="str">
        <f aca="false">IF(入力シート!$A195="","",1)</f>
        <v/>
      </c>
      <c r="K191" s="25" t="str">
        <f aca="false">IF(入力シート!$A195="","",入力シート!B195)</f>
        <v/>
      </c>
      <c r="L191" s="25" t="str">
        <f aca="false">IF(入力シート!$A195="","","")</f>
        <v/>
      </c>
      <c r="M191" s="25" t="str">
        <f aca="false">IF(入力シート!$A195="","","")</f>
        <v/>
      </c>
      <c r="N191" s="25" t="str">
        <f aca="false">IF(入力シート!$A195="","",入力シート!R195)</f>
        <v/>
      </c>
      <c r="O191" s="25" t="str">
        <f aca="false">IF(入力シート!$A195="","",IF(入力シート!G195="",1,入力シート!G195))</f>
        <v/>
      </c>
      <c r="P191" s="25" t="str">
        <f aca="false">IF(入力シート!$A195="","",入力シート!D195)</f>
        <v/>
      </c>
      <c r="Q191" s="25" t="str">
        <f aca="false">IF(入力シート!$A195="","","")</f>
        <v/>
      </c>
      <c r="R191" s="25" t="str">
        <f aca="false">IF(入力シート!$A195="","",入力シート!J195)</f>
        <v/>
      </c>
      <c r="S191" s="25" t="str">
        <f aca="false">IF(入力シート!$A195="","",入力シート!L195)</f>
        <v/>
      </c>
      <c r="T191" s="25" t="str">
        <f aca="false">IF(入力シート!$A195="","",入力シート!K195)</f>
        <v/>
      </c>
      <c r="U191" s="25" t="str">
        <f aca="false">IF(入力シート!$A195="","",0)</f>
        <v/>
      </c>
      <c r="V191" s="25" t="str">
        <f aca="false">IF(入力シート!$A195="","",0)</f>
        <v/>
      </c>
      <c r="W191" s="25" t="str">
        <f aca="false">IF(入力シート!$A195="","","0000")</f>
        <v/>
      </c>
      <c r="X191" s="25" t="str">
        <f aca="false">IF(入力シート!$A195="","",入力シート!E195)</f>
        <v/>
      </c>
      <c r="Y191" s="25" t="str">
        <f aca="false">IF(入力シート!$A195="","",入力シート!F195)</f>
        <v/>
      </c>
      <c r="Z191" s="25" t="str">
        <f aca="false">IF(入力シート!$A195="","",入力シート!O195)</f>
        <v/>
      </c>
      <c r="AA191" s="25" t="str">
        <f aca="false">IF(入力シート!$A195="","","")</f>
        <v/>
      </c>
      <c r="AB191" s="25" t="str">
        <f aca="false">IF(入力シート!$A195="","",入力シート!P195)</f>
        <v/>
      </c>
      <c r="AC191" s="25" t="str">
        <f aca="false">IF(入力シート!$A195="","",入力シート!U195)</f>
        <v/>
      </c>
      <c r="AD191" s="25" t="str">
        <f aca="false">IF(入力シート!$A195="","",0)</f>
        <v/>
      </c>
      <c r="AE191" s="25" t="str">
        <f aca="false">IF(入力シート!$A195="","",入力シート!I195)</f>
        <v/>
      </c>
      <c r="AF191" s="25" t="str">
        <f aca="false">IF(入力シート!$A195="","",入力シート!M195)</f>
        <v/>
      </c>
      <c r="AG191" s="25" t="str">
        <f aca="false">IF(入力シート!$A195="","",入力シート!N195)</f>
        <v/>
      </c>
      <c r="AH191" s="25" t="str">
        <f aca="false">IF(入力シート!$A195="","","")</f>
        <v/>
      </c>
      <c r="AI191" s="25" t="str">
        <f aca="false">IF(入力シート!$A195="","","")</f>
        <v/>
      </c>
      <c r="AJ191" s="25" t="str">
        <f aca="false">IF(入力シート!$A195="","","")</f>
        <v/>
      </c>
      <c r="AK191" s="25" t="str">
        <f aca="false">IF(入力シート!$A195="","",2)</f>
        <v/>
      </c>
      <c r="AL191" s="25" t="str">
        <f aca="false">IF(入力シート!$A195="","","")</f>
        <v/>
      </c>
      <c r="AM191" s="25" t="str">
        <f aca="false">IF(入力シート!$A195="","","")</f>
        <v/>
      </c>
      <c r="AN191" s="25" t="str">
        <f aca="false">IF(入力シート!$A195="","",入力シート!C195)</f>
        <v/>
      </c>
      <c r="AO191" s="25" t="str">
        <f aca="false">IF(入力シート!$A195="","","")</f>
        <v/>
      </c>
      <c r="AP191" s="25" t="str">
        <f aca="false">IF(入力シート!$A195="","","")</f>
        <v/>
      </c>
      <c r="AQ191" s="25" t="str">
        <f aca="false">IF(入力シート!$A195="","","")</f>
        <v/>
      </c>
    </row>
    <row r="192" customFormat="false" ht="15" hidden="false" customHeight="true" outlineLevel="0" collapsed="false">
      <c r="A192" s="25" t="str">
        <f aca="false">IF(入力シート!$A196="","",1)</f>
        <v/>
      </c>
      <c r="B192" s="25" t="str">
        <f aca="false">IF(入力シート!$A196="","",1)</f>
        <v/>
      </c>
      <c r="C192" s="25" t="str">
        <f aca="false">IF(入力シート!$A196="","",0)</f>
        <v/>
      </c>
      <c r="D192" s="25" t="str">
        <f aca="false">IF(入力シート!$A196="","",TEXT(入力シート!A196,"YYYYMMDD"))</f>
        <v/>
      </c>
      <c r="E192" s="25" t="str">
        <f aca="false">IF(入力シート!$A196="","",TEXT(入力シート!Q196,"00000000"))</f>
        <v/>
      </c>
      <c r="F192" s="25" t="str">
        <f aca="false">IF(入力シート!$A196="","",14)</f>
        <v/>
      </c>
      <c r="G192" s="25" t="str">
        <f aca="false">IF(入力シート!$A196="","",1)</f>
        <v/>
      </c>
      <c r="H192" s="25" t="str">
        <f aca="false">IF(入力シート!$A196="","",1)</f>
        <v/>
      </c>
      <c r="I192" s="25" t="str">
        <f aca="false">IF(入力シート!$A196="","",3)</f>
        <v/>
      </c>
      <c r="J192" s="25" t="str">
        <f aca="false">IF(入力シート!$A196="","",1)</f>
        <v/>
      </c>
      <c r="K192" s="25" t="str">
        <f aca="false">IF(入力シート!$A196="","",入力シート!B196)</f>
        <v/>
      </c>
      <c r="L192" s="25" t="str">
        <f aca="false">IF(入力シート!$A196="","","")</f>
        <v/>
      </c>
      <c r="M192" s="25" t="str">
        <f aca="false">IF(入力シート!$A196="","","")</f>
        <v/>
      </c>
      <c r="N192" s="25" t="str">
        <f aca="false">IF(入力シート!$A196="","",入力シート!R196)</f>
        <v/>
      </c>
      <c r="O192" s="25" t="str">
        <f aca="false">IF(入力シート!$A196="","",IF(入力シート!G196="",1,入力シート!G196))</f>
        <v/>
      </c>
      <c r="P192" s="25" t="str">
        <f aca="false">IF(入力シート!$A196="","",入力シート!D196)</f>
        <v/>
      </c>
      <c r="Q192" s="25" t="str">
        <f aca="false">IF(入力シート!$A196="","","")</f>
        <v/>
      </c>
      <c r="R192" s="25" t="str">
        <f aca="false">IF(入力シート!$A196="","",入力シート!J196)</f>
        <v/>
      </c>
      <c r="S192" s="25" t="str">
        <f aca="false">IF(入力シート!$A196="","",入力シート!L196)</f>
        <v/>
      </c>
      <c r="T192" s="25" t="str">
        <f aca="false">IF(入力シート!$A196="","",入力シート!K196)</f>
        <v/>
      </c>
      <c r="U192" s="25" t="str">
        <f aca="false">IF(入力シート!$A196="","",0)</f>
        <v/>
      </c>
      <c r="V192" s="25" t="str">
        <f aca="false">IF(入力シート!$A196="","",0)</f>
        <v/>
      </c>
      <c r="W192" s="25" t="str">
        <f aca="false">IF(入力シート!$A196="","","0000")</f>
        <v/>
      </c>
      <c r="X192" s="25" t="str">
        <f aca="false">IF(入力シート!$A196="","",入力シート!E196)</f>
        <v/>
      </c>
      <c r="Y192" s="25" t="str">
        <f aca="false">IF(入力シート!$A196="","",入力シート!F196)</f>
        <v/>
      </c>
      <c r="Z192" s="25" t="str">
        <f aca="false">IF(入力シート!$A196="","",入力シート!O196)</f>
        <v/>
      </c>
      <c r="AA192" s="25" t="str">
        <f aca="false">IF(入力シート!$A196="","","")</f>
        <v/>
      </c>
      <c r="AB192" s="25" t="str">
        <f aca="false">IF(入力シート!$A196="","",入力シート!P196)</f>
        <v/>
      </c>
      <c r="AC192" s="25" t="str">
        <f aca="false">IF(入力シート!$A196="","",入力シート!U196)</f>
        <v/>
      </c>
      <c r="AD192" s="25" t="str">
        <f aca="false">IF(入力シート!$A196="","",0)</f>
        <v/>
      </c>
      <c r="AE192" s="25" t="str">
        <f aca="false">IF(入力シート!$A196="","",入力シート!I196)</f>
        <v/>
      </c>
      <c r="AF192" s="25" t="str">
        <f aca="false">IF(入力シート!$A196="","",入力シート!M196)</f>
        <v/>
      </c>
      <c r="AG192" s="25" t="str">
        <f aca="false">IF(入力シート!$A196="","",入力シート!N196)</f>
        <v/>
      </c>
      <c r="AH192" s="25" t="str">
        <f aca="false">IF(入力シート!$A196="","","")</f>
        <v/>
      </c>
      <c r="AI192" s="25" t="str">
        <f aca="false">IF(入力シート!$A196="","","")</f>
        <v/>
      </c>
      <c r="AJ192" s="25" t="str">
        <f aca="false">IF(入力シート!$A196="","","")</f>
        <v/>
      </c>
      <c r="AK192" s="25" t="str">
        <f aca="false">IF(入力シート!$A196="","",2)</f>
        <v/>
      </c>
      <c r="AL192" s="25" t="str">
        <f aca="false">IF(入力シート!$A196="","","")</f>
        <v/>
      </c>
      <c r="AM192" s="25" t="str">
        <f aca="false">IF(入力シート!$A196="","","")</f>
        <v/>
      </c>
      <c r="AN192" s="25" t="str">
        <f aca="false">IF(入力シート!$A196="","",入力シート!C196)</f>
        <v/>
      </c>
      <c r="AO192" s="25" t="str">
        <f aca="false">IF(入力シート!$A196="","","")</f>
        <v/>
      </c>
      <c r="AP192" s="25" t="str">
        <f aca="false">IF(入力シート!$A196="","","")</f>
        <v/>
      </c>
      <c r="AQ192" s="25" t="str">
        <f aca="false">IF(入力シート!$A196="","","")</f>
        <v/>
      </c>
    </row>
    <row r="193" customFormat="false" ht="15" hidden="false" customHeight="true" outlineLevel="0" collapsed="false">
      <c r="A193" s="25" t="str">
        <f aca="false">IF(入力シート!$A197="","",1)</f>
        <v/>
      </c>
      <c r="B193" s="25" t="str">
        <f aca="false">IF(入力シート!$A197="","",1)</f>
        <v/>
      </c>
      <c r="C193" s="25" t="str">
        <f aca="false">IF(入力シート!$A197="","",0)</f>
        <v/>
      </c>
      <c r="D193" s="25" t="str">
        <f aca="false">IF(入力シート!$A197="","",TEXT(入力シート!A197,"YYYYMMDD"))</f>
        <v/>
      </c>
      <c r="E193" s="25" t="str">
        <f aca="false">IF(入力シート!$A197="","",TEXT(入力シート!Q197,"00000000"))</f>
        <v/>
      </c>
      <c r="F193" s="25" t="str">
        <f aca="false">IF(入力シート!$A197="","",14)</f>
        <v/>
      </c>
      <c r="G193" s="25" t="str">
        <f aca="false">IF(入力シート!$A197="","",1)</f>
        <v/>
      </c>
      <c r="H193" s="25" t="str">
        <f aca="false">IF(入力シート!$A197="","",1)</f>
        <v/>
      </c>
      <c r="I193" s="25" t="str">
        <f aca="false">IF(入力シート!$A197="","",3)</f>
        <v/>
      </c>
      <c r="J193" s="25" t="str">
        <f aca="false">IF(入力シート!$A197="","",1)</f>
        <v/>
      </c>
      <c r="K193" s="25" t="str">
        <f aca="false">IF(入力シート!$A197="","",入力シート!B197)</f>
        <v/>
      </c>
      <c r="L193" s="25" t="str">
        <f aca="false">IF(入力シート!$A197="","","")</f>
        <v/>
      </c>
      <c r="M193" s="25" t="str">
        <f aca="false">IF(入力シート!$A197="","","")</f>
        <v/>
      </c>
      <c r="N193" s="25" t="str">
        <f aca="false">IF(入力シート!$A197="","",入力シート!R197)</f>
        <v/>
      </c>
      <c r="O193" s="25" t="str">
        <f aca="false">IF(入力シート!$A197="","",IF(入力シート!G197="",1,入力シート!G197))</f>
        <v/>
      </c>
      <c r="P193" s="25" t="str">
        <f aca="false">IF(入力シート!$A197="","",入力シート!D197)</f>
        <v/>
      </c>
      <c r="Q193" s="25" t="str">
        <f aca="false">IF(入力シート!$A197="","","")</f>
        <v/>
      </c>
      <c r="R193" s="25" t="str">
        <f aca="false">IF(入力シート!$A197="","",入力シート!J197)</f>
        <v/>
      </c>
      <c r="S193" s="25" t="str">
        <f aca="false">IF(入力シート!$A197="","",入力シート!L197)</f>
        <v/>
      </c>
      <c r="T193" s="25" t="str">
        <f aca="false">IF(入力シート!$A197="","",入力シート!K197)</f>
        <v/>
      </c>
      <c r="U193" s="25" t="str">
        <f aca="false">IF(入力シート!$A197="","",0)</f>
        <v/>
      </c>
      <c r="V193" s="25" t="str">
        <f aca="false">IF(入力シート!$A197="","",0)</f>
        <v/>
      </c>
      <c r="W193" s="25" t="str">
        <f aca="false">IF(入力シート!$A197="","","0000")</f>
        <v/>
      </c>
      <c r="X193" s="25" t="str">
        <f aca="false">IF(入力シート!$A197="","",入力シート!E197)</f>
        <v/>
      </c>
      <c r="Y193" s="25" t="str">
        <f aca="false">IF(入力シート!$A197="","",入力シート!F197)</f>
        <v/>
      </c>
      <c r="Z193" s="25" t="str">
        <f aca="false">IF(入力シート!$A197="","",入力シート!O197)</f>
        <v/>
      </c>
      <c r="AA193" s="25" t="str">
        <f aca="false">IF(入力シート!$A197="","","")</f>
        <v/>
      </c>
      <c r="AB193" s="25" t="str">
        <f aca="false">IF(入力シート!$A197="","",入力シート!P197)</f>
        <v/>
      </c>
      <c r="AC193" s="25" t="str">
        <f aca="false">IF(入力シート!$A197="","",入力シート!U197)</f>
        <v/>
      </c>
      <c r="AD193" s="25" t="str">
        <f aca="false">IF(入力シート!$A197="","",0)</f>
        <v/>
      </c>
      <c r="AE193" s="25" t="str">
        <f aca="false">IF(入力シート!$A197="","",入力シート!I197)</f>
        <v/>
      </c>
      <c r="AF193" s="25" t="str">
        <f aca="false">IF(入力シート!$A197="","",入力シート!M197)</f>
        <v/>
      </c>
      <c r="AG193" s="25" t="str">
        <f aca="false">IF(入力シート!$A197="","",入力シート!N197)</f>
        <v/>
      </c>
      <c r="AH193" s="25" t="str">
        <f aca="false">IF(入力シート!$A197="","","")</f>
        <v/>
      </c>
      <c r="AI193" s="25" t="str">
        <f aca="false">IF(入力シート!$A197="","","")</f>
        <v/>
      </c>
      <c r="AJ193" s="25" t="str">
        <f aca="false">IF(入力シート!$A197="","","")</f>
        <v/>
      </c>
      <c r="AK193" s="25" t="str">
        <f aca="false">IF(入力シート!$A197="","",2)</f>
        <v/>
      </c>
      <c r="AL193" s="25" t="str">
        <f aca="false">IF(入力シート!$A197="","","")</f>
        <v/>
      </c>
      <c r="AM193" s="25" t="str">
        <f aca="false">IF(入力シート!$A197="","","")</f>
        <v/>
      </c>
      <c r="AN193" s="25" t="str">
        <f aca="false">IF(入力シート!$A197="","",入力シート!C197)</f>
        <v/>
      </c>
      <c r="AO193" s="25" t="str">
        <f aca="false">IF(入力シート!$A197="","","")</f>
        <v/>
      </c>
      <c r="AP193" s="25" t="str">
        <f aca="false">IF(入力シート!$A197="","","")</f>
        <v/>
      </c>
      <c r="AQ193" s="25" t="str">
        <f aca="false">IF(入力シート!$A197="","","")</f>
        <v/>
      </c>
    </row>
    <row r="194" customFormat="false" ht="15" hidden="false" customHeight="true" outlineLevel="0" collapsed="false">
      <c r="A194" s="25" t="str">
        <f aca="false">IF(入力シート!$A198="","",1)</f>
        <v/>
      </c>
      <c r="B194" s="25" t="str">
        <f aca="false">IF(入力シート!$A198="","",1)</f>
        <v/>
      </c>
      <c r="C194" s="25" t="str">
        <f aca="false">IF(入力シート!$A198="","",0)</f>
        <v/>
      </c>
      <c r="D194" s="25" t="str">
        <f aca="false">IF(入力シート!$A198="","",TEXT(入力シート!A198,"YYYYMMDD"))</f>
        <v/>
      </c>
      <c r="E194" s="25" t="str">
        <f aca="false">IF(入力シート!$A198="","",TEXT(入力シート!Q198,"00000000"))</f>
        <v/>
      </c>
      <c r="F194" s="25" t="str">
        <f aca="false">IF(入力シート!$A198="","",14)</f>
        <v/>
      </c>
      <c r="G194" s="25" t="str">
        <f aca="false">IF(入力シート!$A198="","",1)</f>
        <v/>
      </c>
      <c r="H194" s="25" t="str">
        <f aca="false">IF(入力シート!$A198="","",1)</f>
        <v/>
      </c>
      <c r="I194" s="25" t="str">
        <f aca="false">IF(入力シート!$A198="","",3)</f>
        <v/>
      </c>
      <c r="J194" s="25" t="str">
        <f aca="false">IF(入力シート!$A198="","",1)</f>
        <v/>
      </c>
      <c r="K194" s="25" t="str">
        <f aca="false">IF(入力シート!$A198="","",入力シート!B198)</f>
        <v/>
      </c>
      <c r="L194" s="25" t="str">
        <f aca="false">IF(入力シート!$A198="","","")</f>
        <v/>
      </c>
      <c r="M194" s="25" t="str">
        <f aca="false">IF(入力シート!$A198="","","")</f>
        <v/>
      </c>
      <c r="N194" s="25" t="str">
        <f aca="false">IF(入力シート!$A198="","",入力シート!R198)</f>
        <v/>
      </c>
      <c r="O194" s="25" t="str">
        <f aca="false">IF(入力シート!$A198="","",IF(入力シート!G198="",1,入力シート!G198))</f>
        <v/>
      </c>
      <c r="P194" s="25" t="str">
        <f aca="false">IF(入力シート!$A198="","",入力シート!D198)</f>
        <v/>
      </c>
      <c r="Q194" s="25" t="str">
        <f aca="false">IF(入力シート!$A198="","","")</f>
        <v/>
      </c>
      <c r="R194" s="25" t="str">
        <f aca="false">IF(入力シート!$A198="","",入力シート!J198)</f>
        <v/>
      </c>
      <c r="S194" s="25" t="str">
        <f aca="false">IF(入力シート!$A198="","",入力シート!L198)</f>
        <v/>
      </c>
      <c r="T194" s="25" t="str">
        <f aca="false">IF(入力シート!$A198="","",入力シート!K198)</f>
        <v/>
      </c>
      <c r="U194" s="25" t="str">
        <f aca="false">IF(入力シート!$A198="","",0)</f>
        <v/>
      </c>
      <c r="V194" s="25" t="str">
        <f aca="false">IF(入力シート!$A198="","",0)</f>
        <v/>
      </c>
      <c r="W194" s="25" t="str">
        <f aca="false">IF(入力シート!$A198="","","0000")</f>
        <v/>
      </c>
      <c r="X194" s="25" t="str">
        <f aca="false">IF(入力シート!$A198="","",入力シート!E198)</f>
        <v/>
      </c>
      <c r="Y194" s="25" t="str">
        <f aca="false">IF(入力シート!$A198="","",入力シート!F198)</f>
        <v/>
      </c>
      <c r="Z194" s="25" t="str">
        <f aca="false">IF(入力シート!$A198="","",入力シート!O198)</f>
        <v/>
      </c>
      <c r="AA194" s="25" t="str">
        <f aca="false">IF(入力シート!$A198="","","")</f>
        <v/>
      </c>
      <c r="AB194" s="25" t="str">
        <f aca="false">IF(入力シート!$A198="","",入力シート!P198)</f>
        <v/>
      </c>
      <c r="AC194" s="25" t="str">
        <f aca="false">IF(入力シート!$A198="","",入力シート!U198)</f>
        <v/>
      </c>
      <c r="AD194" s="25" t="str">
        <f aca="false">IF(入力シート!$A198="","",0)</f>
        <v/>
      </c>
      <c r="AE194" s="25" t="str">
        <f aca="false">IF(入力シート!$A198="","",入力シート!I198)</f>
        <v/>
      </c>
      <c r="AF194" s="25" t="str">
        <f aca="false">IF(入力シート!$A198="","",入力シート!M198)</f>
        <v/>
      </c>
      <c r="AG194" s="25" t="str">
        <f aca="false">IF(入力シート!$A198="","",入力シート!N198)</f>
        <v/>
      </c>
      <c r="AH194" s="25" t="str">
        <f aca="false">IF(入力シート!$A198="","","")</f>
        <v/>
      </c>
      <c r="AI194" s="25" t="str">
        <f aca="false">IF(入力シート!$A198="","","")</f>
        <v/>
      </c>
      <c r="AJ194" s="25" t="str">
        <f aca="false">IF(入力シート!$A198="","","")</f>
        <v/>
      </c>
      <c r="AK194" s="25" t="str">
        <f aca="false">IF(入力シート!$A198="","",2)</f>
        <v/>
      </c>
      <c r="AL194" s="25" t="str">
        <f aca="false">IF(入力シート!$A198="","","")</f>
        <v/>
      </c>
      <c r="AM194" s="25" t="str">
        <f aca="false">IF(入力シート!$A198="","","")</f>
        <v/>
      </c>
      <c r="AN194" s="25" t="str">
        <f aca="false">IF(入力シート!$A198="","",入力シート!C198)</f>
        <v/>
      </c>
      <c r="AO194" s="25" t="str">
        <f aca="false">IF(入力シート!$A198="","","")</f>
        <v/>
      </c>
      <c r="AP194" s="25" t="str">
        <f aca="false">IF(入力シート!$A198="","","")</f>
        <v/>
      </c>
      <c r="AQ194" s="25" t="str">
        <f aca="false">IF(入力シート!$A198="","","")</f>
        <v/>
      </c>
    </row>
    <row r="195" customFormat="false" ht="15" hidden="false" customHeight="true" outlineLevel="0" collapsed="false">
      <c r="A195" s="25" t="str">
        <f aca="false">IF(入力シート!$A199="","",1)</f>
        <v/>
      </c>
      <c r="B195" s="25" t="str">
        <f aca="false">IF(入力シート!$A199="","",1)</f>
        <v/>
      </c>
      <c r="C195" s="25" t="str">
        <f aca="false">IF(入力シート!$A199="","",0)</f>
        <v/>
      </c>
      <c r="D195" s="25" t="str">
        <f aca="false">IF(入力シート!$A199="","",TEXT(入力シート!A199,"YYYYMMDD"))</f>
        <v/>
      </c>
      <c r="E195" s="25" t="str">
        <f aca="false">IF(入力シート!$A199="","",TEXT(入力シート!Q199,"00000000"))</f>
        <v/>
      </c>
      <c r="F195" s="25" t="str">
        <f aca="false">IF(入力シート!$A199="","",14)</f>
        <v/>
      </c>
      <c r="G195" s="25" t="str">
        <f aca="false">IF(入力シート!$A199="","",1)</f>
        <v/>
      </c>
      <c r="H195" s="25" t="str">
        <f aca="false">IF(入力シート!$A199="","",1)</f>
        <v/>
      </c>
      <c r="I195" s="25" t="str">
        <f aca="false">IF(入力シート!$A199="","",3)</f>
        <v/>
      </c>
      <c r="J195" s="25" t="str">
        <f aca="false">IF(入力シート!$A199="","",1)</f>
        <v/>
      </c>
      <c r="K195" s="25" t="str">
        <f aca="false">IF(入力シート!$A199="","",入力シート!B199)</f>
        <v/>
      </c>
      <c r="L195" s="25" t="str">
        <f aca="false">IF(入力シート!$A199="","","")</f>
        <v/>
      </c>
      <c r="M195" s="25" t="str">
        <f aca="false">IF(入力シート!$A199="","","")</f>
        <v/>
      </c>
      <c r="N195" s="25" t="str">
        <f aca="false">IF(入力シート!$A199="","",入力シート!R199)</f>
        <v/>
      </c>
      <c r="O195" s="25" t="str">
        <f aca="false">IF(入力シート!$A199="","",IF(入力シート!G199="",1,入力シート!G199))</f>
        <v/>
      </c>
      <c r="P195" s="25" t="str">
        <f aca="false">IF(入力シート!$A199="","",入力シート!D199)</f>
        <v/>
      </c>
      <c r="Q195" s="25" t="str">
        <f aca="false">IF(入力シート!$A199="","","")</f>
        <v/>
      </c>
      <c r="R195" s="25" t="str">
        <f aca="false">IF(入力シート!$A199="","",入力シート!J199)</f>
        <v/>
      </c>
      <c r="S195" s="25" t="str">
        <f aca="false">IF(入力シート!$A199="","",入力シート!L199)</f>
        <v/>
      </c>
      <c r="T195" s="25" t="str">
        <f aca="false">IF(入力シート!$A199="","",入力シート!K199)</f>
        <v/>
      </c>
      <c r="U195" s="25" t="str">
        <f aca="false">IF(入力シート!$A199="","",0)</f>
        <v/>
      </c>
      <c r="V195" s="25" t="str">
        <f aca="false">IF(入力シート!$A199="","",0)</f>
        <v/>
      </c>
      <c r="W195" s="25" t="str">
        <f aca="false">IF(入力シート!$A199="","","0000")</f>
        <v/>
      </c>
      <c r="X195" s="25" t="str">
        <f aca="false">IF(入力シート!$A199="","",入力シート!E199)</f>
        <v/>
      </c>
      <c r="Y195" s="25" t="str">
        <f aca="false">IF(入力シート!$A199="","",入力シート!F199)</f>
        <v/>
      </c>
      <c r="Z195" s="25" t="str">
        <f aca="false">IF(入力シート!$A199="","",入力シート!O199)</f>
        <v/>
      </c>
      <c r="AA195" s="25" t="str">
        <f aca="false">IF(入力シート!$A199="","","")</f>
        <v/>
      </c>
      <c r="AB195" s="25" t="str">
        <f aca="false">IF(入力シート!$A199="","",入力シート!P199)</f>
        <v/>
      </c>
      <c r="AC195" s="25" t="str">
        <f aca="false">IF(入力シート!$A199="","",入力シート!U199)</f>
        <v/>
      </c>
      <c r="AD195" s="25" t="str">
        <f aca="false">IF(入力シート!$A199="","",0)</f>
        <v/>
      </c>
      <c r="AE195" s="25" t="str">
        <f aca="false">IF(入力シート!$A199="","",入力シート!I199)</f>
        <v/>
      </c>
      <c r="AF195" s="25" t="str">
        <f aca="false">IF(入力シート!$A199="","",入力シート!M199)</f>
        <v/>
      </c>
      <c r="AG195" s="25" t="str">
        <f aca="false">IF(入力シート!$A199="","",入力シート!N199)</f>
        <v/>
      </c>
      <c r="AH195" s="25" t="str">
        <f aca="false">IF(入力シート!$A199="","","")</f>
        <v/>
      </c>
      <c r="AI195" s="25" t="str">
        <f aca="false">IF(入力シート!$A199="","","")</f>
        <v/>
      </c>
      <c r="AJ195" s="25" t="str">
        <f aca="false">IF(入力シート!$A199="","","")</f>
        <v/>
      </c>
      <c r="AK195" s="25" t="str">
        <f aca="false">IF(入力シート!$A199="","",2)</f>
        <v/>
      </c>
      <c r="AL195" s="25" t="str">
        <f aca="false">IF(入力シート!$A199="","","")</f>
        <v/>
      </c>
      <c r="AM195" s="25" t="str">
        <f aca="false">IF(入力シート!$A199="","","")</f>
        <v/>
      </c>
      <c r="AN195" s="25" t="str">
        <f aca="false">IF(入力シート!$A199="","",入力シート!C199)</f>
        <v/>
      </c>
      <c r="AO195" s="25" t="str">
        <f aca="false">IF(入力シート!$A199="","","")</f>
        <v/>
      </c>
      <c r="AP195" s="25" t="str">
        <f aca="false">IF(入力シート!$A199="","","")</f>
        <v/>
      </c>
      <c r="AQ195" s="25" t="str">
        <f aca="false">IF(入力シート!$A199="","","")</f>
        <v/>
      </c>
    </row>
    <row r="196" customFormat="false" ht="15" hidden="false" customHeight="true" outlineLevel="0" collapsed="false">
      <c r="A196" s="25" t="str">
        <f aca="false">IF(入力シート!$A200="","",1)</f>
        <v/>
      </c>
      <c r="B196" s="25" t="str">
        <f aca="false">IF(入力シート!$A200="","",1)</f>
        <v/>
      </c>
      <c r="C196" s="25" t="str">
        <f aca="false">IF(入力シート!$A200="","",0)</f>
        <v/>
      </c>
      <c r="D196" s="25" t="str">
        <f aca="false">IF(入力シート!$A200="","",TEXT(入力シート!A200,"YYYYMMDD"))</f>
        <v/>
      </c>
      <c r="E196" s="25" t="str">
        <f aca="false">IF(入力シート!$A200="","",TEXT(入力シート!Q200,"00000000"))</f>
        <v/>
      </c>
      <c r="F196" s="25" t="str">
        <f aca="false">IF(入力シート!$A200="","",14)</f>
        <v/>
      </c>
      <c r="G196" s="25" t="str">
        <f aca="false">IF(入力シート!$A200="","",1)</f>
        <v/>
      </c>
      <c r="H196" s="25" t="str">
        <f aca="false">IF(入力シート!$A200="","",1)</f>
        <v/>
      </c>
      <c r="I196" s="25" t="str">
        <f aca="false">IF(入力シート!$A200="","",3)</f>
        <v/>
      </c>
      <c r="J196" s="25" t="str">
        <f aca="false">IF(入力シート!$A200="","",1)</f>
        <v/>
      </c>
      <c r="K196" s="25" t="str">
        <f aca="false">IF(入力シート!$A200="","",入力シート!B200)</f>
        <v/>
      </c>
      <c r="L196" s="25" t="str">
        <f aca="false">IF(入力シート!$A200="","","")</f>
        <v/>
      </c>
      <c r="M196" s="25" t="str">
        <f aca="false">IF(入力シート!$A200="","","")</f>
        <v/>
      </c>
      <c r="N196" s="25" t="str">
        <f aca="false">IF(入力シート!$A200="","",入力シート!R200)</f>
        <v/>
      </c>
      <c r="O196" s="25" t="str">
        <f aca="false">IF(入力シート!$A200="","",IF(入力シート!G200="",1,入力シート!G200))</f>
        <v/>
      </c>
      <c r="P196" s="25" t="str">
        <f aca="false">IF(入力シート!$A200="","",入力シート!D200)</f>
        <v/>
      </c>
      <c r="Q196" s="25" t="str">
        <f aca="false">IF(入力シート!$A200="","","")</f>
        <v/>
      </c>
      <c r="R196" s="25" t="str">
        <f aca="false">IF(入力シート!$A200="","",入力シート!J200)</f>
        <v/>
      </c>
      <c r="S196" s="25" t="str">
        <f aca="false">IF(入力シート!$A200="","",入力シート!L200)</f>
        <v/>
      </c>
      <c r="T196" s="25" t="str">
        <f aca="false">IF(入力シート!$A200="","",入力シート!K200)</f>
        <v/>
      </c>
      <c r="U196" s="25" t="str">
        <f aca="false">IF(入力シート!$A200="","",0)</f>
        <v/>
      </c>
      <c r="V196" s="25" t="str">
        <f aca="false">IF(入力シート!$A200="","",0)</f>
        <v/>
      </c>
      <c r="W196" s="25" t="str">
        <f aca="false">IF(入力シート!$A200="","","0000")</f>
        <v/>
      </c>
      <c r="X196" s="25" t="str">
        <f aca="false">IF(入力シート!$A200="","",入力シート!E200)</f>
        <v/>
      </c>
      <c r="Y196" s="25" t="str">
        <f aca="false">IF(入力シート!$A200="","",入力シート!F200)</f>
        <v/>
      </c>
      <c r="Z196" s="25" t="str">
        <f aca="false">IF(入力シート!$A200="","",入力シート!O200)</f>
        <v/>
      </c>
      <c r="AA196" s="25" t="str">
        <f aca="false">IF(入力シート!$A200="","","")</f>
        <v/>
      </c>
      <c r="AB196" s="25" t="str">
        <f aca="false">IF(入力シート!$A200="","",入力シート!P200)</f>
        <v/>
      </c>
      <c r="AC196" s="25" t="str">
        <f aca="false">IF(入力シート!$A200="","",入力シート!U200)</f>
        <v/>
      </c>
      <c r="AD196" s="25" t="str">
        <f aca="false">IF(入力シート!$A200="","",0)</f>
        <v/>
      </c>
      <c r="AE196" s="25" t="str">
        <f aca="false">IF(入力シート!$A200="","",入力シート!I200)</f>
        <v/>
      </c>
      <c r="AF196" s="25" t="str">
        <f aca="false">IF(入力シート!$A200="","",入力シート!M200)</f>
        <v/>
      </c>
      <c r="AG196" s="25" t="str">
        <f aca="false">IF(入力シート!$A200="","",入力シート!N200)</f>
        <v/>
      </c>
      <c r="AH196" s="25" t="str">
        <f aca="false">IF(入力シート!$A200="","","")</f>
        <v/>
      </c>
      <c r="AI196" s="25" t="str">
        <f aca="false">IF(入力シート!$A200="","","")</f>
        <v/>
      </c>
      <c r="AJ196" s="25" t="str">
        <f aca="false">IF(入力シート!$A200="","","")</f>
        <v/>
      </c>
      <c r="AK196" s="25" t="str">
        <f aca="false">IF(入力シート!$A200="","",2)</f>
        <v/>
      </c>
      <c r="AL196" s="25" t="str">
        <f aca="false">IF(入力シート!$A200="","","")</f>
        <v/>
      </c>
      <c r="AM196" s="25" t="str">
        <f aca="false">IF(入力シート!$A200="","","")</f>
        <v/>
      </c>
      <c r="AN196" s="25" t="str">
        <f aca="false">IF(入力シート!$A200="","",入力シート!C200)</f>
        <v/>
      </c>
      <c r="AO196" s="25" t="str">
        <f aca="false">IF(入力シート!$A200="","","")</f>
        <v/>
      </c>
      <c r="AP196" s="25" t="str">
        <f aca="false">IF(入力シート!$A200="","","")</f>
        <v/>
      </c>
      <c r="AQ196" s="25" t="str">
        <f aca="false">IF(入力シート!$A200="","","")</f>
        <v/>
      </c>
    </row>
    <row r="197" customFormat="false" ht="15" hidden="false" customHeight="true" outlineLevel="0" collapsed="false">
      <c r="A197" s="25" t="str">
        <f aca="false">IF(入力シート!$A201="","",1)</f>
        <v/>
      </c>
      <c r="B197" s="25" t="str">
        <f aca="false">IF(入力シート!$A201="","",1)</f>
        <v/>
      </c>
      <c r="C197" s="25" t="str">
        <f aca="false">IF(入力シート!$A201="","",0)</f>
        <v/>
      </c>
      <c r="D197" s="25" t="str">
        <f aca="false">IF(入力シート!$A201="","",TEXT(入力シート!A201,"YYYYMMDD"))</f>
        <v/>
      </c>
      <c r="E197" s="25" t="str">
        <f aca="false">IF(入力シート!$A201="","",TEXT(入力シート!Q201,"00000000"))</f>
        <v/>
      </c>
      <c r="F197" s="25" t="str">
        <f aca="false">IF(入力シート!$A201="","",14)</f>
        <v/>
      </c>
      <c r="G197" s="25" t="str">
        <f aca="false">IF(入力シート!$A201="","",1)</f>
        <v/>
      </c>
      <c r="H197" s="25" t="str">
        <f aca="false">IF(入力シート!$A201="","",1)</f>
        <v/>
      </c>
      <c r="I197" s="25" t="str">
        <f aca="false">IF(入力シート!$A201="","",3)</f>
        <v/>
      </c>
      <c r="J197" s="25" t="str">
        <f aca="false">IF(入力シート!$A201="","",1)</f>
        <v/>
      </c>
      <c r="K197" s="25" t="str">
        <f aca="false">IF(入力シート!$A201="","",入力シート!B201)</f>
        <v/>
      </c>
      <c r="L197" s="25" t="str">
        <f aca="false">IF(入力シート!$A201="","","")</f>
        <v/>
      </c>
      <c r="M197" s="25" t="str">
        <f aca="false">IF(入力シート!$A201="","","")</f>
        <v/>
      </c>
      <c r="N197" s="25" t="str">
        <f aca="false">IF(入力シート!$A201="","",入力シート!R201)</f>
        <v/>
      </c>
      <c r="O197" s="25" t="str">
        <f aca="false">IF(入力シート!$A201="","",IF(入力シート!G201="",1,入力シート!G201))</f>
        <v/>
      </c>
      <c r="P197" s="25" t="str">
        <f aca="false">IF(入力シート!$A201="","",入力シート!D201)</f>
        <v/>
      </c>
      <c r="Q197" s="25" t="str">
        <f aca="false">IF(入力シート!$A201="","","")</f>
        <v/>
      </c>
      <c r="R197" s="25" t="str">
        <f aca="false">IF(入力シート!$A201="","",入力シート!J201)</f>
        <v/>
      </c>
      <c r="S197" s="25" t="str">
        <f aca="false">IF(入力シート!$A201="","",入力シート!L201)</f>
        <v/>
      </c>
      <c r="T197" s="25" t="str">
        <f aca="false">IF(入力シート!$A201="","",入力シート!K201)</f>
        <v/>
      </c>
      <c r="U197" s="25" t="str">
        <f aca="false">IF(入力シート!$A201="","",0)</f>
        <v/>
      </c>
      <c r="V197" s="25" t="str">
        <f aca="false">IF(入力シート!$A201="","",0)</f>
        <v/>
      </c>
      <c r="W197" s="25" t="str">
        <f aca="false">IF(入力シート!$A201="","","0000")</f>
        <v/>
      </c>
      <c r="X197" s="25" t="str">
        <f aca="false">IF(入力シート!$A201="","",入力シート!E201)</f>
        <v/>
      </c>
      <c r="Y197" s="25" t="str">
        <f aca="false">IF(入力シート!$A201="","",入力シート!F201)</f>
        <v/>
      </c>
      <c r="Z197" s="25" t="str">
        <f aca="false">IF(入力シート!$A201="","",入力シート!O201)</f>
        <v/>
      </c>
      <c r="AA197" s="25" t="str">
        <f aca="false">IF(入力シート!$A201="","","")</f>
        <v/>
      </c>
      <c r="AB197" s="25" t="str">
        <f aca="false">IF(入力シート!$A201="","",入力シート!P201)</f>
        <v/>
      </c>
      <c r="AC197" s="25" t="str">
        <f aca="false">IF(入力シート!$A201="","",入力シート!U201)</f>
        <v/>
      </c>
      <c r="AD197" s="25" t="str">
        <f aca="false">IF(入力シート!$A201="","",0)</f>
        <v/>
      </c>
      <c r="AE197" s="25" t="str">
        <f aca="false">IF(入力シート!$A201="","",入力シート!I201)</f>
        <v/>
      </c>
      <c r="AF197" s="25" t="str">
        <f aca="false">IF(入力シート!$A201="","",入力シート!M201)</f>
        <v/>
      </c>
      <c r="AG197" s="25" t="str">
        <f aca="false">IF(入力シート!$A201="","",入力シート!N201)</f>
        <v/>
      </c>
      <c r="AH197" s="25" t="str">
        <f aca="false">IF(入力シート!$A201="","","")</f>
        <v/>
      </c>
      <c r="AI197" s="25" t="str">
        <f aca="false">IF(入力シート!$A201="","","")</f>
        <v/>
      </c>
      <c r="AJ197" s="25" t="str">
        <f aca="false">IF(入力シート!$A201="","","")</f>
        <v/>
      </c>
      <c r="AK197" s="25" t="str">
        <f aca="false">IF(入力シート!$A201="","",2)</f>
        <v/>
      </c>
      <c r="AL197" s="25" t="str">
        <f aca="false">IF(入力シート!$A201="","","")</f>
        <v/>
      </c>
      <c r="AM197" s="25" t="str">
        <f aca="false">IF(入力シート!$A201="","","")</f>
        <v/>
      </c>
      <c r="AN197" s="25" t="str">
        <f aca="false">IF(入力シート!$A201="","",入力シート!C201)</f>
        <v/>
      </c>
      <c r="AO197" s="25" t="str">
        <f aca="false">IF(入力シート!$A201="","","")</f>
        <v/>
      </c>
      <c r="AP197" s="25" t="str">
        <f aca="false">IF(入力シート!$A201="","","")</f>
        <v/>
      </c>
      <c r="AQ197" s="25" t="str">
        <f aca="false">IF(入力シート!$A201="","","")</f>
        <v/>
      </c>
    </row>
    <row r="198" customFormat="false" ht="15" hidden="false" customHeight="true" outlineLevel="0" collapsed="false">
      <c r="A198" s="25" t="str">
        <f aca="false">IF(入力シート!$A202="","",1)</f>
        <v/>
      </c>
      <c r="B198" s="25" t="str">
        <f aca="false">IF(入力シート!$A202="","",1)</f>
        <v/>
      </c>
      <c r="C198" s="25" t="str">
        <f aca="false">IF(入力シート!$A202="","",0)</f>
        <v/>
      </c>
      <c r="D198" s="25" t="str">
        <f aca="false">IF(入力シート!$A202="","",TEXT(入力シート!A202,"YYYYMMDD"))</f>
        <v/>
      </c>
      <c r="E198" s="25" t="str">
        <f aca="false">IF(入力シート!$A202="","",TEXT(入力シート!Q202,"00000000"))</f>
        <v/>
      </c>
      <c r="F198" s="25" t="str">
        <f aca="false">IF(入力シート!$A202="","",14)</f>
        <v/>
      </c>
      <c r="G198" s="25" t="str">
        <f aca="false">IF(入力シート!$A202="","",1)</f>
        <v/>
      </c>
      <c r="H198" s="25" t="str">
        <f aca="false">IF(入力シート!$A202="","",1)</f>
        <v/>
      </c>
      <c r="I198" s="25" t="str">
        <f aca="false">IF(入力シート!$A202="","",3)</f>
        <v/>
      </c>
      <c r="J198" s="25" t="str">
        <f aca="false">IF(入力シート!$A202="","",1)</f>
        <v/>
      </c>
      <c r="K198" s="25" t="str">
        <f aca="false">IF(入力シート!$A202="","",入力シート!B202)</f>
        <v/>
      </c>
      <c r="L198" s="25" t="str">
        <f aca="false">IF(入力シート!$A202="","","")</f>
        <v/>
      </c>
      <c r="M198" s="25" t="str">
        <f aca="false">IF(入力シート!$A202="","","")</f>
        <v/>
      </c>
      <c r="N198" s="25" t="str">
        <f aca="false">IF(入力シート!$A202="","",入力シート!R202)</f>
        <v/>
      </c>
      <c r="O198" s="25" t="str">
        <f aca="false">IF(入力シート!$A202="","",IF(入力シート!G202="",1,入力シート!G202))</f>
        <v/>
      </c>
      <c r="P198" s="25" t="str">
        <f aca="false">IF(入力シート!$A202="","",入力シート!D202)</f>
        <v/>
      </c>
      <c r="Q198" s="25" t="str">
        <f aca="false">IF(入力シート!$A202="","","")</f>
        <v/>
      </c>
      <c r="R198" s="25" t="str">
        <f aca="false">IF(入力シート!$A202="","",入力シート!J202)</f>
        <v/>
      </c>
      <c r="S198" s="25" t="str">
        <f aca="false">IF(入力シート!$A202="","",入力シート!L202)</f>
        <v/>
      </c>
      <c r="T198" s="25" t="str">
        <f aca="false">IF(入力シート!$A202="","",入力シート!K202)</f>
        <v/>
      </c>
      <c r="U198" s="25" t="str">
        <f aca="false">IF(入力シート!$A202="","",0)</f>
        <v/>
      </c>
      <c r="V198" s="25" t="str">
        <f aca="false">IF(入力シート!$A202="","",0)</f>
        <v/>
      </c>
      <c r="W198" s="25" t="str">
        <f aca="false">IF(入力シート!$A202="","","0000")</f>
        <v/>
      </c>
      <c r="X198" s="25" t="str">
        <f aca="false">IF(入力シート!$A202="","",入力シート!E202)</f>
        <v/>
      </c>
      <c r="Y198" s="25" t="str">
        <f aca="false">IF(入力シート!$A202="","",入力シート!F202)</f>
        <v/>
      </c>
      <c r="Z198" s="25" t="str">
        <f aca="false">IF(入力シート!$A202="","",入力シート!O202)</f>
        <v/>
      </c>
      <c r="AA198" s="25" t="str">
        <f aca="false">IF(入力シート!$A202="","","")</f>
        <v/>
      </c>
      <c r="AB198" s="25" t="str">
        <f aca="false">IF(入力シート!$A202="","",入力シート!P202)</f>
        <v/>
      </c>
      <c r="AC198" s="25" t="str">
        <f aca="false">IF(入力シート!$A202="","",入力シート!U202)</f>
        <v/>
      </c>
      <c r="AD198" s="25" t="str">
        <f aca="false">IF(入力シート!$A202="","",0)</f>
        <v/>
      </c>
      <c r="AE198" s="25" t="str">
        <f aca="false">IF(入力シート!$A202="","",入力シート!I202)</f>
        <v/>
      </c>
      <c r="AF198" s="25" t="str">
        <f aca="false">IF(入力シート!$A202="","",入力シート!M202)</f>
        <v/>
      </c>
      <c r="AG198" s="25" t="str">
        <f aca="false">IF(入力シート!$A202="","",入力シート!N202)</f>
        <v/>
      </c>
      <c r="AH198" s="25" t="str">
        <f aca="false">IF(入力シート!$A202="","","")</f>
        <v/>
      </c>
      <c r="AI198" s="25" t="str">
        <f aca="false">IF(入力シート!$A202="","","")</f>
        <v/>
      </c>
      <c r="AJ198" s="25" t="str">
        <f aca="false">IF(入力シート!$A202="","","")</f>
        <v/>
      </c>
      <c r="AK198" s="25" t="str">
        <f aca="false">IF(入力シート!$A202="","",2)</f>
        <v/>
      </c>
      <c r="AL198" s="25" t="str">
        <f aca="false">IF(入力シート!$A202="","","")</f>
        <v/>
      </c>
      <c r="AM198" s="25" t="str">
        <f aca="false">IF(入力シート!$A202="","","")</f>
        <v/>
      </c>
      <c r="AN198" s="25" t="str">
        <f aca="false">IF(入力シート!$A202="","",入力シート!C202)</f>
        <v/>
      </c>
      <c r="AO198" s="25" t="str">
        <f aca="false">IF(入力シート!$A202="","","")</f>
        <v/>
      </c>
      <c r="AP198" s="25" t="str">
        <f aca="false">IF(入力シート!$A202="","","")</f>
        <v/>
      </c>
      <c r="AQ198" s="25" t="str">
        <f aca="false">IF(入力シート!$A202="","","")</f>
        <v/>
      </c>
    </row>
    <row r="199" customFormat="false" ht="15" hidden="false" customHeight="true" outlineLevel="0" collapsed="false">
      <c r="A199" s="25" t="str">
        <f aca="false">IF(入力シート!$A203="","",1)</f>
        <v/>
      </c>
      <c r="B199" s="25" t="str">
        <f aca="false">IF(入力シート!$A203="","",1)</f>
        <v/>
      </c>
      <c r="C199" s="25" t="str">
        <f aca="false">IF(入力シート!$A203="","",0)</f>
        <v/>
      </c>
      <c r="D199" s="25" t="str">
        <f aca="false">IF(入力シート!$A203="","",TEXT(入力シート!A203,"YYYYMMDD"))</f>
        <v/>
      </c>
      <c r="E199" s="25" t="str">
        <f aca="false">IF(入力シート!$A203="","",TEXT(入力シート!Q203,"00000000"))</f>
        <v/>
      </c>
      <c r="F199" s="25" t="str">
        <f aca="false">IF(入力シート!$A203="","",14)</f>
        <v/>
      </c>
      <c r="G199" s="25" t="str">
        <f aca="false">IF(入力シート!$A203="","",1)</f>
        <v/>
      </c>
      <c r="H199" s="25" t="str">
        <f aca="false">IF(入力シート!$A203="","",1)</f>
        <v/>
      </c>
      <c r="I199" s="25" t="str">
        <f aca="false">IF(入力シート!$A203="","",3)</f>
        <v/>
      </c>
      <c r="J199" s="25" t="str">
        <f aca="false">IF(入力シート!$A203="","",1)</f>
        <v/>
      </c>
      <c r="K199" s="25" t="str">
        <f aca="false">IF(入力シート!$A203="","",入力シート!B203)</f>
        <v/>
      </c>
      <c r="L199" s="25" t="str">
        <f aca="false">IF(入力シート!$A203="","","")</f>
        <v/>
      </c>
      <c r="M199" s="25" t="str">
        <f aca="false">IF(入力シート!$A203="","","")</f>
        <v/>
      </c>
      <c r="N199" s="25" t="str">
        <f aca="false">IF(入力シート!$A203="","",入力シート!R203)</f>
        <v/>
      </c>
      <c r="O199" s="25" t="str">
        <f aca="false">IF(入力シート!$A203="","",IF(入力シート!G203="",1,入力シート!G203))</f>
        <v/>
      </c>
      <c r="P199" s="25" t="str">
        <f aca="false">IF(入力シート!$A203="","",入力シート!D203)</f>
        <v/>
      </c>
      <c r="Q199" s="25" t="str">
        <f aca="false">IF(入力シート!$A203="","","")</f>
        <v/>
      </c>
      <c r="R199" s="25" t="str">
        <f aca="false">IF(入力シート!$A203="","",入力シート!J203)</f>
        <v/>
      </c>
      <c r="S199" s="25" t="str">
        <f aca="false">IF(入力シート!$A203="","",入力シート!L203)</f>
        <v/>
      </c>
      <c r="T199" s="25" t="str">
        <f aca="false">IF(入力シート!$A203="","",入力シート!K203)</f>
        <v/>
      </c>
      <c r="U199" s="25" t="str">
        <f aca="false">IF(入力シート!$A203="","",0)</f>
        <v/>
      </c>
      <c r="V199" s="25" t="str">
        <f aca="false">IF(入力シート!$A203="","",0)</f>
        <v/>
      </c>
      <c r="W199" s="25" t="str">
        <f aca="false">IF(入力シート!$A203="","","0000")</f>
        <v/>
      </c>
      <c r="X199" s="25" t="str">
        <f aca="false">IF(入力シート!$A203="","",入力シート!E203)</f>
        <v/>
      </c>
      <c r="Y199" s="25" t="str">
        <f aca="false">IF(入力シート!$A203="","",入力シート!F203)</f>
        <v/>
      </c>
      <c r="Z199" s="25" t="str">
        <f aca="false">IF(入力シート!$A203="","",入力シート!O203)</f>
        <v/>
      </c>
      <c r="AA199" s="25" t="str">
        <f aca="false">IF(入力シート!$A203="","","")</f>
        <v/>
      </c>
      <c r="AB199" s="25" t="str">
        <f aca="false">IF(入力シート!$A203="","",入力シート!P203)</f>
        <v/>
      </c>
      <c r="AC199" s="25" t="str">
        <f aca="false">IF(入力シート!$A203="","",入力シート!U203)</f>
        <v/>
      </c>
      <c r="AD199" s="25" t="str">
        <f aca="false">IF(入力シート!$A203="","",0)</f>
        <v/>
      </c>
      <c r="AE199" s="25" t="str">
        <f aca="false">IF(入力シート!$A203="","",入力シート!I203)</f>
        <v/>
      </c>
      <c r="AF199" s="25" t="str">
        <f aca="false">IF(入力シート!$A203="","",入力シート!M203)</f>
        <v/>
      </c>
      <c r="AG199" s="25" t="str">
        <f aca="false">IF(入力シート!$A203="","",入力シート!N203)</f>
        <v/>
      </c>
      <c r="AH199" s="25" t="str">
        <f aca="false">IF(入力シート!$A203="","","")</f>
        <v/>
      </c>
      <c r="AI199" s="25" t="str">
        <f aca="false">IF(入力シート!$A203="","","")</f>
        <v/>
      </c>
      <c r="AJ199" s="25" t="str">
        <f aca="false">IF(入力シート!$A203="","","")</f>
        <v/>
      </c>
      <c r="AK199" s="25" t="str">
        <f aca="false">IF(入力シート!$A203="","",2)</f>
        <v/>
      </c>
      <c r="AL199" s="25" t="str">
        <f aca="false">IF(入力シート!$A203="","","")</f>
        <v/>
      </c>
      <c r="AM199" s="25" t="str">
        <f aca="false">IF(入力シート!$A203="","","")</f>
        <v/>
      </c>
      <c r="AN199" s="25" t="str">
        <f aca="false">IF(入力シート!$A203="","",入力シート!C203)</f>
        <v/>
      </c>
      <c r="AO199" s="25" t="str">
        <f aca="false">IF(入力シート!$A203="","","")</f>
        <v/>
      </c>
      <c r="AP199" s="25" t="str">
        <f aca="false">IF(入力シート!$A203="","","")</f>
        <v/>
      </c>
      <c r="AQ199" s="25" t="str">
        <f aca="false">IF(入力シート!$A203="","","")</f>
        <v/>
      </c>
    </row>
    <row r="200" customFormat="false" ht="15" hidden="false" customHeight="true" outlineLevel="0" collapsed="false">
      <c r="A200" s="25" t="str">
        <f aca="false">IF(入力シート!$A204="","",1)</f>
        <v/>
      </c>
      <c r="B200" s="25" t="str">
        <f aca="false">IF(入力シート!$A204="","",1)</f>
        <v/>
      </c>
      <c r="C200" s="25" t="str">
        <f aca="false">IF(入力シート!$A204="","",0)</f>
        <v/>
      </c>
      <c r="D200" s="25" t="str">
        <f aca="false">IF(入力シート!$A204="","",TEXT(入力シート!A204,"YYYYMMDD"))</f>
        <v/>
      </c>
      <c r="E200" s="25" t="str">
        <f aca="false">IF(入力シート!$A204="","",TEXT(入力シート!Q204,"00000000"))</f>
        <v/>
      </c>
      <c r="F200" s="25" t="str">
        <f aca="false">IF(入力シート!$A204="","",14)</f>
        <v/>
      </c>
      <c r="G200" s="25" t="str">
        <f aca="false">IF(入力シート!$A204="","",1)</f>
        <v/>
      </c>
      <c r="H200" s="25" t="str">
        <f aca="false">IF(入力シート!$A204="","",1)</f>
        <v/>
      </c>
      <c r="I200" s="25" t="str">
        <f aca="false">IF(入力シート!$A204="","",3)</f>
        <v/>
      </c>
      <c r="J200" s="25" t="str">
        <f aca="false">IF(入力シート!$A204="","",1)</f>
        <v/>
      </c>
      <c r="K200" s="25" t="str">
        <f aca="false">IF(入力シート!$A204="","",入力シート!B204)</f>
        <v/>
      </c>
      <c r="L200" s="25" t="str">
        <f aca="false">IF(入力シート!$A204="","","")</f>
        <v/>
      </c>
      <c r="M200" s="25" t="str">
        <f aca="false">IF(入力シート!$A204="","","")</f>
        <v/>
      </c>
      <c r="N200" s="25" t="str">
        <f aca="false">IF(入力シート!$A204="","",入力シート!R204)</f>
        <v/>
      </c>
      <c r="O200" s="25" t="str">
        <f aca="false">IF(入力シート!$A204="","",IF(入力シート!G204="",1,入力シート!G204))</f>
        <v/>
      </c>
      <c r="P200" s="25" t="str">
        <f aca="false">IF(入力シート!$A204="","",入力シート!D204)</f>
        <v/>
      </c>
      <c r="Q200" s="25" t="str">
        <f aca="false">IF(入力シート!$A204="","","")</f>
        <v/>
      </c>
      <c r="R200" s="25" t="str">
        <f aca="false">IF(入力シート!$A204="","",入力シート!J204)</f>
        <v/>
      </c>
      <c r="S200" s="25" t="str">
        <f aca="false">IF(入力シート!$A204="","",入力シート!L204)</f>
        <v/>
      </c>
      <c r="T200" s="25" t="str">
        <f aca="false">IF(入力シート!$A204="","",入力シート!K204)</f>
        <v/>
      </c>
      <c r="U200" s="25" t="str">
        <f aca="false">IF(入力シート!$A204="","",0)</f>
        <v/>
      </c>
      <c r="V200" s="25" t="str">
        <f aca="false">IF(入力シート!$A204="","",0)</f>
        <v/>
      </c>
      <c r="W200" s="25" t="str">
        <f aca="false">IF(入力シート!$A204="","","0000")</f>
        <v/>
      </c>
      <c r="X200" s="25" t="str">
        <f aca="false">IF(入力シート!$A204="","",入力シート!E204)</f>
        <v/>
      </c>
      <c r="Y200" s="25" t="str">
        <f aca="false">IF(入力シート!$A204="","",入力シート!F204)</f>
        <v/>
      </c>
      <c r="Z200" s="25" t="str">
        <f aca="false">IF(入力シート!$A204="","",入力シート!O204)</f>
        <v/>
      </c>
      <c r="AA200" s="25" t="str">
        <f aca="false">IF(入力シート!$A204="","","")</f>
        <v/>
      </c>
      <c r="AB200" s="25" t="str">
        <f aca="false">IF(入力シート!$A204="","",入力シート!P204)</f>
        <v/>
      </c>
      <c r="AC200" s="25" t="str">
        <f aca="false">IF(入力シート!$A204="","",入力シート!U204)</f>
        <v/>
      </c>
      <c r="AD200" s="25" t="str">
        <f aca="false">IF(入力シート!$A204="","",0)</f>
        <v/>
      </c>
      <c r="AE200" s="25" t="str">
        <f aca="false">IF(入力シート!$A204="","",入力シート!I204)</f>
        <v/>
      </c>
      <c r="AF200" s="25" t="str">
        <f aca="false">IF(入力シート!$A204="","",入力シート!M204)</f>
        <v/>
      </c>
      <c r="AG200" s="25" t="str">
        <f aca="false">IF(入力シート!$A204="","",入力シート!N204)</f>
        <v/>
      </c>
      <c r="AH200" s="25" t="str">
        <f aca="false">IF(入力シート!$A204="","","")</f>
        <v/>
      </c>
      <c r="AI200" s="25" t="str">
        <f aca="false">IF(入力シート!$A204="","","")</f>
        <v/>
      </c>
      <c r="AJ200" s="25" t="str">
        <f aca="false">IF(入力シート!$A204="","","")</f>
        <v/>
      </c>
      <c r="AK200" s="25" t="str">
        <f aca="false">IF(入力シート!$A204="","",2)</f>
        <v/>
      </c>
      <c r="AL200" s="25" t="str">
        <f aca="false">IF(入力シート!$A204="","","")</f>
        <v/>
      </c>
      <c r="AM200" s="25" t="str">
        <f aca="false">IF(入力シート!$A204="","","")</f>
        <v/>
      </c>
      <c r="AN200" s="25" t="str">
        <f aca="false">IF(入力シート!$A204="","",入力シート!C204)</f>
        <v/>
      </c>
      <c r="AO200" s="25" t="str">
        <f aca="false">IF(入力シート!$A204="","","")</f>
        <v/>
      </c>
      <c r="AP200" s="25" t="str">
        <f aca="false">IF(入力シート!$A204="","","")</f>
        <v/>
      </c>
      <c r="AQ200" s="25" t="str">
        <f aca="false">IF(入力シート!$A204="","","")</f>
        <v/>
      </c>
    </row>
    <row r="201" customFormat="false" ht="15" hidden="false" customHeight="true" outlineLevel="0" collapsed="false">
      <c r="A201" s="25" t="n">
        <f aca="false">IF(AT201="","",1)</f>
        <v>1</v>
      </c>
      <c r="B201" s="25" t="n">
        <f aca="false">IF(AT201="","",1)</f>
        <v>1</v>
      </c>
      <c r="C201" s="25" t="n">
        <f aca="false">IF(AT201="","",0)</f>
        <v>0</v>
      </c>
      <c r="D201" s="25" t="str">
        <f aca="false">IF(AT201="","",TEXT(INDEX(入力シート!$A$5:$A$204,AT201),"YYYYMMDD"))</f>
        <v>20260804</v>
      </c>
      <c r="E201" s="25" t="str">
        <f aca="false">IF(AT201="","",TEXT(INDEX(入力シート!$Q$5:$Q$204,AT201),"00000000"))</f>
        <v>00000090</v>
      </c>
      <c r="F201" s="25" t="n">
        <f aca="false">IF(AT201="","",14)</f>
        <v>14</v>
      </c>
      <c r="G201" s="25" t="n">
        <f aca="false">IF(AT201="","",1)</f>
        <v>1</v>
      </c>
      <c r="H201" s="25" t="n">
        <f aca="false">IF(AT201="","",1)</f>
        <v>1</v>
      </c>
      <c r="I201" s="25" t="n">
        <f aca="false">IF(AT201="","",3)</f>
        <v>3</v>
      </c>
      <c r="J201" s="25" t="n">
        <f aca="false">IF(AT201="","",1)</f>
        <v>1</v>
      </c>
      <c r="K201" s="25" t="str">
        <f aca="false">IF(AT201="","",INDEX(入力シート!$B$5:$B$204,AT201))</f>
        <v>50</v>
      </c>
      <c r="L201" s="25" t="str">
        <f aca="false">IF(AT201="","","")</f>
        <v/>
      </c>
      <c r="M201" s="25" t="str">
        <f aca="false">IF(AT201="","","")</f>
        <v/>
      </c>
      <c r="N201" s="25" t="n">
        <f aca="false">IF(AT201="","",COUNTIF(入力シート!$Q$5:$Q$204,INDEX(入力シート!$Q$5:$Q$204,AT201))+1)</f>
        <v>3</v>
      </c>
      <c r="O201" s="25" t="n">
        <f aca="false">IF(AT201="","",99)</f>
        <v>99</v>
      </c>
      <c r="P201" s="25" t="str">
        <f aca="false">IF(AT201="","","")</f>
        <v/>
      </c>
      <c r="Q201" s="25" t="str">
        <f aca="false">IF(AT201="","","")</f>
        <v/>
      </c>
      <c r="R201" s="25" t="str">
        <f aca="false">IF(AT201="","","消費税")</f>
        <v>消費税</v>
      </c>
      <c r="S201" s="25" t="n">
        <f aca="false">IF(AT201="","",0)</f>
        <v>0</v>
      </c>
      <c r="T201" s="25" t="str">
        <f aca="false">IF(AT201="","","")</f>
        <v/>
      </c>
      <c r="U201" s="25" t="n">
        <f aca="false">IF(AT201="","",0)</f>
        <v>0</v>
      </c>
      <c r="V201" s="25" t="n">
        <f aca="false">IF(AT201="","",0)</f>
        <v>0</v>
      </c>
      <c r="W201" s="25" t="str">
        <f aca="false">IF(AT201="","","")</f>
        <v/>
      </c>
      <c r="X201" s="25" t="n">
        <f aca="false">IF(AT201="","",0)</f>
        <v>0</v>
      </c>
      <c r="Y201" s="25" t="n">
        <f aca="false">IF(AT201="","",0)</f>
        <v>0</v>
      </c>
      <c r="Z201" s="25" t="n">
        <f aca="false">IF(AT201="","",ROUNDDOWN(SUMIF(入力シート!$Q$5:$Q$204,INDEX(入力シート!$Q$5:$Q$204,AT201),入力シート!$P$5:$P$204)*IF(INDEX(入力シート!$L$5:$L$204,AT201)=13,0.1,IF(INDEX(入力シート!$L$5:$L$204,AT201)=30,0.08,0)),0))</f>
        <v>412000</v>
      </c>
      <c r="AA201" s="25" t="str">
        <f aca="false">IF(AT201="","","")</f>
        <v/>
      </c>
      <c r="AB201" s="25" t="n">
        <f aca="false">IF(AT201="","",0)</f>
        <v>0</v>
      </c>
      <c r="AC201" s="25" t="n">
        <f aca="false">IF(AT201="","",0)</f>
        <v>0</v>
      </c>
      <c r="AD201" s="25" t="n">
        <f aca="false">IF(AT201="","",0)</f>
        <v>0</v>
      </c>
      <c r="AE201" s="25" t="str">
        <f aca="false">IF(AT201="","","")</f>
        <v/>
      </c>
      <c r="AF201" s="25" t="n">
        <f aca="false">IF(AT201="","",0)</f>
        <v>0</v>
      </c>
      <c r="AG201" s="25" t="n">
        <f aca="false">IF(AT201="","",0)</f>
        <v>0</v>
      </c>
      <c r="AH201" s="25" t="str">
        <f aca="false">IF(AT201="","","")</f>
        <v/>
      </c>
      <c r="AI201" s="25" t="str">
        <f aca="false">IF(AT201="","","")</f>
        <v/>
      </c>
      <c r="AJ201" s="25" t="str">
        <f aca="false">IF(AT201="","","")</f>
        <v/>
      </c>
      <c r="AK201" s="25" t="n">
        <f aca="false">IF(AT201="","",2)</f>
        <v>2</v>
      </c>
      <c r="AL201" s="25" t="str">
        <f aca="false">IF(AT201="","","")</f>
        <v/>
      </c>
      <c r="AM201" s="25" t="str">
        <f aca="false">IF(AT201="","","")</f>
        <v/>
      </c>
      <c r="AN201" s="25" t="str">
        <f aca="false">IF(AT201="","",INDEX(入力シート!$C$5:$C$204,AT201))</f>
        <v>株式会社オリエンタルフーズ</v>
      </c>
      <c r="AO201" s="25" t="str">
        <f aca="false">IF(AT201="","","")</f>
        <v/>
      </c>
      <c r="AP201" s="25" t="str">
        <f aca="false">IF(AT201="","","")</f>
        <v/>
      </c>
      <c r="AQ201" s="25" t="str">
        <f aca="false">IF(AT201="","","")</f>
        <v/>
      </c>
      <c r="AT201" s="27" t="n">
        <f aca="false">IFERROR(MATCH(1,入力シート!$T$5:$T$204,0),"")</f>
        <v>1</v>
      </c>
    </row>
    <row r="202" customFormat="false" ht="15" hidden="false" customHeight="true" outlineLevel="0" collapsed="false">
      <c r="A202" s="25" t="str">
        <f aca="false">IF(AT202="","",1)</f>
        <v/>
      </c>
      <c r="B202" s="25" t="str">
        <f aca="false">IF(AT202="","",1)</f>
        <v/>
      </c>
      <c r="C202" s="25" t="str">
        <f aca="false">IF(AT202="","",0)</f>
        <v/>
      </c>
      <c r="D202" s="25" t="str">
        <f aca="false">IF(AT202="","",TEXT(INDEX(入力シート!$A$5:$A$204,AT202),"YYYYMMDD"))</f>
        <v/>
      </c>
      <c r="E202" s="25" t="str">
        <f aca="false">IF(AT202="","",TEXT(INDEX(入力シート!$Q$5:$Q$204,AT202),"00000000"))</f>
        <v/>
      </c>
      <c r="F202" s="25" t="str">
        <f aca="false">IF(AT202="","",14)</f>
        <v/>
      </c>
      <c r="G202" s="25" t="str">
        <f aca="false">IF(AT202="","",1)</f>
        <v/>
      </c>
      <c r="H202" s="25" t="str">
        <f aca="false">IF(AT202="","",1)</f>
        <v/>
      </c>
      <c r="I202" s="25" t="str">
        <f aca="false">IF(AT202="","",3)</f>
        <v/>
      </c>
      <c r="J202" s="25" t="str">
        <f aca="false">IF(AT202="","",1)</f>
        <v/>
      </c>
      <c r="K202" s="25" t="str">
        <f aca="false">IF(AT202="","",INDEX(入力シート!$B$5:$B$204,AT202))</f>
        <v/>
      </c>
      <c r="L202" s="25" t="str">
        <f aca="false">IF(AT202="","","")</f>
        <v/>
      </c>
      <c r="M202" s="25" t="str">
        <f aca="false">IF(AT202="","","")</f>
        <v/>
      </c>
      <c r="N202" s="25" t="str">
        <f aca="false">IF(AT202="","",COUNTIF(入力シート!$Q$5:$Q$204,INDEX(入力シート!$Q$5:$Q$204,AT202))+1)</f>
        <v/>
      </c>
      <c r="O202" s="25" t="str">
        <f aca="false">IF(AT202="","",99)</f>
        <v/>
      </c>
      <c r="P202" s="25" t="str">
        <f aca="false">IF(AT202="","","")</f>
        <v/>
      </c>
      <c r="Q202" s="25" t="str">
        <f aca="false">IF(AT202="","","")</f>
        <v/>
      </c>
      <c r="R202" s="25" t="str">
        <f aca="false">IF(AT202="","","消費税")</f>
        <v/>
      </c>
      <c r="S202" s="25" t="str">
        <f aca="false">IF(AT202="","",0)</f>
        <v/>
      </c>
      <c r="T202" s="25" t="str">
        <f aca="false">IF(AT202="","","")</f>
        <v/>
      </c>
      <c r="U202" s="25" t="str">
        <f aca="false">IF(AT202="","",0)</f>
        <v/>
      </c>
      <c r="V202" s="25" t="str">
        <f aca="false">IF(AT202="","",0)</f>
        <v/>
      </c>
      <c r="W202" s="25" t="str">
        <f aca="false">IF(AT202="","","")</f>
        <v/>
      </c>
      <c r="X202" s="25" t="str">
        <f aca="false">IF(AT202="","",0)</f>
        <v/>
      </c>
      <c r="Y202" s="25" t="str">
        <f aca="false">IF(AT202="","",0)</f>
        <v/>
      </c>
      <c r="Z202" s="25" t="str">
        <f aca="false">IF(AT202="","",ROUNDDOWN(SUMIF(入力シート!$Q$5:$Q$204,INDEX(入力シート!$Q$5:$Q$204,AT202),入力シート!$P$5:$P$204)*IF(INDEX(入力シート!$L$5:$L$204,AT202)=13,0.1,IF(INDEX(入力シート!$L$5:$L$204,AT202)=30,0.08,0)),0))</f>
        <v/>
      </c>
      <c r="AA202" s="25" t="str">
        <f aca="false">IF(AT202="","","")</f>
        <v/>
      </c>
      <c r="AB202" s="25" t="str">
        <f aca="false">IF(AT202="","",0)</f>
        <v/>
      </c>
      <c r="AC202" s="25" t="str">
        <f aca="false">IF(AT202="","",0)</f>
        <v/>
      </c>
      <c r="AD202" s="25" t="str">
        <f aca="false">IF(AT202="","",0)</f>
        <v/>
      </c>
      <c r="AE202" s="25" t="str">
        <f aca="false">IF(AT202="","","")</f>
        <v/>
      </c>
      <c r="AF202" s="25" t="str">
        <f aca="false">IF(AT202="","",0)</f>
        <v/>
      </c>
      <c r="AG202" s="25" t="str">
        <f aca="false">IF(AT202="","",0)</f>
        <v/>
      </c>
      <c r="AH202" s="25" t="str">
        <f aca="false">IF(AT202="","","")</f>
        <v/>
      </c>
      <c r="AI202" s="25" t="str">
        <f aca="false">IF(AT202="","","")</f>
        <v/>
      </c>
      <c r="AJ202" s="25" t="str">
        <f aca="false">IF(AT202="","","")</f>
        <v/>
      </c>
      <c r="AK202" s="25" t="str">
        <f aca="false">IF(AT202="","",2)</f>
        <v/>
      </c>
      <c r="AL202" s="25" t="str">
        <f aca="false">IF(AT202="","","")</f>
        <v/>
      </c>
      <c r="AM202" s="25" t="str">
        <f aca="false">IF(AT202="","","")</f>
        <v/>
      </c>
      <c r="AN202" s="25" t="str">
        <f aca="false">IF(AT202="","",INDEX(入力シート!$C$5:$C$204,AT202))</f>
        <v/>
      </c>
      <c r="AO202" s="25" t="str">
        <f aca="false">IF(AT202="","","")</f>
        <v/>
      </c>
      <c r="AP202" s="25" t="str">
        <f aca="false">IF(AT202="","","")</f>
        <v/>
      </c>
      <c r="AQ202" s="25" t="str">
        <f aca="false">IF(AT202="","","")</f>
        <v/>
      </c>
      <c r="AT202" s="27" t="str">
        <f aca="false">IFERROR(MATCH(2,入力シート!$T$5:$T$204,0),"")</f>
        <v/>
      </c>
    </row>
    <row r="203" customFormat="false" ht="15" hidden="false" customHeight="true" outlineLevel="0" collapsed="false">
      <c r="A203" s="25" t="str">
        <f aca="false">IF(AT203="","",1)</f>
        <v/>
      </c>
      <c r="B203" s="25" t="str">
        <f aca="false">IF(AT203="","",1)</f>
        <v/>
      </c>
      <c r="C203" s="25" t="str">
        <f aca="false">IF(AT203="","",0)</f>
        <v/>
      </c>
      <c r="D203" s="25" t="str">
        <f aca="false">IF(AT203="","",TEXT(INDEX(入力シート!$A$5:$A$204,AT203),"YYYYMMDD"))</f>
        <v/>
      </c>
      <c r="E203" s="25" t="str">
        <f aca="false">IF(AT203="","",TEXT(INDEX(入力シート!$Q$5:$Q$204,AT203),"00000000"))</f>
        <v/>
      </c>
      <c r="F203" s="25" t="str">
        <f aca="false">IF(AT203="","",14)</f>
        <v/>
      </c>
      <c r="G203" s="25" t="str">
        <f aca="false">IF(AT203="","",1)</f>
        <v/>
      </c>
      <c r="H203" s="25" t="str">
        <f aca="false">IF(AT203="","",1)</f>
        <v/>
      </c>
      <c r="I203" s="25" t="str">
        <f aca="false">IF(AT203="","",3)</f>
        <v/>
      </c>
      <c r="J203" s="25" t="str">
        <f aca="false">IF(AT203="","",1)</f>
        <v/>
      </c>
      <c r="K203" s="25" t="str">
        <f aca="false">IF(AT203="","",INDEX(入力シート!$B$5:$B$204,AT203))</f>
        <v/>
      </c>
      <c r="L203" s="25" t="str">
        <f aca="false">IF(AT203="","","")</f>
        <v/>
      </c>
      <c r="M203" s="25" t="str">
        <f aca="false">IF(AT203="","","")</f>
        <v/>
      </c>
      <c r="N203" s="25" t="str">
        <f aca="false">IF(AT203="","",COUNTIF(入力シート!$Q$5:$Q$204,INDEX(入力シート!$Q$5:$Q$204,AT203))+1)</f>
        <v/>
      </c>
      <c r="O203" s="25" t="str">
        <f aca="false">IF(AT203="","",99)</f>
        <v/>
      </c>
      <c r="P203" s="25" t="str">
        <f aca="false">IF(AT203="","","")</f>
        <v/>
      </c>
      <c r="Q203" s="25" t="str">
        <f aca="false">IF(AT203="","","")</f>
        <v/>
      </c>
      <c r="R203" s="25" t="str">
        <f aca="false">IF(AT203="","","消費税")</f>
        <v/>
      </c>
      <c r="S203" s="25" t="str">
        <f aca="false">IF(AT203="","",0)</f>
        <v/>
      </c>
      <c r="T203" s="25" t="str">
        <f aca="false">IF(AT203="","","")</f>
        <v/>
      </c>
      <c r="U203" s="25" t="str">
        <f aca="false">IF(AT203="","",0)</f>
        <v/>
      </c>
      <c r="V203" s="25" t="str">
        <f aca="false">IF(AT203="","",0)</f>
        <v/>
      </c>
      <c r="W203" s="25" t="str">
        <f aca="false">IF(AT203="","","")</f>
        <v/>
      </c>
      <c r="X203" s="25" t="str">
        <f aca="false">IF(AT203="","",0)</f>
        <v/>
      </c>
      <c r="Y203" s="25" t="str">
        <f aca="false">IF(AT203="","",0)</f>
        <v/>
      </c>
      <c r="Z203" s="25" t="str">
        <f aca="false">IF(AT203="","",ROUNDDOWN(SUMIF(入力シート!$Q$5:$Q$204,INDEX(入力シート!$Q$5:$Q$204,AT203),入力シート!$P$5:$P$204)*IF(INDEX(入力シート!$L$5:$L$204,AT203)=13,0.1,IF(INDEX(入力シート!$L$5:$L$204,AT203)=30,0.08,0)),0))</f>
        <v/>
      </c>
      <c r="AA203" s="25" t="str">
        <f aca="false">IF(AT203="","","")</f>
        <v/>
      </c>
      <c r="AB203" s="25" t="str">
        <f aca="false">IF(AT203="","",0)</f>
        <v/>
      </c>
      <c r="AC203" s="25" t="str">
        <f aca="false">IF(AT203="","",0)</f>
        <v/>
      </c>
      <c r="AD203" s="25" t="str">
        <f aca="false">IF(AT203="","",0)</f>
        <v/>
      </c>
      <c r="AE203" s="25" t="str">
        <f aca="false">IF(AT203="","","")</f>
        <v/>
      </c>
      <c r="AF203" s="25" t="str">
        <f aca="false">IF(AT203="","",0)</f>
        <v/>
      </c>
      <c r="AG203" s="25" t="str">
        <f aca="false">IF(AT203="","",0)</f>
        <v/>
      </c>
      <c r="AH203" s="25" t="str">
        <f aca="false">IF(AT203="","","")</f>
        <v/>
      </c>
      <c r="AI203" s="25" t="str">
        <f aca="false">IF(AT203="","","")</f>
        <v/>
      </c>
      <c r="AJ203" s="25" t="str">
        <f aca="false">IF(AT203="","","")</f>
        <v/>
      </c>
      <c r="AK203" s="25" t="str">
        <f aca="false">IF(AT203="","",2)</f>
        <v/>
      </c>
      <c r="AL203" s="25" t="str">
        <f aca="false">IF(AT203="","","")</f>
        <v/>
      </c>
      <c r="AM203" s="25" t="str">
        <f aca="false">IF(AT203="","","")</f>
        <v/>
      </c>
      <c r="AN203" s="25" t="str">
        <f aca="false">IF(AT203="","",INDEX(入力シート!$C$5:$C$204,AT203))</f>
        <v/>
      </c>
      <c r="AO203" s="25" t="str">
        <f aca="false">IF(AT203="","","")</f>
        <v/>
      </c>
      <c r="AP203" s="25" t="str">
        <f aca="false">IF(AT203="","","")</f>
        <v/>
      </c>
      <c r="AQ203" s="25" t="str">
        <f aca="false">IF(AT203="","","")</f>
        <v/>
      </c>
      <c r="AT203" s="27" t="str">
        <f aca="false">IFERROR(MATCH(3,入力シート!$T$5:$T$204,0),"")</f>
        <v/>
      </c>
    </row>
    <row r="204" customFormat="false" ht="15" hidden="false" customHeight="true" outlineLevel="0" collapsed="false">
      <c r="A204" s="25" t="str">
        <f aca="false">IF(AT204="","",1)</f>
        <v/>
      </c>
      <c r="B204" s="25" t="str">
        <f aca="false">IF(AT204="","",1)</f>
        <v/>
      </c>
      <c r="C204" s="25" t="str">
        <f aca="false">IF(AT204="","",0)</f>
        <v/>
      </c>
      <c r="D204" s="25" t="str">
        <f aca="false">IF(AT204="","",TEXT(INDEX(入力シート!$A$5:$A$204,AT204),"YYYYMMDD"))</f>
        <v/>
      </c>
      <c r="E204" s="25" t="str">
        <f aca="false">IF(AT204="","",TEXT(INDEX(入力シート!$Q$5:$Q$204,AT204),"00000000"))</f>
        <v/>
      </c>
      <c r="F204" s="25" t="str">
        <f aca="false">IF(AT204="","",14)</f>
        <v/>
      </c>
      <c r="G204" s="25" t="str">
        <f aca="false">IF(AT204="","",1)</f>
        <v/>
      </c>
      <c r="H204" s="25" t="str">
        <f aca="false">IF(AT204="","",1)</f>
        <v/>
      </c>
      <c r="I204" s="25" t="str">
        <f aca="false">IF(AT204="","",3)</f>
        <v/>
      </c>
      <c r="J204" s="25" t="str">
        <f aca="false">IF(AT204="","",1)</f>
        <v/>
      </c>
      <c r="K204" s="25" t="str">
        <f aca="false">IF(AT204="","",INDEX(入力シート!$B$5:$B$204,AT204))</f>
        <v/>
      </c>
      <c r="L204" s="25" t="str">
        <f aca="false">IF(AT204="","","")</f>
        <v/>
      </c>
      <c r="M204" s="25" t="str">
        <f aca="false">IF(AT204="","","")</f>
        <v/>
      </c>
      <c r="N204" s="25" t="str">
        <f aca="false">IF(AT204="","",COUNTIF(入力シート!$Q$5:$Q$204,INDEX(入力シート!$Q$5:$Q$204,AT204))+1)</f>
        <v/>
      </c>
      <c r="O204" s="25" t="str">
        <f aca="false">IF(AT204="","",99)</f>
        <v/>
      </c>
      <c r="P204" s="25" t="str">
        <f aca="false">IF(AT204="","","")</f>
        <v/>
      </c>
      <c r="Q204" s="25" t="str">
        <f aca="false">IF(AT204="","","")</f>
        <v/>
      </c>
      <c r="R204" s="25" t="str">
        <f aca="false">IF(AT204="","","消費税")</f>
        <v/>
      </c>
      <c r="S204" s="25" t="str">
        <f aca="false">IF(AT204="","",0)</f>
        <v/>
      </c>
      <c r="T204" s="25" t="str">
        <f aca="false">IF(AT204="","","")</f>
        <v/>
      </c>
      <c r="U204" s="25" t="str">
        <f aca="false">IF(AT204="","",0)</f>
        <v/>
      </c>
      <c r="V204" s="25" t="str">
        <f aca="false">IF(AT204="","",0)</f>
        <v/>
      </c>
      <c r="W204" s="25" t="str">
        <f aca="false">IF(AT204="","","")</f>
        <v/>
      </c>
      <c r="X204" s="25" t="str">
        <f aca="false">IF(AT204="","",0)</f>
        <v/>
      </c>
      <c r="Y204" s="25" t="str">
        <f aca="false">IF(AT204="","",0)</f>
        <v/>
      </c>
      <c r="Z204" s="25" t="str">
        <f aca="false">IF(AT204="","",ROUNDDOWN(SUMIF(入力シート!$Q$5:$Q$204,INDEX(入力シート!$Q$5:$Q$204,AT204),入力シート!$P$5:$P$204)*IF(INDEX(入力シート!$L$5:$L$204,AT204)=13,0.1,IF(INDEX(入力シート!$L$5:$L$204,AT204)=30,0.08,0)),0))</f>
        <v/>
      </c>
      <c r="AA204" s="25" t="str">
        <f aca="false">IF(AT204="","","")</f>
        <v/>
      </c>
      <c r="AB204" s="25" t="str">
        <f aca="false">IF(AT204="","",0)</f>
        <v/>
      </c>
      <c r="AC204" s="25" t="str">
        <f aca="false">IF(AT204="","",0)</f>
        <v/>
      </c>
      <c r="AD204" s="25" t="str">
        <f aca="false">IF(AT204="","",0)</f>
        <v/>
      </c>
      <c r="AE204" s="25" t="str">
        <f aca="false">IF(AT204="","","")</f>
        <v/>
      </c>
      <c r="AF204" s="25" t="str">
        <f aca="false">IF(AT204="","",0)</f>
        <v/>
      </c>
      <c r="AG204" s="25" t="str">
        <f aca="false">IF(AT204="","",0)</f>
        <v/>
      </c>
      <c r="AH204" s="25" t="str">
        <f aca="false">IF(AT204="","","")</f>
        <v/>
      </c>
      <c r="AI204" s="25" t="str">
        <f aca="false">IF(AT204="","","")</f>
        <v/>
      </c>
      <c r="AJ204" s="25" t="str">
        <f aca="false">IF(AT204="","","")</f>
        <v/>
      </c>
      <c r="AK204" s="25" t="str">
        <f aca="false">IF(AT204="","",2)</f>
        <v/>
      </c>
      <c r="AL204" s="25" t="str">
        <f aca="false">IF(AT204="","","")</f>
        <v/>
      </c>
      <c r="AM204" s="25" t="str">
        <f aca="false">IF(AT204="","","")</f>
        <v/>
      </c>
      <c r="AN204" s="25" t="str">
        <f aca="false">IF(AT204="","",INDEX(入力シート!$C$5:$C$204,AT204))</f>
        <v/>
      </c>
      <c r="AO204" s="25" t="str">
        <f aca="false">IF(AT204="","","")</f>
        <v/>
      </c>
      <c r="AP204" s="25" t="str">
        <f aca="false">IF(AT204="","","")</f>
        <v/>
      </c>
      <c r="AQ204" s="25" t="str">
        <f aca="false">IF(AT204="","","")</f>
        <v/>
      </c>
      <c r="AT204" s="27" t="str">
        <f aca="false">IFERROR(MATCH(4,入力シート!$T$5:$T$204,0),"")</f>
        <v/>
      </c>
    </row>
    <row r="205" customFormat="false" ht="15" hidden="false" customHeight="true" outlineLevel="0" collapsed="false">
      <c r="A205" s="25" t="str">
        <f aca="false">IF(AT205="","",1)</f>
        <v/>
      </c>
      <c r="B205" s="25" t="str">
        <f aca="false">IF(AT205="","",1)</f>
        <v/>
      </c>
      <c r="C205" s="25" t="str">
        <f aca="false">IF(AT205="","",0)</f>
        <v/>
      </c>
      <c r="D205" s="25" t="str">
        <f aca="false">IF(AT205="","",TEXT(INDEX(入力シート!$A$5:$A$204,AT205),"YYYYMMDD"))</f>
        <v/>
      </c>
      <c r="E205" s="25" t="str">
        <f aca="false">IF(AT205="","",TEXT(INDEX(入力シート!$Q$5:$Q$204,AT205),"00000000"))</f>
        <v/>
      </c>
      <c r="F205" s="25" t="str">
        <f aca="false">IF(AT205="","",14)</f>
        <v/>
      </c>
      <c r="G205" s="25" t="str">
        <f aca="false">IF(AT205="","",1)</f>
        <v/>
      </c>
      <c r="H205" s="25" t="str">
        <f aca="false">IF(AT205="","",1)</f>
        <v/>
      </c>
      <c r="I205" s="25" t="str">
        <f aca="false">IF(AT205="","",3)</f>
        <v/>
      </c>
      <c r="J205" s="25" t="str">
        <f aca="false">IF(AT205="","",1)</f>
        <v/>
      </c>
      <c r="K205" s="25" t="str">
        <f aca="false">IF(AT205="","",INDEX(入力シート!$B$5:$B$204,AT205))</f>
        <v/>
      </c>
      <c r="L205" s="25" t="str">
        <f aca="false">IF(AT205="","","")</f>
        <v/>
      </c>
      <c r="M205" s="25" t="str">
        <f aca="false">IF(AT205="","","")</f>
        <v/>
      </c>
      <c r="N205" s="25" t="str">
        <f aca="false">IF(AT205="","",COUNTIF(入力シート!$Q$5:$Q$204,INDEX(入力シート!$Q$5:$Q$204,AT205))+1)</f>
        <v/>
      </c>
      <c r="O205" s="25" t="str">
        <f aca="false">IF(AT205="","",99)</f>
        <v/>
      </c>
      <c r="P205" s="25" t="str">
        <f aca="false">IF(AT205="","","")</f>
        <v/>
      </c>
      <c r="Q205" s="25" t="str">
        <f aca="false">IF(AT205="","","")</f>
        <v/>
      </c>
      <c r="R205" s="25" t="str">
        <f aca="false">IF(AT205="","","消費税")</f>
        <v/>
      </c>
      <c r="S205" s="25" t="str">
        <f aca="false">IF(AT205="","",0)</f>
        <v/>
      </c>
      <c r="T205" s="25" t="str">
        <f aca="false">IF(AT205="","","")</f>
        <v/>
      </c>
      <c r="U205" s="25" t="str">
        <f aca="false">IF(AT205="","",0)</f>
        <v/>
      </c>
      <c r="V205" s="25" t="str">
        <f aca="false">IF(AT205="","",0)</f>
        <v/>
      </c>
      <c r="W205" s="25" t="str">
        <f aca="false">IF(AT205="","","")</f>
        <v/>
      </c>
      <c r="X205" s="25" t="str">
        <f aca="false">IF(AT205="","",0)</f>
        <v/>
      </c>
      <c r="Y205" s="25" t="str">
        <f aca="false">IF(AT205="","",0)</f>
        <v/>
      </c>
      <c r="Z205" s="25" t="str">
        <f aca="false">IF(AT205="","",ROUNDDOWN(SUMIF(入力シート!$Q$5:$Q$204,INDEX(入力シート!$Q$5:$Q$204,AT205),入力シート!$P$5:$P$204)*IF(INDEX(入力シート!$L$5:$L$204,AT205)=13,0.1,IF(INDEX(入力シート!$L$5:$L$204,AT205)=30,0.08,0)),0))</f>
        <v/>
      </c>
      <c r="AA205" s="25" t="str">
        <f aca="false">IF(AT205="","","")</f>
        <v/>
      </c>
      <c r="AB205" s="25" t="str">
        <f aca="false">IF(AT205="","",0)</f>
        <v/>
      </c>
      <c r="AC205" s="25" t="str">
        <f aca="false">IF(AT205="","",0)</f>
        <v/>
      </c>
      <c r="AD205" s="25" t="str">
        <f aca="false">IF(AT205="","",0)</f>
        <v/>
      </c>
      <c r="AE205" s="25" t="str">
        <f aca="false">IF(AT205="","","")</f>
        <v/>
      </c>
      <c r="AF205" s="25" t="str">
        <f aca="false">IF(AT205="","",0)</f>
        <v/>
      </c>
      <c r="AG205" s="25" t="str">
        <f aca="false">IF(AT205="","",0)</f>
        <v/>
      </c>
      <c r="AH205" s="25" t="str">
        <f aca="false">IF(AT205="","","")</f>
        <v/>
      </c>
      <c r="AI205" s="25" t="str">
        <f aca="false">IF(AT205="","","")</f>
        <v/>
      </c>
      <c r="AJ205" s="25" t="str">
        <f aca="false">IF(AT205="","","")</f>
        <v/>
      </c>
      <c r="AK205" s="25" t="str">
        <f aca="false">IF(AT205="","",2)</f>
        <v/>
      </c>
      <c r="AL205" s="25" t="str">
        <f aca="false">IF(AT205="","","")</f>
        <v/>
      </c>
      <c r="AM205" s="25" t="str">
        <f aca="false">IF(AT205="","","")</f>
        <v/>
      </c>
      <c r="AN205" s="25" t="str">
        <f aca="false">IF(AT205="","",INDEX(入力シート!$C$5:$C$204,AT205))</f>
        <v/>
      </c>
      <c r="AO205" s="25" t="str">
        <f aca="false">IF(AT205="","","")</f>
        <v/>
      </c>
      <c r="AP205" s="25" t="str">
        <f aca="false">IF(AT205="","","")</f>
        <v/>
      </c>
      <c r="AQ205" s="25" t="str">
        <f aca="false">IF(AT205="","","")</f>
        <v/>
      </c>
      <c r="AT205" s="27" t="str">
        <f aca="false">IFERROR(MATCH(5,入力シート!$T$5:$T$204,0),"")</f>
        <v/>
      </c>
    </row>
    <row r="206" customFormat="false" ht="15" hidden="false" customHeight="true" outlineLevel="0" collapsed="false">
      <c r="A206" s="25" t="str">
        <f aca="false">IF(AT206="","",1)</f>
        <v/>
      </c>
      <c r="B206" s="25" t="str">
        <f aca="false">IF(AT206="","",1)</f>
        <v/>
      </c>
      <c r="C206" s="25" t="str">
        <f aca="false">IF(AT206="","",0)</f>
        <v/>
      </c>
      <c r="D206" s="25" t="str">
        <f aca="false">IF(AT206="","",TEXT(INDEX(入力シート!$A$5:$A$204,AT206),"YYYYMMDD"))</f>
        <v/>
      </c>
      <c r="E206" s="25" t="str">
        <f aca="false">IF(AT206="","",TEXT(INDEX(入力シート!$Q$5:$Q$204,AT206),"00000000"))</f>
        <v/>
      </c>
      <c r="F206" s="25" t="str">
        <f aca="false">IF(AT206="","",14)</f>
        <v/>
      </c>
      <c r="G206" s="25" t="str">
        <f aca="false">IF(AT206="","",1)</f>
        <v/>
      </c>
      <c r="H206" s="25" t="str">
        <f aca="false">IF(AT206="","",1)</f>
        <v/>
      </c>
      <c r="I206" s="25" t="str">
        <f aca="false">IF(AT206="","",3)</f>
        <v/>
      </c>
      <c r="J206" s="25" t="str">
        <f aca="false">IF(AT206="","",1)</f>
        <v/>
      </c>
      <c r="K206" s="25" t="str">
        <f aca="false">IF(AT206="","",INDEX(入力シート!$B$5:$B$204,AT206))</f>
        <v/>
      </c>
      <c r="L206" s="25" t="str">
        <f aca="false">IF(AT206="","","")</f>
        <v/>
      </c>
      <c r="M206" s="25" t="str">
        <f aca="false">IF(AT206="","","")</f>
        <v/>
      </c>
      <c r="N206" s="25" t="str">
        <f aca="false">IF(AT206="","",COUNTIF(入力シート!$Q$5:$Q$204,INDEX(入力シート!$Q$5:$Q$204,AT206))+1)</f>
        <v/>
      </c>
      <c r="O206" s="25" t="str">
        <f aca="false">IF(AT206="","",99)</f>
        <v/>
      </c>
      <c r="P206" s="25" t="str">
        <f aca="false">IF(AT206="","","")</f>
        <v/>
      </c>
      <c r="Q206" s="25" t="str">
        <f aca="false">IF(AT206="","","")</f>
        <v/>
      </c>
      <c r="R206" s="25" t="str">
        <f aca="false">IF(AT206="","","消費税")</f>
        <v/>
      </c>
      <c r="S206" s="25" t="str">
        <f aca="false">IF(AT206="","",0)</f>
        <v/>
      </c>
      <c r="T206" s="25" t="str">
        <f aca="false">IF(AT206="","","")</f>
        <v/>
      </c>
      <c r="U206" s="25" t="str">
        <f aca="false">IF(AT206="","",0)</f>
        <v/>
      </c>
      <c r="V206" s="25" t="str">
        <f aca="false">IF(AT206="","",0)</f>
        <v/>
      </c>
      <c r="W206" s="25" t="str">
        <f aca="false">IF(AT206="","","")</f>
        <v/>
      </c>
      <c r="X206" s="25" t="str">
        <f aca="false">IF(AT206="","",0)</f>
        <v/>
      </c>
      <c r="Y206" s="25" t="str">
        <f aca="false">IF(AT206="","",0)</f>
        <v/>
      </c>
      <c r="Z206" s="25" t="str">
        <f aca="false">IF(AT206="","",ROUNDDOWN(SUMIF(入力シート!$Q$5:$Q$204,INDEX(入力シート!$Q$5:$Q$204,AT206),入力シート!$P$5:$P$204)*IF(INDEX(入力シート!$L$5:$L$204,AT206)=13,0.1,IF(INDEX(入力シート!$L$5:$L$204,AT206)=30,0.08,0)),0))</f>
        <v/>
      </c>
      <c r="AA206" s="25" t="str">
        <f aca="false">IF(AT206="","","")</f>
        <v/>
      </c>
      <c r="AB206" s="25" t="str">
        <f aca="false">IF(AT206="","",0)</f>
        <v/>
      </c>
      <c r="AC206" s="25" t="str">
        <f aca="false">IF(AT206="","",0)</f>
        <v/>
      </c>
      <c r="AD206" s="25" t="str">
        <f aca="false">IF(AT206="","",0)</f>
        <v/>
      </c>
      <c r="AE206" s="25" t="str">
        <f aca="false">IF(AT206="","","")</f>
        <v/>
      </c>
      <c r="AF206" s="25" t="str">
        <f aca="false">IF(AT206="","",0)</f>
        <v/>
      </c>
      <c r="AG206" s="25" t="str">
        <f aca="false">IF(AT206="","",0)</f>
        <v/>
      </c>
      <c r="AH206" s="25" t="str">
        <f aca="false">IF(AT206="","","")</f>
        <v/>
      </c>
      <c r="AI206" s="25" t="str">
        <f aca="false">IF(AT206="","","")</f>
        <v/>
      </c>
      <c r="AJ206" s="25" t="str">
        <f aca="false">IF(AT206="","","")</f>
        <v/>
      </c>
      <c r="AK206" s="25" t="str">
        <f aca="false">IF(AT206="","",2)</f>
        <v/>
      </c>
      <c r="AL206" s="25" t="str">
        <f aca="false">IF(AT206="","","")</f>
        <v/>
      </c>
      <c r="AM206" s="25" t="str">
        <f aca="false">IF(AT206="","","")</f>
        <v/>
      </c>
      <c r="AN206" s="25" t="str">
        <f aca="false">IF(AT206="","",INDEX(入力シート!$C$5:$C$204,AT206))</f>
        <v/>
      </c>
      <c r="AO206" s="25" t="str">
        <f aca="false">IF(AT206="","","")</f>
        <v/>
      </c>
      <c r="AP206" s="25" t="str">
        <f aca="false">IF(AT206="","","")</f>
        <v/>
      </c>
      <c r="AQ206" s="25" t="str">
        <f aca="false">IF(AT206="","","")</f>
        <v/>
      </c>
      <c r="AT206" s="27" t="str">
        <f aca="false">IFERROR(MATCH(6,入力シート!$T$5:$T$204,0),"")</f>
        <v/>
      </c>
    </row>
    <row r="207" customFormat="false" ht="15" hidden="false" customHeight="true" outlineLevel="0" collapsed="false">
      <c r="A207" s="25" t="str">
        <f aca="false">IF(AT207="","",1)</f>
        <v/>
      </c>
      <c r="B207" s="25" t="str">
        <f aca="false">IF(AT207="","",1)</f>
        <v/>
      </c>
      <c r="C207" s="25" t="str">
        <f aca="false">IF(AT207="","",0)</f>
        <v/>
      </c>
      <c r="D207" s="25" t="str">
        <f aca="false">IF(AT207="","",TEXT(INDEX(入力シート!$A$5:$A$204,AT207),"YYYYMMDD"))</f>
        <v/>
      </c>
      <c r="E207" s="25" t="str">
        <f aca="false">IF(AT207="","",TEXT(INDEX(入力シート!$Q$5:$Q$204,AT207),"00000000"))</f>
        <v/>
      </c>
      <c r="F207" s="25" t="str">
        <f aca="false">IF(AT207="","",14)</f>
        <v/>
      </c>
      <c r="G207" s="25" t="str">
        <f aca="false">IF(AT207="","",1)</f>
        <v/>
      </c>
      <c r="H207" s="25" t="str">
        <f aca="false">IF(AT207="","",1)</f>
        <v/>
      </c>
      <c r="I207" s="25" t="str">
        <f aca="false">IF(AT207="","",3)</f>
        <v/>
      </c>
      <c r="J207" s="25" t="str">
        <f aca="false">IF(AT207="","",1)</f>
        <v/>
      </c>
      <c r="K207" s="25" t="str">
        <f aca="false">IF(AT207="","",INDEX(入力シート!$B$5:$B$204,AT207))</f>
        <v/>
      </c>
      <c r="L207" s="25" t="str">
        <f aca="false">IF(AT207="","","")</f>
        <v/>
      </c>
      <c r="M207" s="25" t="str">
        <f aca="false">IF(AT207="","","")</f>
        <v/>
      </c>
      <c r="N207" s="25" t="str">
        <f aca="false">IF(AT207="","",COUNTIF(入力シート!$Q$5:$Q$204,INDEX(入力シート!$Q$5:$Q$204,AT207))+1)</f>
        <v/>
      </c>
      <c r="O207" s="25" t="str">
        <f aca="false">IF(AT207="","",99)</f>
        <v/>
      </c>
      <c r="P207" s="25" t="str">
        <f aca="false">IF(AT207="","","")</f>
        <v/>
      </c>
      <c r="Q207" s="25" t="str">
        <f aca="false">IF(AT207="","","")</f>
        <v/>
      </c>
      <c r="R207" s="25" t="str">
        <f aca="false">IF(AT207="","","消費税")</f>
        <v/>
      </c>
      <c r="S207" s="25" t="str">
        <f aca="false">IF(AT207="","",0)</f>
        <v/>
      </c>
      <c r="T207" s="25" t="str">
        <f aca="false">IF(AT207="","","")</f>
        <v/>
      </c>
      <c r="U207" s="25" t="str">
        <f aca="false">IF(AT207="","",0)</f>
        <v/>
      </c>
      <c r="V207" s="25" t="str">
        <f aca="false">IF(AT207="","",0)</f>
        <v/>
      </c>
      <c r="W207" s="25" t="str">
        <f aca="false">IF(AT207="","","")</f>
        <v/>
      </c>
      <c r="X207" s="25" t="str">
        <f aca="false">IF(AT207="","",0)</f>
        <v/>
      </c>
      <c r="Y207" s="25" t="str">
        <f aca="false">IF(AT207="","",0)</f>
        <v/>
      </c>
      <c r="Z207" s="25" t="str">
        <f aca="false">IF(AT207="","",ROUNDDOWN(SUMIF(入力シート!$Q$5:$Q$204,INDEX(入力シート!$Q$5:$Q$204,AT207),入力シート!$P$5:$P$204)*IF(INDEX(入力シート!$L$5:$L$204,AT207)=13,0.1,IF(INDEX(入力シート!$L$5:$L$204,AT207)=30,0.08,0)),0))</f>
        <v/>
      </c>
      <c r="AA207" s="25" t="str">
        <f aca="false">IF(AT207="","","")</f>
        <v/>
      </c>
      <c r="AB207" s="25" t="str">
        <f aca="false">IF(AT207="","",0)</f>
        <v/>
      </c>
      <c r="AC207" s="25" t="str">
        <f aca="false">IF(AT207="","",0)</f>
        <v/>
      </c>
      <c r="AD207" s="25" t="str">
        <f aca="false">IF(AT207="","",0)</f>
        <v/>
      </c>
      <c r="AE207" s="25" t="str">
        <f aca="false">IF(AT207="","","")</f>
        <v/>
      </c>
      <c r="AF207" s="25" t="str">
        <f aca="false">IF(AT207="","",0)</f>
        <v/>
      </c>
      <c r="AG207" s="25" t="str">
        <f aca="false">IF(AT207="","",0)</f>
        <v/>
      </c>
      <c r="AH207" s="25" t="str">
        <f aca="false">IF(AT207="","","")</f>
        <v/>
      </c>
      <c r="AI207" s="25" t="str">
        <f aca="false">IF(AT207="","","")</f>
        <v/>
      </c>
      <c r="AJ207" s="25" t="str">
        <f aca="false">IF(AT207="","","")</f>
        <v/>
      </c>
      <c r="AK207" s="25" t="str">
        <f aca="false">IF(AT207="","",2)</f>
        <v/>
      </c>
      <c r="AL207" s="25" t="str">
        <f aca="false">IF(AT207="","","")</f>
        <v/>
      </c>
      <c r="AM207" s="25" t="str">
        <f aca="false">IF(AT207="","","")</f>
        <v/>
      </c>
      <c r="AN207" s="25" t="str">
        <f aca="false">IF(AT207="","",INDEX(入力シート!$C$5:$C$204,AT207))</f>
        <v/>
      </c>
      <c r="AO207" s="25" t="str">
        <f aca="false">IF(AT207="","","")</f>
        <v/>
      </c>
      <c r="AP207" s="25" t="str">
        <f aca="false">IF(AT207="","","")</f>
        <v/>
      </c>
      <c r="AQ207" s="25" t="str">
        <f aca="false">IF(AT207="","","")</f>
        <v/>
      </c>
      <c r="AT207" s="27" t="str">
        <f aca="false">IFERROR(MATCH(7,入力シート!$T$5:$T$204,0),"")</f>
        <v/>
      </c>
    </row>
    <row r="208" customFormat="false" ht="15" hidden="false" customHeight="true" outlineLevel="0" collapsed="false">
      <c r="A208" s="25" t="str">
        <f aca="false">IF(AT208="","",1)</f>
        <v/>
      </c>
      <c r="B208" s="25" t="str">
        <f aca="false">IF(AT208="","",1)</f>
        <v/>
      </c>
      <c r="C208" s="25" t="str">
        <f aca="false">IF(AT208="","",0)</f>
        <v/>
      </c>
      <c r="D208" s="25" t="str">
        <f aca="false">IF(AT208="","",TEXT(INDEX(入力シート!$A$5:$A$204,AT208),"YYYYMMDD"))</f>
        <v/>
      </c>
      <c r="E208" s="25" t="str">
        <f aca="false">IF(AT208="","",TEXT(INDEX(入力シート!$Q$5:$Q$204,AT208),"00000000"))</f>
        <v/>
      </c>
      <c r="F208" s="25" t="str">
        <f aca="false">IF(AT208="","",14)</f>
        <v/>
      </c>
      <c r="G208" s="25" t="str">
        <f aca="false">IF(AT208="","",1)</f>
        <v/>
      </c>
      <c r="H208" s="25" t="str">
        <f aca="false">IF(AT208="","",1)</f>
        <v/>
      </c>
      <c r="I208" s="25" t="str">
        <f aca="false">IF(AT208="","",3)</f>
        <v/>
      </c>
      <c r="J208" s="25" t="str">
        <f aca="false">IF(AT208="","",1)</f>
        <v/>
      </c>
      <c r="K208" s="25" t="str">
        <f aca="false">IF(AT208="","",INDEX(入力シート!$B$5:$B$204,AT208))</f>
        <v/>
      </c>
      <c r="L208" s="25" t="str">
        <f aca="false">IF(AT208="","","")</f>
        <v/>
      </c>
      <c r="M208" s="25" t="str">
        <f aca="false">IF(AT208="","","")</f>
        <v/>
      </c>
      <c r="N208" s="25" t="str">
        <f aca="false">IF(AT208="","",COUNTIF(入力シート!$Q$5:$Q$204,INDEX(入力シート!$Q$5:$Q$204,AT208))+1)</f>
        <v/>
      </c>
      <c r="O208" s="25" t="str">
        <f aca="false">IF(AT208="","",99)</f>
        <v/>
      </c>
      <c r="P208" s="25" t="str">
        <f aca="false">IF(AT208="","","")</f>
        <v/>
      </c>
      <c r="Q208" s="25" t="str">
        <f aca="false">IF(AT208="","","")</f>
        <v/>
      </c>
      <c r="R208" s="25" t="str">
        <f aca="false">IF(AT208="","","消費税")</f>
        <v/>
      </c>
      <c r="S208" s="25" t="str">
        <f aca="false">IF(AT208="","",0)</f>
        <v/>
      </c>
      <c r="T208" s="25" t="str">
        <f aca="false">IF(AT208="","","")</f>
        <v/>
      </c>
      <c r="U208" s="25" t="str">
        <f aca="false">IF(AT208="","",0)</f>
        <v/>
      </c>
      <c r="V208" s="25" t="str">
        <f aca="false">IF(AT208="","",0)</f>
        <v/>
      </c>
      <c r="W208" s="25" t="str">
        <f aca="false">IF(AT208="","","")</f>
        <v/>
      </c>
      <c r="X208" s="25" t="str">
        <f aca="false">IF(AT208="","",0)</f>
        <v/>
      </c>
      <c r="Y208" s="25" t="str">
        <f aca="false">IF(AT208="","",0)</f>
        <v/>
      </c>
      <c r="Z208" s="25" t="str">
        <f aca="false">IF(AT208="","",ROUNDDOWN(SUMIF(入力シート!$Q$5:$Q$204,INDEX(入力シート!$Q$5:$Q$204,AT208),入力シート!$P$5:$P$204)*IF(INDEX(入力シート!$L$5:$L$204,AT208)=13,0.1,IF(INDEX(入力シート!$L$5:$L$204,AT208)=30,0.08,0)),0))</f>
        <v/>
      </c>
      <c r="AA208" s="25" t="str">
        <f aca="false">IF(AT208="","","")</f>
        <v/>
      </c>
      <c r="AB208" s="25" t="str">
        <f aca="false">IF(AT208="","",0)</f>
        <v/>
      </c>
      <c r="AC208" s="25" t="str">
        <f aca="false">IF(AT208="","",0)</f>
        <v/>
      </c>
      <c r="AD208" s="25" t="str">
        <f aca="false">IF(AT208="","",0)</f>
        <v/>
      </c>
      <c r="AE208" s="25" t="str">
        <f aca="false">IF(AT208="","","")</f>
        <v/>
      </c>
      <c r="AF208" s="25" t="str">
        <f aca="false">IF(AT208="","",0)</f>
        <v/>
      </c>
      <c r="AG208" s="25" t="str">
        <f aca="false">IF(AT208="","",0)</f>
        <v/>
      </c>
      <c r="AH208" s="25" t="str">
        <f aca="false">IF(AT208="","","")</f>
        <v/>
      </c>
      <c r="AI208" s="25" t="str">
        <f aca="false">IF(AT208="","","")</f>
        <v/>
      </c>
      <c r="AJ208" s="25" t="str">
        <f aca="false">IF(AT208="","","")</f>
        <v/>
      </c>
      <c r="AK208" s="25" t="str">
        <f aca="false">IF(AT208="","",2)</f>
        <v/>
      </c>
      <c r="AL208" s="25" t="str">
        <f aca="false">IF(AT208="","","")</f>
        <v/>
      </c>
      <c r="AM208" s="25" t="str">
        <f aca="false">IF(AT208="","","")</f>
        <v/>
      </c>
      <c r="AN208" s="25" t="str">
        <f aca="false">IF(AT208="","",INDEX(入力シート!$C$5:$C$204,AT208))</f>
        <v/>
      </c>
      <c r="AO208" s="25" t="str">
        <f aca="false">IF(AT208="","","")</f>
        <v/>
      </c>
      <c r="AP208" s="25" t="str">
        <f aca="false">IF(AT208="","","")</f>
        <v/>
      </c>
      <c r="AQ208" s="25" t="str">
        <f aca="false">IF(AT208="","","")</f>
        <v/>
      </c>
      <c r="AT208" s="27" t="str">
        <f aca="false">IFERROR(MATCH(8,入力シート!$T$5:$T$204,0),"")</f>
        <v/>
      </c>
    </row>
    <row r="209" customFormat="false" ht="15" hidden="false" customHeight="true" outlineLevel="0" collapsed="false">
      <c r="A209" s="25" t="str">
        <f aca="false">IF(AT209="","",1)</f>
        <v/>
      </c>
      <c r="B209" s="25" t="str">
        <f aca="false">IF(AT209="","",1)</f>
        <v/>
      </c>
      <c r="C209" s="25" t="str">
        <f aca="false">IF(AT209="","",0)</f>
        <v/>
      </c>
      <c r="D209" s="25" t="str">
        <f aca="false">IF(AT209="","",TEXT(INDEX(入力シート!$A$5:$A$204,AT209),"YYYYMMDD"))</f>
        <v/>
      </c>
      <c r="E209" s="25" t="str">
        <f aca="false">IF(AT209="","",TEXT(INDEX(入力シート!$Q$5:$Q$204,AT209),"00000000"))</f>
        <v/>
      </c>
      <c r="F209" s="25" t="str">
        <f aca="false">IF(AT209="","",14)</f>
        <v/>
      </c>
      <c r="G209" s="25" t="str">
        <f aca="false">IF(AT209="","",1)</f>
        <v/>
      </c>
      <c r="H209" s="25" t="str">
        <f aca="false">IF(AT209="","",1)</f>
        <v/>
      </c>
      <c r="I209" s="25" t="str">
        <f aca="false">IF(AT209="","",3)</f>
        <v/>
      </c>
      <c r="J209" s="25" t="str">
        <f aca="false">IF(AT209="","",1)</f>
        <v/>
      </c>
      <c r="K209" s="25" t="str">
        <f aca="false">IF(AT209="","",INDEX(入力シート!$B$5:$B$204,AT209))</f>
        <v/>
      </c>
      <c r="L209" s="25" t="str">
        <f aca="false">IF(AT209="","","")</f>
        <v/>
      </c>
      <c r="M209" s="25" t="str">
        <f aca="false">IF(AT209="","","")</f>
        <v/>
      </c>
      <c r="N209" s="25" t="str">
        <f aca="false">IF(AT209="","",COUNTIF(入力シート!$Q$5:$Q$204,INDEX(入力シート!$Q$5:$Q$204,AT209))+1)</f>
        <v/>
      </c>
      <c r="O209" s="25" t="str">
        <f aca="false">IF(AT209="","",99)</f>
        <v/>
      </c>
      <c r="P209" s="25" t="str">
        <f aca="false">IF(AT209="","","")</f>
        <v/>
      </c>
      <c r="Q209" s="25" t="str">
        <f aca="false">IF(AT209="","","")</f>
        <v/>
      </c>
      <c r="R209" s="25" t="str">
        <f aca="false">IF(AT209="","","消費税")</f>
        <v/>
      </c>
      <c r="S209" s="25" t="str">
        <f aca="false">IF(AT209="","",0)</f>
        <v/>
      </c>
      <c r="T209" s="25" t="str">
        <f aca="false">IF(AT209="","","")</f>
        <v/>
      </c>
      <c r="U209" s="25" t="str">
        <f aca="false">IF(AT209="","",0)</f>
        <v/>
      </c>
      <c r="V209" s="25" t="str">
        <f aca="false">IF(AT209="","",0)</f>
        <v/>
      </c>
      <c r="W209" s="25" t="str">
        <f aca="false">IF(AT209="","","")</f>
        <v/>
      </c>
      <c r="X209" s="25" t="str">
        <f aca="false">IF(AT209="","",0)</f>
        <v/>
      </c>
      <c r="Y209" s="25" t="str">
        <f aca="false">IF(AT209="","",0)</f>
        <v/>
      </c>
      <c r="Z209" s="25" t="str">
        <f aca="false">IF(AT209="","",ROUNDDOWN(SUMIF(入力シート!$Q$5:$Q$204,INDEX(入力シート!$Q$5:$Q$204,AT209),入力シート!$P$5:$P$204)*IF(INDEX(入力シート!$L$5:$L$204,AT209)=13,0.1,IF(INDEX(入力シート!$L$5:$L$204,AT209)=30,0.08,0)),0))</f>
        <v/>
      </c>
      <c r="AA209" s="25" t="str">
        <f aca="false">IF(AT209="","","")</f>
        <v/>
      </c>
      <c r="AB209" s="25" t="str">
        <f aca="false">IF(AT209="","",0)</f>
        <v/>
      </c>
      <c r="AC209" s="25" t="str">
        <f aca="false">IF(AT209="","",0)</f>
        <v/>
      </c>
      <c r="AD209" s="25" t="str">
        <f aca="false">IF(AT209="","",0)</f>
        <v/>
      </c>
      <c r="AE209" s="25" t="str">
        <f aca="false">IF(AT209="","","")</f>
        <v/>
      </c>
      <c r="AF209" s="25" t="str">
        <f aca="false">IF(AT209="","",0)</f>
        <v/>
      </c>
      <c r="AG209" s="25" t="str">
        <f aca="false">IF(AT209="","",0)</f>
        <v/>
      </c>
      <c r="AH209" s="25" t="str">
        <f aca="false">IF(AT209="","","")</f>
        <v/>
      </c>
      <c r="AI209" s="25" t="str">
        <f aca="false">IF(AT209="","","")</f>
        <v/>
      </c>
      <c r="AJ209" s="25" t="str">
        <f aca="false">IF(AT209="","","")</f>
        <v/>
      </c>
      <c r="AK209" s="25" t="str">
        <f aca="false">IF(AT209="","",2)</f>
        <v/>
      </c>
      <c r="AL209" s="25" t="str">
        <f aca="false">IF(AT209="","","")</f>
        <v/>
      </c>
      <c r="AM209" s="25" t="str">
        <f aca="false">IF(AT209="","","")</f>
        <v/>
      </c>
      <c r="AN209" s="25" t="str">
        <f aca="false">IF(AT209="","",INDEX(入力シート!$C$5:$C$204,AT209))</f>
        <v/>
      </c>
      <c r="AO209" s="25" t="str">
        <f aca="false">IF(AT209="","","")</f>
        <v/>
      </c>
      <c r="AP209" s="25" t="str">
        <f aca="false">IF(AT209="","","")</f>
        <v/>
      </c>
      <c r="AQ209" s="25" t="str">
        <f aca="false">IF(AT209="","","")</f>
        <v/>
      </c>
      <c r="AT209" s="27" t="str">
        <f aca="false">IFERROR(MATCH(9,入力シート!$T$5:$T$204,0),"")</f>
        <v/>
      </c>
    </row>
    <row r="210" customFormat="false" ht="15" hidden="false" customHeight="true" outlineLevel="0" collapsed="false">
      <c r="A210" s="25" t="str">
        <f aca="false">IF(AT210="","",1)</f>
        <v/>
      </c>
      <c r="B210" s="25" t="str">
        <f aca="false">IF(AT210="","",1)</f>
        <v/>
      </c>
      <c r="C210" s="25" t="str">
        <f aca="false">IF(AT210="","",0)</f>
        <v/>
      </c>
      <c r="D210" s="25" t="str">
        <f aca="false">IF(AT210="","",TEXT(INDEX(入力シート!$A$5:$A$204,AT210),"YYYYMMDD"))</f>
        <v/>
      </c>
      <c r="E210" s="25" t="str">
        <f aca="false">IF(AT210="","",TEXT(INDEX(入力シート!$Q$5:$Q$204,AT210),"00000000"))</f>
        <v/>
      </c>
      <c r="F210" s="25" t="str">
        <f aca="false">IF(AT210="","",14)</f>
        <v/>
      </c>
      <c r="G210" s="25" t="str">
        <f aca="false">IF(AT210="","",1)</f>
        <v/>
      </c>
      <c r="H210" s="25" t="str">
        <f aca="false">IF(AT210="","",1)</f>
        <v/>
      </c>
      <c r="I210" s="25" t="str">
        <f aca="false">IF(AT210="","",3)</f>
        <v/>
      </c>
      <c r="J210" s="25" t="str">
        <f aca="false">IF(AT210="","",1)</f>
        <v/>
      </c>
      <c r="K210" s="25" t="str">
        <f aca="false">IF(AT210="","",INDEX(入力シート!$B$5:$B$204,AT210))</f>
        <v/>
      </c>
      <c r="L210" s="25" t="str">
        <f aca="false">IF(AT210="","","")</f>
        <v/>
      </c>
      <c r="M210" s="25" t="str">
        <f aca="false">IF(AT210="","","")</f>
        <v/>
      </c>
      <c r="N210" s="25" t="str">
        <f aca="false">IF(AT210="","",COUNTIF(入力シート!$Q$5:$Q$204,INDEX(入力シート!$Q$5:$Q$204,AT210))+1)</f>
        <v/>
      </c>
      <c r="O210" s="25" t="str">
        <f aca="false">IF(AT210="","",99)</f>
        <v/>
      </c>
      <c r="P210" s="25" t="str">
        <f aca="false">IF(AT210="","","")</f>
        <v/>
      </c>
      <c r="Q210" s="25" t="str">
        <f aca="false">IF(AT210="","","")</f>
        <v/>
      </c>
      <c r="R210" s="25" t="str">
        <f aca="false">IF(AT210="","","消費税")</f>
        <v/>
      </c>
      <c r="S210" s="25" t="str">
        <f aca="false">IF(AT210="","",0)</f>
        <v/>
      </c>
      <c r="T210" s="25" t="str">
        <f aca="false">IF(AT210="","","")</f>
        <v/>
      </c>
      <c r="U210" s="25" t="str">
        <f aca="false">IF(AT210="","",0)</f>
        <v/>
      </c>
      <c r="V210" s="25" t="str">
        <f aca="false">IF(AT210="","",0)</f>
        <v/>
      </c>
      <c r="W210" s="25" t="str">
        <f aca="false">IF(AT210="","","")</f>
        <v/>
      </c>
      <c r="X210" s="25" t="str">
        <f aca="false">IF(AT210="","",0)</f>
        <v/>
      </c>
      <c r="Y210" s="25" t="str">
        <f aca="false">IF(AT210="","",0)</f>
        <v/>
      </c>
      <c r="Z210" s="25" t="str">
        <f aca="false">IF(AT210="","",ROUNDDOWN(SUMIF(入力シート!$Q$5:$Q$204,INDEX(入力シート!$Q$5:$Q$204,AT210),入力シート!$P$5:$P$204)*IF(INDEX(入力シート!$L$5:$L$204,AT210)=13,0.1,IF(INDEX(入力シート!$L$5:$L$204,AT210)=30,0.08,0)),0))</f>
        <v/>
      </c>
      <c r="AA210" s="25" t="str">
        <f aca="false">IF(AT210="","","")</f>
        <v/>
      </c>
      <c r="AB210" s="25" t="str">
        <f aca="false">IF(AT210="","",0)</f>
        <v/>
      </c>
      <c r="AC210" s="25" t="str">
        <f aca="false">IF(AT210="","",0)</f>
        <v/>
      </c>
      <c r="AD210" s="25" t="str">
        <f aca="false">IF(AT210="","",0)</f>
        <v/>
      </c>
      <c r="AE210" s="25" t="str">
        <f aca="false">IF(AT210="","","")</f>
        <v/>
      </c>
      <c r="AF210" s="25" t="str">
        <f aca="false">IF(AT210="","",0)</f>
        <v/>
      </c>
      <c r="AG210" s="25" t="str">
        <f aca="false">IF(AT210="","",0)</f>
        <v/>
      </c>
      <c r="AH210" s="25" t="str">
        <f aca="false">IF(AT210="","","")</f>
        <v/>
      </c>
      <c r="AI210" s="25" t="str">
        <f aca="false">IF(AT210="","","")</f>
        <v/>
      </c>
      <c r="AJ210" s="25" t="str">
        <f aca="false">IF(AT210="","","")</f>
        <v/>
      </c>
      <c r="AK210" s="25" t="str">
        <f aca="false">IF(AT210="","",2)</f>
        <v/>
      </c>
      <c r="AL210" s="25" t="str">
        <f aca="false">IF(AT210="","","")</f>
        <v/>
      </c>
      <c r="AM210" s="25" t="str">
        <f aca="false">IF(AT210="","","")</f>
        <v/>
      </c>
      <c r="AN210" s="25" t="str">
        <f aca="false">IF(AT210="","",INDEX(入力シート!$C$5:$C$204,AT210))</f>
        <v/>
      </c>
      <c r="AO210" s="25" t="str">
        <f aca="false">IF(AT210="","","")</f>
        <v/>
      </c>
      <c r="AP210" s="25" t="str">
        <f aca="false">IF(AT210="","","")</f>
        <v/>
      </c>
      <c r="AQ210" s="25" t="str">
        <f aca="false">IF(AT210="","","")</f>
        <v/>
      </c>
      <c r="AT210" s="27" t="str">
        <f aca="false">IFERROR(MATCH(10,入力シート!$T$5:$T$204,0),"")</f>
        <v/>
      </c>
    </row>
    <row r="211" customFormat="false" ht="15" hidden="false" customHeight="true" outlineLevel="0" collapsed="false">
      <c r="A211" s="25" t="str">
        <f aca="false">IF(AT211="","",1)</f>
        <v/>
      </c>
      <c r="B211" s="25" t="str">
        <f aca="false">IF(AT211="","",1)</f>
        <v/>
      </c>
      <c r="C211" s="25" t="str">
        <f aca="false">IF(AT211="","",0)</f>
        <v/>
      </c>
      <c r="D211" s="25" t="str">
        <f aca="false">IF(AT211="","",TEXT(INDEX(入力シート!$A$5:$A$204,AT211),"YYYYMMDD"))</f>
        <v/>
      </c>
      <c r="E211" s="25" t="str">
        <f aca="false">IF(AT211="","",TEXT(INDEX(入力シート!$Q$5:$Q$204,AT211),"00000000"))</f>
        <v/>
      </c>
      <c r="F211" s="25" t="str">
        <f aca="false">IF(AT211="","",14)</f>
        <v/>
      </c>
      <c r="G211" s="25" t="str">
        <f aca="false">IF(AT211="","",1)</f>
        <v/>
      </c>
      <c r="H211" s="25" t="str">
        <f aca="false">IF(AT211="","",1)</f>
        <v/>
      </c>
      <c r="I211" s="25" t="str">
        <f aca="false">IF(AT211="","",3)</f>
        <v/>
      </c>
      <c r="J211" s="25" t="str">
        <f aca="false">IF(AT211="","",1)</f>
        <v/>
      </c>
      <c r="K211" s="25" t="str">
        <f aca="false">IF(AT211="","",INDEX(入力シート!$B$5:$B$204,AT211))</f>
        <v/>
      </c>
      <c r="L211" s="25" t="str">
        <f aca="false">IF(AT211="","","")</f>
        <v/>
      </c>
      <c r="M211" s="25" t="str">
        <f aca="false">IF(AT211="","","")</f>
        <v/>
      </c>
      <c r="N211" s="25" t="str">
        <f aca="false">IF(AT211="","",COUNTIF(入力シート!$Q$5:$Q$204,INDEX(入力シート!$Q$5:$Q$204,AT211))+1)</f>
        <v/>
      </c>
      <c r="O211" s="25" t="str">
        <f aca="false">IF(AT211="","",99)</f>
        <v/>
      </c>
      <c r="P211" s="25" t="str">
        <f aca="false">IF(AT211="","","")</f>
        <v/>
      </c>
      <c r="Q211" s="25" t="str">
        <f aca="false">IF(AT211="","","")</f>
        <v/>
      </c>
      <c r="R211" s="25" t="str">
        <f aca="false">IF(AT211="","","消費税")</f>
        <v/>
      </c>
      <c r="S211" s="25" t="str">
        <f aca="false">IF(AT211="","",0)</f>
        <v/>
      </c>
      <c r="T211" s="25" t="str">
        <f aca="false">IF(AT211="","","")</f>
        <v/>
      </c>
      <c r="U211" s="25" t="str">
        <f aca="false">IF(AT211="","",0)</f>
        <v/>
      </c>
      <c r="V211" s="25" t="str">
        <f aca="false">IF(AT211="","",0)</f>
        <v/>
      </c>
      <c r="W211" s="25" t="str">
        <f aca="false">IF(AT211="","","")</f>
        <v/>
      </c>
      <c r="X211" s="25" t="str">
        <f aca="false">IF(AT211="","",0)</f>
        <v/>
      </c>
      <c r="Y211" s="25" t="str">
        <f aca="false">IF(AT211="","",0)</f>
        <v/>
      </c>
      <c r="Z211" s="25" t="str">
        <f aca="false">IF(AT211="","",ROUNDDOWN(SUMIF(入力シート!$Q$5:$Q$204,INDEX(入力シート!$Q$5:$Q$204,AT211),入力シート!$P$5:$P$204)*IF(INDEX(入力シート!$L$5:$L$204,AT211)=13,0.1,IF(INDEX(入力シート!$L$5:$L$204,AT211)=30,0.08,0)),0))</f>
        <v/>
      </c>
      <c r="AA211" s="25" t="str">
        <f aca="false">IF(AT211="","","")</f>
        <v/>
      </c>
      <c r="AB211" s="25" t="str">
        <f aca="false">IF(AT211="","",0)</f>
        <v/>
      </c>
      <c r="AC211" s="25" t="str">
        <f aca="false">IF(AT211="","",0)</f>
        <v/>
      </c>
      <c r="AD211" s="25" t="str">
        <f aca="false">IF(AT211="","",0)</f>
        <v/>
      </c>
      <c r="AE211" s="25" t="str">
        <f aca="false">IF(AT211="","","")</f>
        <v/>
      </c>
      <c r="AF211" s="25" t="str">
        <f aca="false">IF(AT211="","",0)</f>
        <v/>
      </c>
      <c r="AG211" s="25" t="str">
        <f aca="false">IF(AT211="","",0)</f>
        <v/>
      </c>
      <c r="AH211" s="25" t="str">
        <f aca="false">IF(AT211="","","")</f>
        <v/>
      </c>
      <c r="AI211" s="25" t="str">
        <f aca="false">IF(AT211="","","")</f>
        <v/>
      </c>
      <c r="AJ211" s="25" t="str">
        <f aca="false">IF(AT211="","","")</f>
        <v/>
      </c>
      <c r="AK211" s="25" t="str">
        <f aca="false">IF(AT211="","",2)</f>
        <v/>
      </c>
      <c r="AL211" s="25" t="str">
        <f aca="false">IF(AT211="","","")</f>
        <v/>
      </c>
      <c r="AM211" s="25" t="str">
        <f aca="false">IF(AT211="","","")</f>
        <v/>
      </c>
      <c r="AN211" s="25" t="str">
        <f aca="false">IF(AT211="","",INDEX(入力シート!$C$5:$C$204,AT211))</f>
        <v/>
      </c>
      <c r="AO211" s="25" t="str">
        <f aca="false">IF(AT211="","","")</f>
        <v/>
      </c>
      <c r="AP211" s="25" t="str">
        <f aca="false">IF(AT211="","","")</f>
        <v/>
      </c>
      <c r="AQ211" s="25" t="str">
        <f aca="false">IF(AT211="","","")</f>
        <v/>
      </c>
      <c r="AT211" s="27" t="str">
        <f aca="false">IFERROR(MATCH(11,入力シート!$T$5:$T$204,0),"")</f>
        <v/>
      </c>
    </row>
    <row r="212" customFormat="false" ht="15" hidden="false" customHeight="true" outlineLevel="0" collapsed="false">
      <c r="A212" s="25" t="str">
        <f aca="false">IF(AT212="","",1)</f>
        <v/>
      </c>
      <c r="B212" s="25" t="str">
        <f aca="false">IF(AT212="","",1)</f>
        <v/>
      </c>
      <c r="C212" s="25" t="str">
        <f aca="false">IF(AT212="","",0)</f>
        <v/>
      </c>
      <c r="D212" s="25" t="str">
        <f aca="false">IF(AT212="","",TEXT(INDEX(入力シート!$A$5:$A$204,AT212),"YYYYMMDD"))</f>
        <v/>
      </c>
      <c r="E212" s="25" t="str">
        <f aca="false">IF(AT212="","",TEXT(INDEX(入力シート!$Q$5:$Q$204,AT212),"00000000"))</f>
        <v/>
      </c>
      <c r="F212" s="25" t="str">
        <f aca="false">IF(AT212="","",14)</f>
        <v/>
      </c>
      <c r="G212" s="25" t="str">
        <f aca="false">IF(AT212="","",1)</f>
        <v/>
      </c>
      <c r="H212" s="25" t="str">
        <f aca="false">IF(AT212="","",1)</f>
        <v/>
      </c>
      <c r="I212" s="25" t="str">
        <f aca="false">IF(AT212="","",3)</f>
        <v/>
      </c>
      <c r="J212" s="25" t="str">
        <f aca="false">IF(AT212="","",1)</f>
        <v/>
      </c>
      <c r="K212" s="25" t="str">
        <f aca="false">IF(AT212="","",INDEX(入力シート!$B$5:$B$204,AT212))</f>
        <v/>
      </c>
      <c r="L212" s="25" t="str">
        <f aca="false">IF(AT212="","","")</f>
        <v/>
      </c>
      <c r="M212" s="25" t="str">
        <f aca="false">IF(AT212="","","")</f>
        <v/>
      </c>
      <c r="N212" s="25" t="str">
        <f aca="false">IF(AT212="","",COUNTIF(入力シート!$Q$5:$Q$204,INDEX(入力シート!$Q$5:$Q$204,AT212))+1)</f>
        <v/>
      </c>
      <c r="O212" s="25" t="str">
        <f aca="false">IF(AT212="","",99)</f>
        <v/>
      </c>
      <c r="P212" s="25" t="str">
        <f aca="false">IF(AT212="","","")</f>
        <v/>
      </c>
      <c r="Q212" s="25" t="str">
        <f aca="false">IF(AT212="","","")</f>
        <v/>
      </c>
      <c r="R212" s="25" t="str">
        <f aca="false">IF(AT212="","","消費税")</f>
        <v/>
      </c>
      <c r="S212" s="25" t="str">
        <f aca="false">IF(AT212="","",0)</f>
        <v/>
      </c>
      <c r="T212" s="25" t="str">
        <f aca="false">IF(AT212="","","")</f>
        <v/>
      </c>
      <c r="U212" s="25" t="str">
        <f aca="false">IF(AT212="","",0)</f>
        <v/>
      </c>
      <c r="V212" s="25" t="str">
        <f aca="false">IF(AT212="","",0)</f>
        <v/>
      </c>
      <c r="W212" s="25" t="str">
        <f aca="false">IF(AT212="","","")</f>
        <v/>
      </c>
      <c r="X212" s="25" t="str">
        <f aca="false">IF(AT212="","",0)</f>
        <v/>
      </c>
      <c r="Y212" s="25" t="str">
        <f aca="false">IF(AT212="","",0)</f>
        <v/>
      </c>
      <c r="Z212" s="25" t="str">
        <f aca="false">IF(AT212="","",ROUNDDOWN(SUMIF(入力シート!$Q$5:$Q$204,INDEX(入力シート!$Q$5:$Q$204,AT212),入力シート!$P$5:$P$204)*IF(INDEX(入力シート!$L$5:$L$204,AT212)=13,0.1,IF(INDEX(入力シート!$L$5:$L$204,AT212)=30,0.08,0)),0))</f>
        <v/>
      </c>
      <c r="AA212" s="25" t="str">
        <f aca="false">IF(AT212="","","")</f>
        <v/>
      </c>
      <c r="AB212" s="25" t="str">
        <f aca="false">IF(AT212="","",0)</f>
        <v/>
      </c>
      <c r="AC212" s="25" t="str">
        <f aca="false">IF(AT212="","",0)</f>
        <v/>
      </c>
      <c r="AD212" s="25" t="str">
        <f aca="false">IF(AT212="","",0)</f>
        <v/>
      </c>
      <c r="AE212" s="25" t="str">
        <f aca="false">IF(AT212="","","")</f>
        <v/>
      </c>
      <c r="AF212" s="25" t="str">
        <f aca="false">IF(AT212="","",0)</f>
        <v/>
      </c>
      <c r="AG212" s="25" t="str">
        <f aca="false">IF(AT212="","",0)</f>
        <v/>
      </c>
      <c r="AH212" s="25" t="str">
        <f aca="false">IF(AT212="","","")</f>
        <v/>
      </c>
      <c r="AI212" s="25" t="str">
        <f aca="false">IF(AT212="","","")</f>
        <v/>
      </c>
      <c r="AJ212" s="25" t="str">
        <f aca="false">IF(AT212="","","")</f>
        <v/>
      </c>
      <c r="AK212" s="25" t="str">
        <f aca="false">IF(AT212="","",2)</f>
        <v/>
      </c>
      <c r="AL212" s="25" t="str">
        <f aca="false">IF(AT212="","","")</f>
        <v/>
      </c>
      <c r="AM212" s="25" t="str">
        <f aca="false">IF(AT212="","","")</f>
        <v/>
      </c>
      <c r="AN212" s="25" t="str">
        <f aca="false">IF(AT212="","",INDEX(入力シート!$C$5:$C$204,AT212))</f>
        <v/>
      </c>
      <c r="AO212" s="25" t="str">
        <f aca="false">IF(AT212="","","")</f>
        <v/>
      </c>
      <c r="AP212" s="25" t="str">
        <f aca="false">IF(AT212="","","")</f>
        <v/>
      </c>
      <c r="AQ212" s="25" t="str">
        <f aca="false">IF(AT212="","","")</f>
        <v/>
      </c>
      <c r="AT212" s="27" t="str">
        <f aca="false">IFERROR(MATCH(12,入力シート!$T$5:$T$204,0),"")</f>
        <v/>
      </c>
    </row>
    <row r="213" customFormat="false" ht="15" hidden="false" customHeight="true" outlineLevel="0" collapsed="false">
      <c r="A213" s="25" t="str">
        <f aca="false">IF(AT213="","",1)</f>
        <v/>
      </c>
      <c r="B213" s="25" t="str">
        <f aca="false">IF(AT213="","",1)</f>
        <v/>
      </c>
      <c r="C213" s="25" t="str">
        <f aca="false">IF(AT213="","",0)</f>
        <v/>
      </c>
      <c r="D213" s="25" t="str">
        <f aca="false">IF(AT213="","",TEXT(INDEX(入力シート!$A$5:$A$204,AT213),"YYYYMMDD"))</f>
        <v/>
      </c>
      <c r="E213" s="25" t="str">
        <f aca="false">IF(AT213="","",TEXT(INDEX(入力シート!$Q$5:$Q$204,AT213),"00000000"))</f>
        <v/>
      </c>
      <c r="F213" s="25" t="str">
        <f aca="false">IF(AT213="","",14)</f>
        <v/>
      </c>
      <c r="G213" s="25" t="str">
        <f aca="false">IF(AT213="","",1)</f>
        <v/>
      </c>
      <c r="H213" s="25" t="str">
        <f aca="false">IF(AT213="","",1)</f>
        <v/>
      </c>
      <c r="I213" s="25" t="str">
        <f aca="false">IF(AT213="","",3)</f>
        <v/>
      </c>
      <c r="J213" s="25" t="str">
        <f aca="false">IF(AT213="","",1)</f>
        <v/>
      </c>
      <c r="K213" s="25" t="str">
        <f aca="false">IF(AT213="","",INDEX(入力シート!$B$5:$B$204,AT213))</f>
        <v/>
      </c>
      <c r="L213" s="25" t="str">
        <f aca="false">IF(AT213="","","")</f>
        <v/>
      </c>
      <c r="M213" s="25" t="str">
        <f aca="false">IF(AT213="","","")</f>
        <v/>
      </c>
      <c r="N213" s="25" t="str">
        <f aca="false">IF(AT213="","",COUNTIF(入力シート!$Q$5:$Q$204,INDEX(入力シート!$Q$5:$Q$204,AT213))+1)</f>
        <v/>
      </c>
      <c r="O213" s="25" t="str">
        <f aca="false">IF(AT213="","",99)</f>
        <v/>
      </c>
      <c r="P213" s="25" t="str">
        <f aca="false">IF(AT213="","","")</f>
        <v/>
      </c>
      <c r="Q213" s="25" t="str">
        <f aca="false">IF(AT213="","","")</f>
        <v/>
      </c>
      <c r="R213" s="25" t="str">
        <f aca="false">IF(AT213="","","消費税")</f>
        <v/>
      </c>
      <c r="S213" s="25" t="str">
        <f aca="false">IF(AT213="","",0)</f>
        <v/>
      </c>
      <c r="T213" s="25" t="str">
        <f aca="false">IF(AT213="","","")</f>
        <v/>
      </c>
      <c r="U213" s="25" t="str">
        <f aca="false">IF(AT213="","",0)</f>
        <v/>
      </c>
      <c r="V213" s="25" t="str">
        <f aca="false">IF(AT213="","",0)</f>
        <v/>
      </c>
      <c r="W213" s="25" t="str">
        <f aca="false">IF(AT213="","","")</f>
        <v/>
      </c>
      <c r="X213" s="25" t="str">
        <f aca="false">IF(AT213="","",0)</f>
        <v/>
      </c>
      <c r="Y213" s="25" t="str">
        <f aca="false">IF(AT213="","",0)</f>
        <v/>
      </c>
      <c r="Z213" s="25" t="str">
        <f aca="false">IF(AT213="","",ROUNDDOWN(SUMIF(入力シート!$Q$5:$Q$204,INDEX(入力シート!$Q$5:$Q$204,AT213),入力シート!$P$5:$P$204)*IF(INDEX(入力シート!$L$5:$L$204,AT213)=13,0.1,IF(INDEX(入力シート!$L$5:$L$204,AT213)=30,0.08,0)),0))</f>
        <v/>
      </c>
      <c r="AA213" s="25" t="str">
        <f aca="false">IF(AT213="","","")</f>
        <v/>
      </c>
      <c r="AB213" s="25" t="str">
        <f aca="false">IF(AT213="","",0)</f>
        <v/>
      </c>
      <c r="AC213" s="25" t="str">
        <f aca="false">IF(AT213="","",0)</f>
        <v/>
      </c>
      <c r="AD213" s="25" t="str">
        <f aca="false">IF(AT213="","",0)</f>
        <v/>
      </c>
      <c r="AE213" s="25" t="str">
        <f aca="false">IF(AT213="","","")</f>
        <v/>
      </c>
      <c r="AF213" s="25" t="str">
        <f aca="false">IF(AT213="","",0)</f>
        <v/>
      </c>
      <c r="AG213" s="25" t="str">
        <f aca="false">IF(AT213="","",0)</f>
        <v/>
      </c>
      <c r="AH213" s="25" t="str">
        <f aca="false">IF(AT213="","","")</f>
        <v/>
      </c>
      <c r="AI213" s="25" t="str">
        <f aca="false">IF(AT213="","","")</f>
        <v/>
      </c>
      <c r="AJ213" s="25" t="str">
        <f aca="false">IF(AT213="","","")</f>
        <v/>
      </c>
      <c r="AK213" s="25" t="str">
        <f aca="false">IF(AT213="","",2)</f>
        <v/>
      </c>
      <c r="AL213" s="25" t="str">
        <f aca="false">IF(AT213="","","")</f>
        <v/>
      </c>
      <c r="AM213" s="25" t="str">
        <f aca="false">IF(AT213="","","")</f>
        <v/>
      </c>
      <c r="AN213" s="25" t="str">
        <f aca="false">IF(AT213="","",INDEX(入力シート!$C$5:$C$204,AT213))</f>
        <v/>
      </c>
      <c r="AO213" s="25" t="str">
        <f aca="false">IF(AT213="","","")</f>
        <v/>
      </c>
      <c r="AP213" s="25" t="str">
        <f aca="false">IF(AT213="","","")</f>
        <v/>
      </c>
      <c r="AQ213" s="25" t="str">
        <f aca="false">IF(AT213="","","")</f>
        <v/>
      </c>
      <c r="AT213" s="27" t="str">
        <f aca="false">IFERROR(MATCH(13,入力シート!$T$5:$T$204,0),"")</f>
        <v/>
      </c>
    </row>
    <row r="214" customFormat="false" ht="15" hidden="false" customHeight="true" outlineLevel="0" collapsed="false">
      <c r="A214" s="25" t="str">
        <f aca="false">IF(AT214="","",1)</f>
        <v/>
      </c>
      <c r="B214" s="25" t="str">
        <f aca="false">IF(AT214="","",1)</f>
        <v/>
      </c>
      <c r="C214" s="25" t="str">
        <f aca="false">IF(AT214="","",0)</f>
        <v/>
      </c>
      <c r="D214" s="25" t="str">
        <f aca="false">IF(AT214="","",TEXT(INDEX(入力シート!$A$5:$A$204,AT214),"YYYYMMDD"))</f>
        <v/>
      </c>
      <c r="E214" s="25" t="str">
        <f aca="false">IF(AT214="","",TEXT(INDEX(入力シート!$Q$5:$Q$204,AT214),"00000000"))</f>
        <v/>
      </c>
      <c r="F214" s="25" t="str">
        <f aca="false">IF(AT214="","",14)</f>
        <v/>
      </c>
      <c r="G214" s="25" t="str">
        <f aca="false">IF(AT214="","",1)</f>
        <v/>
      </c>
      <c r="H214" s="25" t="str">
        <f aca="false">IF(AT214="","",1)</f>
        <v/>
      </c>
      <c r="I214" s="25" t="str">
        <f aca="false">IF(AT214="","",3)</f>
        <v/>
      </c>
      <c r="J214" s="25" t="str">
        <f aca="false">IF(AT214="","",1)</f>
        <v/>
      </c>
      <c r="K214" s="25" t="str">
        <f aca="false">IF(AT214="","",INDEX(入力シート!$B$5:$B$204,AT214))</f>
        <v/>
      </c>
      <c r="L214" s="25" t="str">
        <f aca="false">IF(AT214="","","")</f>
        <v/>
      </c>
      <c r="M214" s="25" t="str">
        <f aca="false">IF(AT214="","","")</f>
        <v/>
      </c>
      <c r="N214" s="25" t="str">
        <f aca="false">IF(AT214="","",COUNTIF(入力シート!$Q$5:$Q$204,INDEX(入力シート!$Q$5:$Q$204,AT214))+1)</f>
        <v/>
      </c>
      <c r="O214" s="25" t="str">
        <f aca="false">IF(AT214="","",99)</f>
        <v/>
      </c>
      <c r="P214" s="25" t="str">
        <f aca="false">IF(AT214="","","")</f>
        <v/>
      </c>
      <c r="Q214" s="25" t="str">
        <f aca="false">IF(AT214="","","")</f>
        <v/>
      </c>
      <c r="R214" s="25" t="str">
        <f aca="false">IF(AT214="","","消費税")</f>
        <v/>
      </c>
      <c r="S214" s="25" t="str">
        <f aca="false">IF(AT214="","",0)</f>
        <v/>
      </c>
      <c r="T214" s="25" t="str">
        <f aca="false">IF(AT214="","","")</f>
        <v/>
      </c>
      <c r="U214" s="25" t="str">
        <f aca="false">IF(AT214="","",0)</f>
        <v/>
      </c>
      <c r="V214" s="25" t="str">
        <f aca="false">IF(AT214="","",0)</f>
        <v/>
      </c>
      <c r="W214" s="25" t="str">
        <f aca="false">IF(AT214="","","")</f>
        <v/>
      </c>
      <c r="X214" s="25" t="str">
        <f aca="false">IF(AT214="","",0)</f>
        <v/>
      </c>
      <c r="Y214" s="25" t="str">
        <f aca="false">IF(AT214="","",0)</f>
        <v/>
      </c>
      <c r="Z214" s="25" t="str">
        <f aca="false">IF(AT214="","",ROUNDDOWN(SUMIF(入力シート!$Q$5:$Q$204,INDEX(入力シート!$Q$5:$Q$204,AT214),入力シート!$P$5:$P$204)*IF(INDEX(入力シート!$L$5:$L$204,AT214)=13,0.1,IF(INDEX(入力シート!$L$5:$L$204,AT214)=30,0.08,0)),0))</f>
        <v/>
      </c>
      <c r="AA214" s="25" t="str">
        <f aca="false">IF(AT214="","","")</f>
        <v/>
      </c>
      <c r="AB214" s="25" t="str">
        <f aca="false">IF(AT214="","",0)</f>
        <v/>
      </c>
      <c r="AC214" s="25" t="str">
        <f aca="false">IF(AT214="","",0)</f>
        <v/>
      </c>
      <c r="AD214" s="25" t="str">
        <f aca="false">IF(AT214="","",0)</f>
        <v/>
      </c>
      <c r="AE214" s="25" t="str">
        <f aca="false">IF(AT214="","","")</f>
        <v/>
      </c>
      <c r="AF214" s="25" t="str">
        <f aca="false">IF(AT214="","",0)</f>
        <v/>
      </c>
      <c r="AG214" s="25" t="str">
        <f aca="false">IF(AT214="","",0)</f>
        <v/>
      </c>
      <c r="AH214" s="25" t="str">
        <f aca="false">IF(AT214="","","")</f>
        <v/>
      </c>
      <c r="AI214" s="25" t="str">
        <f aca="false">IF(AT214="","","")</f>
        <v/>
      </c>
      <c r="AJ214" s="25" t="str">
        <f aca="false">IF(AT214="","","")</f>
        <v/>
      </c>
      <c r="AK214" s="25" t="str">
        <f aca="false">IF(AT214="","",2)</f>
        <v/>
      </c>
      <c r="AL214" s="25" t="str">
        <f aca="false">IF(AT214="","","")</f>
        <v/>
      </c>
      <c r="AM214" s="25" t="str">
        <f aca="false">IF(AT214="","","")</f>
        <v/>
      </c>
      <c r="AN214" s="25" t="str">
        <f aca="false">IF(AT214="","",INDEX(入力シート!$C$5:$C$204,AT214))</f>
        <v/>
      </c>
      <c r="AO214" s="25" t="str">
        <f aca="false">IF(AT214="","","")</f>
        <v/>
      </c>
      <c r="AP214" s="25" t="str">
        <f aca="false">IF(AT214="","","")</f>
        <v/>
      </c>
      <c r="AQ214" s="25" t="str">
        <f aca="false">IF(AT214="","","")</f>
        <v/>
      </c>
      <c r="AT214" s="27" t="str">
        <f aca="false">IFERROR(MATCH(14,入力シート!$T$5:$T$204,0),"")</f>
        <v/>
      </c>
    </row>
    <row r="215" customFormat="false" ht="15" hidden="false" customHeight="true" outlineLevel="0" collapsed="false">
      <c r="A215" s="25" t="str">
        <f aca="false">IF(AT215="","",1)</f>
        <v/>
      </c>
      <c r="B215" s="25" t="str">
        <f aca="false">IF(AT215="","",1)</f>
        <v/>
      </c>
      <c r="C215" s="25" t="str">
        <f aca="false">IF(AT215="","",0)</f>
        <v/>
      </c>
      <c r="D215" s="25" t="str">
        <f aca="false">IF(AT215="","",TEXT(INDEX(入力シート!$A$5:$A$204,AT215),"YYYYMMDD"))</f>
        <v/>
      </c>
      <c r="E215" s="25" t="str">
        <f aca="false">IF(AT215="","",TEXT(INDEX(入力シート!$Q$5:$Q$204,AT215),"00000000"))</f>
        <v/>
      </c>
      <c r="F215" s="25" t="str">
        <f aca="false">IF(AT215="","",14)</f>
        <v/>
      </c>
      <c r="G215" s="25" t="str">
        <f aca="false">IF(AT215="","",1)</f>
        <v/>
      </c>
      <c r="H215" s="25" t="str">
        <f aca="false">IF(AT215="","",1)</f>
        <v/>
      </c>
      <c r="I215" s="25" t="str">
        <f aca="false">IF(AT215="","",3)</f>
        <v/>
      </c>
      <c r="J215" s="25" t="str">
        <f aca="false">IF(AT215="","",1)</f>
        <v/>
      </c>
      <c r="K215" s="25" t="str">
        <f aca="false">IF(AT215="","",INDEX(入力シート!$B$5:$B$204,AT215))</f>
        <v/>
      </c>
      <c r="L215" s="25" t="str">
        <f aca="false">IF(AT215="","","")</f>
        <v/>
      </c>
      <c r="M215" s="25" t="str">
        <f aca="false">IF(AT215="","","")</f>
        <v/>
      </c>
      <c r="N215" s="25" t="str">
        <f aca="false">IF(AT215="","",COUNTIF(入力シート!$Q$5:$Q$204,INDEX(入力シート!$Q$5:$Q$204,AT215))+1)</f>
        <v/>
      </c>
      <c r="O215" s="25" t="str">
        <f aca="false">IF(AT215="","",99)</f>
        <v/>
      </c>
      <c r="P215" s="25" t="str">
        <f aca="false">IF(AT215="","","")</f>
        <v/>
      </c>
      <c r="Q215" s="25" t="str">
        <f aca="false">IF(AT215="","","")</f>
        <v/>
      </c>
      <c r="R215" s="25" t="str">
        <f aca="false">IF(AT215="","","消費税")</f>
        <v/>
      </c>
      <c r="S215" s="25" t="str">
        <f aca="false">IF(AT215="","",0)</f>
        <v/>
      </c>
      <c r="T215" s="25" t="str">
        <f aca="false">IF(AT215="","","")</f>
        <v/>
      </c>
      <c r="U215" s="25" t="str">
        <f aca="false">IF(AT215="","",0)</f>
        <v/>
      </c>
      <c r="V215" s="25" t="str">
        <f aca="false">IF(AT215="","",0)</f>
        <v/>
      </c>
      <c r="W215" s="25" t="str">
        <f aca="false">IF(AT215="","","")</f>
        <v/>
      </c>
      <c r="X215" s="25" t="str">
        <f aca="false">IF(AT215="","",0)</f>
        <v/>
      </c>
      <c r="Y215" s="25" t="str">
        <f aca="false">IF(AT215="","",0)</f>
        <v/>
      </c>
      <c r="Z215" s="25" t="str">
        <f aca="false">IF(AT215="","",ROUNDDOWN(SUMIF(入力シート!$Q$5:$Q$204,INDEX(入力シート!$Q$5:$Q$204,AT215),入力シート!$P$5:$P$204)*IF(INDEX(入力シート!$L$5:$L$204,AT215)=13,0.1,IF(INDEX(入力シート!$L$5:$L$204,AT215)=30,0.08,0)),0))</f>
        <v/>
      </c>
      <c r="AA215" s="25" t="str">
        <f aca="false">IF(AT215="","","")</f>
        <v/>
      </c>
      <c r="AB215" s="25" t="str">
        <f aca="false">IF(AT215="","",0)</f>
        <v/>
      </c>
      <c r="AC215" s="25" t="str">
        <f aca="false">IF(AT215="","",0)</f>
        <v/>
      </c>
      <c r="AD215" s="25" t="str">
        <f aca="false">IF(AT215="","",0)</f>
        <v/>
      </c>
      <c r="AE215" s="25" t="str">
        <f aca="false">IF(AT215="","","")</f>
        <v/>
      </c>
      <c r="AF215" s="25" t="str">
        <f aca="false">IF(AT215="","",0)</f>
        <v/>
      </c>
      <c r="AG215" s="25" t="str">
        <f aca="false">IF(AT215="","",0)</f>
        <v/>
      </c>
      <c r="AH215" s="25" t="str">
        <f aca="false">IF(AT215="","","")</f>
        <v/>
      </c>
      <c r="AI215" s="25" t="str">
        <f aca="false">IF(AT215="","","")</f>
        <v/>
      </c>
      <c r="AJ215" s="25" t="str">
        <f aca="false">IF(AT215="","","")</f>
        <v/>
      </c>
      <c r="AK215" s="25" t="str">
        <f aca="false">IF(AT215="","",2)</f>
        <v/>
      </c>
      <c r="AL215" s="25" t="str">
        <f aca="false">IF(AT215="","","")</f>
        <v/>
      </c>
      <c r="AM215" s="25" t="str">
        <f aca="false">IF(AT215="","","")</f>
        <v/>
      </c>
      <c r="AN215" s="25" t="str">
        <f aca="false">IF(AT215="","",INDEX(入力シート!$C$5:$C$204,AT215))</f>
        <v/>
      </c>
      <c r="AO215" s="25" t="str">
        <f aca="false">IF(AT215="","","")</f>
        <v/>
      </c>
      <c r="AP215" s="25" t="str">
        <f aca="false">IF(AT215="","","")</f>
        <v/>
      </c>
      <c r="AQ215" s="25" t="str">
        <f aca="false">IF(AT215="","","")</f>
        <v/>
      </c>
      <c r="AT215" s="27" t="str">
        <f aca="false">IFERROR(MATCH(15,入力シート!$T$5:$T$204,0),"")</f>
        <v/>
      </c>
    </row>
    <row r="216" customFormat="false" ht="15" hidden="false" customHeight="true" outlineLevel="0" collapsed="false">
      <c r="A216" s="25" t="str">
        <f aca="false">IF(AT216="","",1)</f>
        <v/>
      </c>
      <c r="B216" s="25" t="str">
        <f aca="false">IF(AT216="","",1)</f>
        <v/>
      </c>
      <c r="C216" s="25" t="str">
        <f aca="false">IF(AT216="","",0)</f>
        <v/>
      </c>
      <c r="D216" s="25" t="str">
        <f aca="false">IF(AT216="","",TEXT(INDEX(入力シート!$A$5:$A$204,AT216),"YYYYMMDD"))</f>
        <v/>
      </c>
      <c r="E216" s="25" t="str">
        <f aca="false">IF(AT216="","",TEXT(INDEX(入力シート!$Q$5:$Q$204,AT216),"00000000"))</f>
        <v/>
      </c>
      <c r="F216" s="25" t="str">
        <f aca="false">IF(AT216="","",14)</f>
        <v/>
      </c>
      <c r="G216" s="25" t="str">
        <f aca="false">IF(AT216="","",1)</f>
        <v/>
      </c>
      <c r="H216" s="25" t="str">
        <f aca="false">IF(AT216="","",1)</f>
        <v/>
      </c>
      <c r="I216" s="25" t="str">
        <f aca="false">IF(AT216="","",3)</f>
        <v/>
      </c>
      <c r="J216" s="25" t="str">
        <f aca="false">IF(AT216="","",1)</f>
        <v/>
      </c>
      <c r="K216" s="25" t="str">
        <f aca="false">IF(AT216="","",INDEX(入力シート!$B$5:$B$204,AT216))</f>
        <v/>
      </c>
      <c r="L216" s="25" t="str">
        <f aca="false">IF(AT216="","","")</f>
        <v/>
      </c>
      <c r="M216" s="25" t="str">
        <f aca="false">IF(AT216="","","")</f>
        <v/>
      </c>
      <c r="N216" s="25" t="str">
        <f aca="false">IF(AT216="","",COUNTIF(入力シート!$Q$5:$Q$204,INDEX(入力シート!$Q$5:$Q$204,AT216))+1)</f>
        <v/>
      </c>
      <c r="O216" s="25" t="str">
        <f aca="false">IF(AT216="","",99)</f>
        <v/>
      </c>
      <c r="P216" s="25" t="str">
        <f aca="false">IF(AT216="","","")</f>
        <v/>
      </c>
      <c r="Q216" s="25" t="str">
        <f aca="false">IF(AT216="","","")</f>
        <v/>
      </c>
      <c r="R216" s="25" t="str">
        <f aca="false">IF(AT216="","","消費税")</f>
        <v/>
      </c>
      <c r="S216" s="25" t="str">
        <f aca="false">IF(AT216="","",0)</f>
        <v/>
      </c>
      <c r="T216" s="25" t="str">
        <f aca="false">IF(AT216="","","")</f>
        <v/>
      </c>
      <c r="U216" s="25" t="str">
        <f aca="false">IF(AT216="","",0)</f>
        <v/>
      </c>
      <c r="V216" s="25" t="str">
        <f aca="false">IF(AT216="","",0)</f>
        <v/>
      </c>
      <c r="W216" s="25" t="str">
        <f aca="false">IF(AT216="","","")</f>
        <v/>
      </c>
      <c r="X216" s="25" t="str">
        <f aca="false">IF(AT216="","",0)</f>
        <v/>
      </c>
      <c r="Y216" s="25" t="str">
        <f aca="false">IF(AT216="","",0)</f>
        <v/>
      </c>
      <c r="Z216" s="25" t="str">
        <f aca="false">IF(AT216="","",ROUNDDOWN(SUMIF(入力シート!$Q$5:$Q$204,INDEX(入力シート!$Q$5:$Q$204,AT216),入力シート!$P$5:$P$204)*IF(INDEX(入力シート!$L$5:$L$204,AT216)=13,0.1,IF(INDEX(入力シート!$L$5:$L$204,AT216)=30,0.08,0)),0))</f>
        <v/>
      </c>
      <c r="AA216" s="25" t="str">
        <f aca="false">IF(AT216="","","")</f>
        <v/>
      </c>
      <c r="AB216" s="25" t="str">
        <f aca="false">IF(AT216="","",0)</f>
        <v/>
      </c>
      <c r="AC216" s="25" t="str">
        <f aca="false">IF(AT216="","",0)</f>
        <v/>
      </c>
      <c r="AD216" s="25" t="str">
        <f aca="false">IF(AT216="","",0)</f>
        <v/>
      </c>
      <c r="AE216" s="25" t="str">
        <f aca="false">IF(AT216="","","")</f>
        <v/>
      </c>
      <c r="AF216" s="25" t="str">
        <f aca="false">IF(AT216="","",0)</f>
        <v/>
      </c>
      <c r="AG216" s="25" t="str">
        <f aca="false">IF(AT216="","",0)</f>
        <v/>
      </c>
      <c r="AH216" s="25" t="str">
        <f aca="false">IF(AT216="","","")</f>
        <v/>
      </c>
      <c r="AI216" s="25" t="str">
        <f aca="false">IF(AT216="","","")</f>
        <v/>
      </c>
      <c r="AJ216" s="25" t="str">
        <f aca="false">IF(AT216="","","")</f>
        <v/>
      </c>
      <c r="AK216" s="25" t="str">
        <f aca="false">IF(AT216="","",2)</f>
        <v/>
      </c>
      <c r="AL216" s="25" t="str">
        <f aca="false">IF(AT216="","","")</f>
        <v/>
      </c>
      <c r="AM216" s="25" t="str">
        <f aca="false">IF(AT216="","","")</f>
        <v/>
      </c>
      <c r="AN216" s="25" t="str">
        <f aca="false">IF(AT216="","",INDEX(入力シート!$C$5:$C$204,AT216))</f>
        <v/>
      </c>
      <c r="AO216" s="25" t="str">
        <f aca="false">IF(AT216="","","")</f>
        <v/>
      </c>
      <c r="AP216" s="25" t="str">
        <f aca="false">IF(AT216="","","")</f>
        <v/>
      </c>
      <c r="AQ216" s="25" t="str">
        <f aca="false">IF(AT216="","","")</f>
        <v/>
      </c>
      <c r="AT216" s="27" t="str">
        <f aca="false">IFERROR(MATCH(16,入力シート!$T$5:$T$204,0),"")</f>
        <v/>
      </c>
    </row>
    <row r="217" customFormat="false" ht="15" hidden="false" customHeight="true" outlineLevel="0" collapsed="false">
      <c r="A217" s="25" t="str">
        <f aca="false">IF(AT217="","",1)</f>
        <v/>
      </c>
      <c r="B217" s="25" t="str">
        <f aca="false">IF(AT217="","",1)</f>
        <v/>
      </c>
      <c r="C217" s="25" t="str">
        <f aca="false">IF(AT217="","",0)</f>
        <v/>
      </c>
      <c r="D217" s="25" t="str">
        <f aca="false">IF(AT217="","",TEXT(INDEX(入力シート!$A$5:$A$204,AT217),"YYYYMMDD"))</f>
        <v/>
      </c>
      <c r="E217" s="25" t="str">
        <f aca="false">IF(AT217="","",TEXT(INDEX(入力シート!$Q$5:$Q$204,AT217),"00000000"))</f>
        <v/>
      </c>
      <c r="F217" s="25" t="str">
        <f aca="false">IF(AT217="","",14)</f>
        <v/>
      </c>
      <c r="G217" s="25" t="str">
        <f aca="false">IF(AT217="","",1)</f>
        <v/>
      </c>
      <c r="H217" s="25" t="str">
        <f aca="false">IF(AT217="","",1)</f>
        <v/>
      </c>
      <c r="I217" s="25" t="str">
        <f aca="false">IF(AT217="","",3)</f>
        <v/>
      </c>
      <c r="J217" s="25" t="str">
        <f aca="false">IF(AT217="","",1)</f>
        <v/>
      </c>
      <c r="K217" s="25" t="str">
        <f aca="false">IF(AT217="","",INDEX(入力シート!$B$5:$B$204,AT217))</f>
        <v/>
      </c>
      <c r="L217" s="25" t="str">
        <f aca="false">IF(AT217="","","")</f>
        <v/>
      </c>
      <c r="M217" s="25" t="str">
        <f aca="false">IF(AT217="","","")</f>
        <v/>
      </c>
      <c r="N217" s="25" t="str">
        <f aca="false">IF(AT217="","",COUNTIF(入力シート!$Q$5:$Q$204,INDEX(入力シート!$Q$5:$Q$204,AT217))+1)</f>
        <v/>
      </c>
      <c r="O217" s="25" t="str">
        <f aca="false">IF(AT217="","",99)</f>
        <v/>
      </c>
      <c r="P217" s="25" t="str">
        <f aca="false">IF(AT217="","","")</f>
        <v/>
      </c>
      <c r="Q217" s="25" t="str">
        <f aca="false">IF(AT217="","","")</f>
        <v/>
      </c>
      <c r="R217" s="25" t="str">
        <f aca="false">IF(AT217="","","消費税")</f>
        <v/>
      </c>
      <c r="S217" s="25" t="str">
        <f aca="false">IF(AT217="","",0)</f>
        <v/>
      </c>
      <c r="T217" s="25" t="str">
        <f aca="false">IF(AT217="","","")</f>
        <v/>
      </c>
      <c r="U217" s="25" t="str">
        <f aca="false">IF(AT217="","",0)</f>
        <v/>
      </c>
      <c r="V217" s="25" t="str">
        <f aca="false">IF(AT217="","",0)</f>
        <v/>
      </c>
      <c r="W217" s="25" t="str">
        <f aca="false">IF(AT217="","","")</f>
        <v/>
      </c>
      <c r="X217" s="25" t="str">
        <f aca="false">IF(AT217="","",0)</f>
        <v/>
      </c>
      <c r="Y217" s="25" t="str">
        <f aca="false">IF(AT217="","",0)</f>
        <v/>
      </c>
      <c r="Z217" s="25" t="str">
        <f aca="false">IF(AT217="","",ROUNDDOWN(SUMIF(入力シート!$Q$5:$Q$204,INDEX(入力シート!$Q$5:$Q$204,AT217),入力シート!$P$5:$P$204)*IF(INDEX(入力シート!$L$5:$L$204,AT217)=13,0.1,IF(INDEX(入力シート!$L$5:$L$204,AT217)=30,0.08,0)),0))</f>
        <v/>
      </c>
      <c r="AA217" s="25" t="str">
        <f aca="false">IF(AT217="","","")</f>
        <v/>
      </c>
      <c r="AB217" s="25" t="str">
        <f aca="false">IF(AT217="","",0)</f>
        <v/>
      </c>
      <c r="AC217" s="25" t="str">
        <f aca="false">IF(AT217="","",0)</f>
        <v/>
      </c>
      <c r="AD217" s="25" t="str">
        <f aca="false">IF(AT217="","",0)</f>
        <v/>
      </c>
      <c r="AE217" s="25" t="str">
        <f aca="false">IF(AT217="","","")</f>
        <v/>
      </c>
      <c r="AF217" s="25" t="str">
        <f aca="false">IF(AT217="","",0)</f>
        <v/>
      </c>
      <c r="AG217" s="25" t="str">
        <f aca="false">IF(AT217="","",0)</f>
        <v/>
      </c>
      <c r="AH217" s="25" t="str">
        <f aca="false">IF(AT217="","","")</f>
        <v/>
      </c>
      <c r="AI217" s="25" t="str">
        <f aca="false">IF(AT217="","","")</f>
        <v/>
      </c>
      <c r="AJ217" s="25" t="str">
        <f aca="false">IF(AT217="","","")</f>
        <v/>
      </c>
      <c r="AK217" s="25" t="str">
        <f aca="false">IF(AT217="","",2)</f>
        <v/>
      </c>
      <c r="AL217" s="25" t="str">
        <f aca="false">IF(AT217="","","")</f>
        <v/>
      </c>
      <c r="AM217" s="25" t="str">
        <f aca="false">IF(AT217="","","")</f>
        <v/>
      </c>
      <c r="AN217" s="25" t="str">
        <f aca="false">IF(AT217="","",INDEX(入力シート!$C$5:$C$204,AT217))</f>
        <v/>
      </c>
      <c r="AO217" s="25" t="str">
        <f aca="false">IF(AT217="","","")</f>
        <v/>
      </c>
      <c r="AP217" s="25" t="str">
        <f aca="false">IF(AT217="","","")</f>
        <v/>
      </c>
      <c r="AQ217" s="25" t="str">
        <f aca="false">IF(AT217="","","")</f>
        <v/>
      </c>
      <c r="AT217" s="27" t="str">
        <f aca="false">IFERROR(MATCH(17,入力シート!$T$5:$T$204,0),"")</f>
        <v/>
      </c>
    </row>
    <row r="218" customFormat="false" ht="15" hidden="false" customHeight="true" outlineLevel="0" collapsed="false">
      <c r="A218" s="25" t="str">
        <f aca="false">IF(AT218="","",1)</f>
        <v/>
      </c>
      <c r="B218" s="25" t="str">
        <f aca="false">IF(AT218="","",1)</f>
        <v/>
      </c>
      <c r="C218" s="25" t="str">
        <f aca="false">IF(AT218="","",0)</f>
        <v/>
      </c>
      <c r="D218" s="25" t="str">
        <f aca="false">IF(AT218="","",TEXT(INDEX(入力シート!$A$5:$A$204,AT218),"YYYYMMDD"))</f>
        <v/>
      </c>
      <c r="E218" s="25" t="str">
        <f aca="false">IF(AT218="","",TEXT(INDEX(入力シート!$Q$5:$Q$204,AT218),"00000000"))</f>
        <v/>
      </c>
      <c r="F218" s="25" t="str">
        <f aca="false">IF(AT218="","",14)</f>
        <v/>
      </c>
      <c r="G218" s="25" t="str">
        <f aca="false">IF(AT218="","",1)</f>
        <v/>
      </c>
      <c r="H218" s="25" t="str">
        <f aca="false">IF(AT218="","",1)</f>
        <v/>
      </c>
      <c r="I218" s="25" t="str">
        <f aca="false">IF(AT218="","",3)</f>
        <v/>
      </c>
      <c r="J218" s="25" t="str">
        <f aca="false">IF(AT218="","",1)</f>
        <v/>
      </c>
      <c r="K218" s="25" t="str">
        <f aca="false">IF(AT218="","",INDEX(入力シート!$B$5:$B$204,AT218))</f>
        <v/>
      </c>
      <c r="L218" s="25" t="str">
        <f aca="false">IF(AT218="","","")</f>
        <v/>
      </c>
      <c r="M218" s="25" t="str">
        <f aca="false">IF(AT218="","","")</f>
        <v/>
      </c>
      <c r="N218" s="25" t="str">
        <f aca="false">IF(AT218="","",COUNTIF(入力シート!$Q$5:$Q$204,INDEX(入力シート!$Q$5:$Q$204,AT218))+1)</f>
        <v/>
      </c>
      <c r="O218" s="25" t="str">
        <f aca="false">IF(AT218="","",99)</f>
        <v/>
      </c>
      <c r="P218" s="25" t="str">
        <f aca="false">IF(AT218="","","")</f>
        <v/>
      </c>
      <c r="Q218" s="25" t="str">
        <f aca="false">IF(AT218="","","")</f>
        <v/>
      </c>
      <c r="R218" s="25" t="str">
        <f aca="false">IF(AT218="","","消費税")</f>
        <v/>
      </c>
      <c r="S218" s="25" t="str">
        <f aca="false">IF(AT218="","",0)</f>
        <v/>
      </c>
      <c r="T218" s="25" t="str">
        <f aca="false">IF(AT218="","","")</f>
        <v/>
      </c>
      <c r="U218" s="25" t="str">
        <f aca="false">IF(AT218="","",0)</f>
        <v/>
      </c>
      <c r="V218" s="25" t="str">
        <f aca="false">IF(AT218="","",0)</f>
        <v/>
      </c>
      <c r="W218" s="25" t="str">
        <f aca="false">IF(AT218="","","")</f>
        <v/>
      </c>
      <c r="X218" s="25" t="str">
        <f aca="false">IF(AT218="","",0)</f>
        <v/>
      </c>
      <c r="Y218" s="25" t="str">
        <f aca="false">IF(AT218="","",0)</f>
        <v/>
      </c>
      <c r="Z218" s="25" t="str">
        <f aca="false">IF(AT218="","",ROUNDDOWN(SUMIF(入力シート!$Q$5:$Q$204,INDEX(入力シート!$Q$5:$Q$204,AT218),入力シート!$P$5:$P$204)*IF(INDEX(入力シート!$L$5:$L$204,AT218)=13,0.1,IF(INDEX(入力シート!$L$5:$L$204,AT218)=30,0.08,0)),0))</f>
        <v/>
      </c>
      <c r="AA218" s="25" t="str">
        <f aca="false">IF(AT218="","","")</f>
        <v/>
      </c>
      <c r="AB218" s="25" t="str">
        <f aca="false">IF(AT218="","",0)</f>
        <v/>
      </c>
      <c r="AC218" s="25" t="str">
        <f aca="false">IF(AT218="","",0)</f>
        <v/>
      </c>
      <c r="AD218" s="25" t="str">
        <f aca="false">IF(AT218="","",0)</f>
        <v/>
      </c>
      <c r="AE218" s="25" t="str">
        <f aca="false">IF(AT218="","","")</f>
        <v/>
      </c>
      <c r="AF218" s="25" t="str">
        <f aca="false">IF(AT218="","",0)</f>
        <v/>
      </c>
      <c r="AG218" s="25" t="str">
        <f aca="false">IF(AT218="","",0)</f>
        <v/>
      </c>
      <c r="AH218" s="25" t="str">
        <f aca="false">IF(AT218="","","")</f>
        <v/>
      </c>
      <c r="AI218" s="25" t="str">
        <f aca="false">IF(AT218="","","")</f>
        <v/>
      </c>
      <c r="AJ218" s="25" t="str">
        <f aca="false">IF(AT218="","","")</f>
        <v/>
      </c>
      <c r="AK218" s="25" t="str">
        <f aca="false">IF(AT218="","",2)</f>
        <v/>
      </c>
      <c r="AL218" s="25" t="str">
        <f aca="false">IF(AT218="","","")</f>
        <v/>
      </c>
      <c r="AM218" s="25" t="str">
        <f aca="false">IF(AT218="","","")</f>
        <v/>
      </c>
      <c r="AN218" s="25" t="str">
        <f aca="false">IF(AT218="","",INDEX(入力シート!$C$5:$C$204,AT218))</f>
        <v/>
      </c>
      <c r="AO218" s="25" t="str">
        <f aca="false">IF(AT218="","","")</f>
        <v/>
      </c>
      <c r="AP218" s="25" t="str">
        <f aca="false">IF(AT218="","","")</f>
        <v/>
      </c>
      <c r="AQ218" s="25" t="str">
        <f aca="false">IF(AT218="","","")</f>
        <v/>
      </c>
      <c r="AT218" s="27" t="str">
        <f aca="false">IFERROR(MATCH(18,入力シート!$T$5:$T$204,0),"")</f>
        <v/>
      </c>
    </row>
    <row r="219" customFormat="false" ht="15" hidden="false" customHeight="true" outlineLevel="0" collapsed="false">
      <c r="A219" s="25" t="str">
        <f aca="false">IF(AT219="","",1)</f>
        <v/>
      </c>
      <c r="B219" s="25" t="str">
        <f aca="false">IF(AT219="","",1)</f>
        <v/>
      </c>
      <c r="C219" s="25" t="str">
        <f aca="false">IF(AT219="","",0)</f>
        <v/>
      </c>
      <c r="D219" s="25" t="str">
        <f aca="false">IF(AT219="","",TEXT(INDEX(入力シート!$A$5:$A$204,AT219),"YYYYMMDD"))</f>
        <v/>
      </c>
      <c r="E219" s="25" t="str">
        <f aca="false">IF(AT219="","",TEXT(INDEX(入力シート!$Q$5:$Q$204,AT219),"00000000"))</f>
        <v/>
      </c>
      <c r="F219" s="25" t="str">
        <f aca="false">IF(AT219="","",14)</f>
        <v/>
      </c>
      <c r="G219" s="25" t="str">
        <f aca="false">IF(AT219="","",1)</f>
        <v/>
      </c>
      <c r="H219" s="25" t="str">
        <f aca="false">IF(AT219="","",1)</f>
        <v/>
      </c>
      <c r="I219" s="25" t="str">
        <f aca="false">IF(AT219="","",3)</f>
        <v/>
      </c>
      <c r="J219" s="25" t="str">
        <f aca="false">IF(AT219="","",1)</f>
        <v/>
      </c>
      <c r="K219" s="25" t="str">
        <f aca="false">IF(AT219="","",INDEX(入力シート!$B$5:$B$204,AT219))</f>
        <v/>
      </c>
      <c r="L219" s="25" t="str">
        <f aca="false">IF(AT219="","","")</f>
        <v/>
      </c>
      <c r="M219" s="25" t="str">
        <f aca="false">IF(AT219="","","")</f>
        <v/>
      </c>
      <c r="N219" s="25" t="str">
        <f aca="false">IF(AT219="","",COUNTIF(入力シート!$Q$5:$Q$204,INDEX(入力シート!$Q$5:$Q$204,AT219))+1)</f>
        <v/>
      </c>
      <c r="O219" s="25" t="str">
        <f aca="false">IF(AT219="","",99)</f>
        <v/>
      </c>
      <c r="P219" s="25" t="str">
        <f aca="false">IF(AT219="","","")</f>
        <v/>
      </c>
      <c r="Q219" s="25" t="str">
        <f aca="false">IF(AT219="","","")</f>
        <v/>
      </c>
      <c r="R219" s="25" t="str">
        <f aca="false">IF(AT219="","","消費税")</f>
        <v/>
      </c>
      <c r="S219" s="25" t="str">
        <f aca="false">IF(AT219="","",0)</f>
        <v/>
      </c>
      <c r="T219" s="25" t="str">
        <f aca="false">IF(AT219="","","")</f>
        <v/>
      </c>
      <c r="U219" s="25" t="str">
        <f aca="false">IF(AT219="","",0)</f>
        <v/>
      </c>
      <c r="V219" s="25" t="str">
        <f aca="false">IF(AT219="","",0)</f>
        <v/>
      </c>
      <c r="W219" s="25" t="str">
        <f aca="false">IF(AT219="","","")</f>
        <v/>
      </c>
      <c r="X219" s="25" t="str">
        <f aca="false">IF(AT219="","",0)</f>
        <v/>
      </c>
      <c r="Y219" s="25" t="str">
        <f aca="false">IF(AT219="","",0)</f>
        <v/>
      </c>
      <c r="Z219" s="25" t="str">
        <f aca="false">IF(AT219="","",ROUNDDOWN(SUMIF(入力シート!$Q$5:$Q$204,INDEX(入力シート!$Q$5:$Q$204,AT219),入力シート!$P$5:$P$204)*IF(INDEX(入力シート!$L$5:$L$204,AT219)=13,0.1,IF(INDEX(入力シート!$L$5:$L$204,AT219)=30,0.08,0)),0))</f>
        <v/>
      </c>
      <c r="AA219" s="25" t="str">
        <f aca="false">IF(AT219="","","")</f>
        <v/>
      </c>
      <c r="AB219" s="25" t="str">
        <f aca="false">IF(AT219="","",0)</f>
        <v/>
      </c>
      <c r="AC219" s="25" t="str">
        <f aca="false">IF(AT219="","",0)</f>
        <v/>
      </c>
      <c r="AD219" s="25" t="str">
        <f aca="false">IF(AT219="","",0)</f>
        <v/>
      </c>
      <c r="AE219" s="25" t="str">
        <f aca="false">IF(AT219="","","")</f>
        <v/>
      </c>
      <c r="AF219" s="25" t="str">
        <f aca="false">IF(AT219="","",0)</f>
        <v/>
      </c>
      <c r="AG219" s="25" t="str">
        <f aca="false">IF(AT219="","",0)</f>
        <v/>
      </c>
      <c r="AH219" s="25" t="str">
        <f aca="false">IF(AT219="","","")</f>
        <v/>
      </c>
      <c r="AI219" s="25" t="str">
        <f aca="false">IF(AT219="","","")</f>
        <v/>
      </c>
      <c r="AJ219" s="25" t="str">
        <f aca="false">IF(AT219="","","")</f>
        <v/>
      </c>
      <c r="AK219" s="25" t="str">
        <f aca="false">IF(AT219="","",2)</f>
        <v/>
      </c>
      <c r="AL219" s="25" t="str">
        <f aca="false">IF(AT219="","","")</f>
        <v/>
      </c>
      <c r="AM219" s="25" t="str">
        <f aca="false">IF(AT219="","","")</f>
        <v/>
      </c>
      <c r="AN219" s="25" t="str">
        <f aca="false">IF(AT219="","",INDEX(入力シート!$C$5:$C$204,AT219))</f>
        <v/>
      </c>
      <c r="AO219" s="25" t="str">
        <f aca="false">IF(AT219="","","")</f>
        <v/>
      </c>
      <c r="AP219" s="25" t="str">
        <f aca="false">IF(AT219="","","")</f>
        <v/>
      </c>
      <c r="AQ219" s="25" t="str">
        <f aca="false">IF(AT219="","","")</f>
        <v/>
      </c>
      <c r="AT219" s="27" t="str">
        <f aca="false">IFERROR(MATCH(19,入力シート!$T$5:$T$204,0),"")</f>
        <v/>
      </c>
    </row>
    <row r="220" customFormat="false" ht="15" hidden="false" customHeight="true" outlineLevel="0" collapsed="false">
      <c r="A220" s="25" t="str">
        <f aca="false">IF(AT220="","",1)</f>
        <v/>
      </c>
      <c r="B220" s="25" t="str">
        <f aca="false">IF(AT220="","",1)</f>
        <v/>
      </c>
      <c r="C220" s="25" t="str">
        <f aca="false">IF(AT220="","",0)</f>
        <v/>
      </c>
      <c r="D220" s="25" t="str">
        <f aca="false">IF(AT220="","",TEXT(INDEX(入力シート!$A$5:$A$204,AT220),"YYYYMMDD"))</f>
        <v/>
      </c>
      <c r="E220" s="25" t="str">
        <f aca="false">IF(AT220="","",TEXT(INDEX(入力シート!$Q$5:$Q$204,AT220),"00000000"))</f>
        <v/>
      </c>
      <c r="F220" s="25" t="str">
        <f aca="false">IF(AT220="","",14)</f>
        <v/>
      </c>
      <c r="G220" s="25" t="str">
        <f aca="false">IF(AT220="","",1)</f>
        <v/>
      </c>
      <c r="H220" s="25" t="str">
        <f aca="false">IF(AT220="","",1)</f>
        <v/>
      </c>
      <c r="I220" s="25" t="str">
        <f aca="false">IF(AT220="","",3)</f>
        <v/>
      </c>
      <c r="J220" s="25" t="str">
        <f aca="false">IF(AT220="","",1)</f>
        <v/>
      </c>
      <c r="K220" s="25" t="str">
        <f aca="false">IF(AT220="","",INDEX(入力シート!$B$5:$B$204,AT220))</f>
        <v/>
      </c>
      <c r="L220" s="25" t="str">
        <f aca="false">IF(AT220="","","")</f>
        <v/>
      </c>
      <c r="M220" s="25" t="str">
        <f aca="false">IF(AT220="","","")</f>
        <v/>
      </c>
      <c r="N220" s="25" t="str">
        <f aca="false">IF(AT220="","",COUNTIF(入力シート!$Q$5:$Q$204,INDEX(入力シート!$Q$5:$Q$204,AT220))+1)</f>
        <v/>
      </c>
      <c r="O220" s="25" t="str">
        <f aca="false">IF(AT220="","",99)</f>
        <v/>
      </c>
      <c r="P220" s="25" t="str">
        <f aca="false">IF(AT220="","","")</f>
        <v/>
      </c>
      <c r="Q220" s="25" t="str">
        <f aca="false">IF(AT220="","","")</f>
        <v/>
      </c>
      <c r="R220" s="25" t="str">
        <f aca="false">IF(AT220="","","消費税")</f>
        <v/>
      </c>
      <c r="S220" s="25" t="str">
        <f aca="false">IF(AT220="","",0)</f>
        <v/>
      </c>
      <c r="T220" s="25" t="str">
        <f aca="false">IF(AT220="","","")</f>
        <v/>
      </c>
      <c r="U220" s="25" t="str">
        <f aca="false">IF(AT220="","",0)</f>
        <v/>
      </c>
      <c r="V220" s="25" t="str">
        <f aca="false">IF(AT220="","",0)</f>
        <v/>
      </c>
      <c r="W220" s="25" t="str">
        <f aca="false">IF(AT220="","","")</f>
        <v/>
      </c>
      <c r="X220" s="25" t="str">
        <f aca="false">IF(AT220="","",0)</f>
        <v/>
      </c>
      <c r="Y220" s="25" t="str">
        <f aca="false">IF(AT220="","",0)</f>
        <v/>
      </c>
      <c r="Z220" s="25" t="str">
        <f aca="false">IF(AT220="","",ROUNDDOWN(SUMIF(入力シート!$Q$5:$Q$204,INDEX(入力シート!$Q$5:$Q$204,AT220),入力シート!$P$5:$P$204)*IF(INDEX(入力シート!$L$5:$L$204,AT220)=13,0.1,IF(INDEX(入力シート!$L$5:$L$204,AT220)=30,0.08,0)),0))</f>
        <v/>
      </c>
      <c r="AA220" s="25" t="str">
        <f aca="false">IF(AT220="","","")</f>
        <v/>
      </c>
      <c r="AB220" s="25" t="str">
        <f aca="false">IF(AT220="","",0)</f>
        <v/>
      </c>
      <c r="AC220" s="25" t="str">
        <f aca="false">IF(AT220="","",0)</f>
        <v/>
      </c>
      <c r="AD220" s="25" t="str">
        <f aca="false">IF(AT220="","",0)</f>
        <v/>
      </c>
      <c r="AE220" s="25" t="str">
        <f aca="false">IF(AT220="","","")</f>
        <v/>
      </c>
      <c r="AF220" s="25" t="str">
        <f aca="false">IF(AT220="","",0)</f>
        <v/>
      </c>
      <c r="AG220" s="25" t="str">
        <f aca="false">IF(AT220="","",0)</f>
        <v/>
      </c>
      <c r="AH220" s="25" t="str">
        <f aca="false">IF(AT220="","","")</f>
        <v/>
      </c>
      <c r="AI220" s="25" t="str">
        <f aca="false">IF(AT220="","","")</f>
        <v/>
      </c>
      <c r="AJ220" s="25" t="str">
        <f aca="false">IF(AT220="","","")</f>
        <v/>
      </c>
      <c r="AK220" s="25" t="str">
        <f aca="false">IF(AT220="","",2)</f>
        <v/>
      </c>
      <c r="AL220" s="25" t="str">
        <f aca="false">IF(AT220="","","")</f>
        <v/>
      </c>
      <c r="AM220" s="25" t="str">
        <f aca="false">IF(AT220="","","")</f>
        <v/>
      </c>
      <c r="AN220" s="25" t="str">
        <f aca="false">IF(AT220="","",INDEX(入力シート!$C$5:$C$204,AT220))</f>
        <v/>
      </c>
      <c r="AO220" s="25" t="str">
        <f aca="false">IF(AT220="","","")</f>
        <v/>
      </c>
      <c r="AP220" s="25" t="str">
        <f aca="false">IF(AT220="","","")</f>
        <v/>
      </c>
      <c r="AQ220" s="25" t="str">
        <f aca="false">IF(AT220="","","")</f>
        <v/>
      </c>
      <c r="AT220" s="27" t="str">
        <f aca="false">IFERROR(MATCH(20,入力シート!$T$5:$T$204,0),"")</f>
        <v/>
      </c>
    </row>
    <row r="221" customFormat="false" ht="15" hidden="false" customHeight="true" outlineLevel="0" collapsed="false">
      <c r="A221" s="25" t="str">
        <f aca="false">IF(AT221="","",1)</f>
        <v/>
      </c>
      <c r="B221" s="25" t="str">
        <f aca="false">IF(AT221="","",1)</f>
        <v/>
      </c>
      <c r="C221" s="25" t="str">
        <f aca="false">IF(AT221="","",0)</f>
        <v/>
      </c>
      <c r="D221" s="25" t="str">
        <f aca="false">IF(AT221="","",TEXT(INDEX(入力シート!$A$5:$A$204,AT221),"YYYYMMDD"))</f>
        <v/>
      </c>
      <c r="E221" s="25" t="str">
        <f aca="false">IF(AT221="","",TEXT(INDEX(入力シート!$Q$5:$Q$204,AT221),"00000000"))</f>
        <v/>
      </c>
      <c r="F221" s="25" t="str">
        <f aca="false">IF(AT221="","",14)</f>
        <v/>
      </c>
      <c r="G221" s="25" t="str">
        <f aca="false">IF(AT221="","",1)</f>
        <v/>
      </c>
      <c r="H221" s="25" t="str">
        <f aca="false">IF(AT221="","",1)</f>
        <v/>
      </c>
      <c r="I221" s="25" t="str">
        <f aca="false">IF(AT221="","",3)</f>
        <v/>
      </c>
      <c r="J221" s="25" t="str">
        <f aca="false">IF(AT221="","",1)</f>
        <v/>
      </c>
      <c r="K221" s="25" t="str">
        <f aca="false">IF(AT221="","",INDEX(入力シート!$B$5:$B$204,AT221))</f>
        <v/>
      </c>
      <c r="L221" s="25" t="str">
        <f aca="false">IF(AT221="","","")</f>
        <v/>
      </c>
      <c r="M221" s="25" t="str">
        <f aca="false">IF(AT221="","","")</f>
        <v/>
      </c>
      <c r="N221" s="25" t="str">
        <f aca="false">IF(AT221="","",COUNTIF(入力シート!$Q$5:$Q$204,INDEX(入力シート!$Q$5:$Q$204,AT221))+1)</f>
        <v/>
      </c>
      <c r="O221" s="25" t="str">
        <f aca="false">IF(AT221="","",99)</f>
        <v/>
      </c>
      <c r="P221" s="25" t="str">
        <f aca="false">IF(AT221="","","")</f>
        <v/>
      </c>
      <c r="Q221" s="25" t="str">
        <f aca="false">IF(AT221="","","")</f>
        <v/>
      </c>
      <c r="R221" s="25" t="str">
        <f aca="false">IF(AT221="","","消費税")</f>
        <v/>
      </c>
      <c r="S221" s="25" t="str">
        <f aca="false">IF(AT221="","",0)</f>
        <v/>
      </c>
      <c r="T221" s="25" t="str">
        <f aca="false">IF(AT221="","","")</f>
        <v/>
      </c>
      <c r="U221" s="25" t="str">
        <f aca="false">IF(AT221="","",0)</f>
        <v/>
      </c>
      <c r="V221" s="25" t="str">
        <f aca="false">IF(AT221="","",0)</f>
        <v/>
      </c>
      <c r="W221" s="25" t="str">
        <f aca="false">IF(AT221="","","")</f>
        <v/>
      </c>
      <c r="X221" s="25" t="str">
        <f aca="false">IF(AT221="","",0)</f>
        <v/>
      </c>
      <c r="Y221" s="25" t="str">
        <f aca="false">IF(AT221="","",0)</f>
        <v/>
      </c>
      <c r="Z221" s="25" t="str">
        <f aca="false">IF(AT221="","",ROUNDDOWN(SUMIF(入力シート!$Q$5:$Q$204,INDEX(入力シート!$Q$5:$Q$204,AT221),入力シート!$P$5:$P$204)*IF(INDEX(入力シート!$L$5:$L$204,AT221)=13,0.1,IF(INDEX(入力シート!$L$5:$L$204,AT221)=30,0.08,0)),0))</f>
        <v/>
      </c>
      <c r="AA221" s="25" t="str">
        <f aca="false">IF(AT221="","","")</f>
        <v/>
      </c>
      <c r="AB221" s="25" t="str">
        <f aca="false">IF(AT221="","",0)</f>
        <v/>
      </c>
      <c r="AC221" s="25" t="str">
        <f aca="false">IF(AT221="","",0)</f>
        <v/>
      </c>
      <c r="AD221" s="25" t="str">
        <f aca="false">IF(AT221="","",0)</f>
        <v/>
      </c>
      <c r="AE221" s="25" t="str">
        <f aca="false">IF(AT221="","","")</f>
        <v/>
      </c>
      <c r="AF221" s="25" t="str">
        <f aca="false">IF(AT221="","",0)</f>
        <v/>
      </c>
      <c r="AG221" s="25" t="str">
        <f aca="false">IF(AT221="","",0)</f>
        <v/>
      </c>
      <c r="AH221" s="25" t="str">
        <f aca="false">IF(AT221="","","")</f>
        <v/>
      </c>
      <c r="AI221" s="25" t="str">
        <f aca="false">IF(AT221="","","")</f>
        <v/>
      </c>
      <c r="AJ221" s="25" t="str">
        <f aca="false">IF(AT221="","","")</f>
        <v/>
      </c>
      <c r="AK221" s="25" t="str">
        <f aca="false">IF(AT221="","",2)</f>
        <v/>
      </c>
      <c r="AL221" s="25" t="str">
        <f aca="false">IF(AT221="","","")</f>
        <v/>
      </c>
      <c r="AM221" s="25" t="str">
        <f aca="false">IF(AT221="","","")</f>
        <v/>
      </c>
      <c r="AN221" s="25" t="str">
        <f aca="false">IF(AT221="","",INDEX(入力シート!$C$5:$C$204,AT221))</f>
        <v/>
      </c>
      <c r="AO221" s="25" t="str">
        <f aca="false">IF(AT221="","","")</f>
        <v/>
      </c>
      <c r="AP221" s="25" t="str">
        <f aca="false">IF(AT221="","","")</f>
        <v/>
      </c>
      <c r="AQ221" s="25" t="str">
        <f aca="false">IF(AT221="","","")</f>
        <v/>
      </c>
      <c r="AT221" s="27" t="str">
        <f aca="false">IFERROR(MATCH(21,入力シート!$T$5:$T$204,0),"")</f>
        <v/>
      </c>
    </row>
    <row r="222" customFormat="false" ht="15" hidden="false" customHeight="true" outlineLevel="0" collapsed="false">
      <c r="A222" s="25" t="str">
        <f aca="false">IF(AT222="","",1)</f>
        <v/>
      </c>
      <c r="B222" s="25" t="str">
        <f aca="false">IF(AT222="","",1)</f>
        <v/>
      </c>
      <c r="C222" s="25" t="str">
        <f aca="false">IF(AT222="","",0)</f>
        <v/>
      </c>
      <c r="D222" s="25" t="str">
        <f aca="false">IF(AT222="","",TEXT(INDEX(入力シート!$A$5:$A$204,AT222),"YYYYMMDD"))</f>
        <v/>
      </c>
      <c r="E222" s="25" t="str">
        <f aca="false">IF(AT222="","",TEXT(INDEX(入力シート!$Q$5:$Q$204,AT222),"00000000"))</f>
        <v/>
      </c>
      <c r="F222" s="25" t="str">
        <f aca="false">IF(AT222="","",14)</f>
        <v/>
      </c>
      <c r="G222" s="25" t="str">
        <f aca="false">IF(AT222="","",1)</f>
        <v/>
      </c>
      <c r="H222" s="25" t="str">
        <f aca="false">IF(AT222="","",1)</f>
        <v/>
      </c>
      <c r="I222" s="25" t="str">
        <f aca="false">IF(AT222="","",3)</f>
        <v/>
      </c>
      <c r="J222" s="25" t="str">
        <f aca="false">IF(AT222="","",1)</f>
        <v/>
      </c>
      <c r="K222" s="25" t="str">
        <f aca="false">IF(AT222="","",INDEX(入力シート!$B$5:$B$204,AT222))</f>
        <v/>
      </c>
      <c r="L222" s="25" t="str">
        <f aca="false">IF(AT222="","","")</f>
        <v/>
      </c>
      <c r="M222" s="25" t="str">
        <f aca="false">IF(AT222="","","")</f>
        <v/>
      </c>
      <c r="N222" s="25" t="str">
        <f aca="false">IF(AT222="","",COUNTIF(入力シート!$Q$5:$Q$204,INDEX(入力シート!$Q$5:$Q$204,AT222))+1)</f>
        <v/>
      </c>
      <c r="O222" s="25" t="str">
        <f aca="false">IF(AT222="","",99)</f>
        <v/>
      </c>
      <c r="P222" s="25" t="str">
        <f aca="false">IF(AT222="","","")</f>
        <v/>
      </c>
      <c r="Q222" s="25" t="str">
        <f aca="false">IF(AT222="","","")</f>
        <v/>
      </c>
      <c r="R222" s="25" t="str">
        <f aca="false">IF(AT222="","","消費税")</f>
        <v/>
      </c>
      <c r="S222" s="25" t="str">
        <f aca="false">IF(AT222="","",0)</f>
        <v/>
      </c>
      <c r="T222" s="25" t="str">
        <f aca="false">IF(AT222="","","")</f>
        <v/>
      </c>
      <c r="U222" s="25" t="str">
        <f aca="false">IF(AT222="","",0)</f>
        <v/>
      </c>
      <c r="V222" s="25" t="str">
        <f aca="false">IF(AT222="","",0)</f>
        <v/>
      </c>
      <c r="W222" s="25" t="str">
        <f aca="false">IF(AT222="","","")</f>
        <v/>
      </c>
      <c r="X222" s="25" t="str">
        <f aca="false">IF(AT222="","",0)</f>
        <v/>
      </c>
      <c r="Y222" s="25" t="str">
        <f aca="false">IF(AT222="","",0)</f>
        <v/>
      </c>
      <c r="Z222" s="25" t="str">
        <f aca="false">IF(AT222="","",ROUNDDOWN(SUMIF(入力シート!$Q$5:$Q$204,INDEX(入力シート!$Q$5:$Q$204,AT222),入力シート!$P$5:$P$204)*IF(INDEX(入力シート!$L$5:$L$204,AT222)=13,0.1,IF(INDEX(入力シート!$L$5:$L$204,AT222)=30,0.08,0)),0))</f>
        <v/>
      </c>
      <c r="AA222" s="25" t="str">
        <f aca="false">IF(AT222="","","")</f>
        <v/>
      </c>
      <c r="AB222" s="25" t="str">
        <f aca="false">IF(AT222="","",0)</f>
        <v/>
      </c>
      <c r="AC222" s="25" t="str">
        <f aca="false">IF(AT222="","",0)</f>
        <v/>
      </c>
      <c r="AD222" s="25" t="str">
        <f aca="false">IF(AT222="","",0)</f>
        <v/>
      </c>
      <c r="AE222" s="25" t="str">
        <f aca="false">IF(AT222="","","")</f>
        <v/>
      </c>
      <c r="AF222" s="25" t="str">
        <f aca="false">IF(AT222="","",0)</f>
        <v/>
      </c>
      <c r="AG222" s="25" t="str">
        <f aca="false">IF(AT222="","",0)</f>
        <v/>
      </c>
      <c r="AH222" s="25" t="str">
        <f aca="false">IF(AT222="","","")</f>
        <v/>
      </c>
      <c r="AI222" s="25" t="str">
        <f aca="false">IF(AT222="","","")</f>
        <v/>
      </c>
      <c r="AJ222" s="25" t="str">
        <f aca="false">IF(AT222="","","")</f>
        <v/>
      </c>
      <c r="AK222" s="25" t="str">
        <f aca="false">IF(AT222="","",2)</f>
        <v/>
      </c>
      <c r="AL222" s="25" t="str">
        <f aca="false">IF(AT222="","","")</f>
        <v/>
      </c>
      <c r="AM222" s="25" t="str">
        <f aca="false">IF(AT222="","","")</f>
        <v/>
      </c>
      <c r="AN222" s="25" t="str">
        <f aca="false">IF(AT222="","",INDEX(入力シート!$C$5:$C$204,AT222))</f>
        <v/>
      </c>
      <c r="AO222" s="25" t="str">
        <f aca="false">IF(AT222="","","")</f>
        <v/>
      </c>
      <c r="AP222" s="25" t="str">
        <f aca="false">IF(AT222="","","")</f>
        <v/>
      </c>
      <c r="AQ222" s="25" t="str">
        <f aca="false">IF(AT222="","","")</f>
        <v/>
      </c>
      <c r="AT222" s="27" t="str">
        <f aca="false">IFERROR(MATCH(22,入力シート!$T$5:$T$204,0),"")</f>
        <v/>
      </c>
    </row>
    <row r="223" customFormat="false" ht="15" hidden="false" customHeight="true" outlineLevel="0" collapsed="false">
      <c r="A223" s="25" t="str">
        <f aca="false">IF(AT223="","",1)</f>
        <v/>
      </c>
      <c r="B223" s="25" t="str">
        <f aca="false">IF(AT223="","",1)</f>
        <v/>
      </c>
      <c r="C223" s="25" t="str">
        <f aca="false">IF(AT223="","",0)</f>
        <v/>
      </c>
      <c r="D223" s="25" t="str">
        <f aca="false">IF(AT223="","",TEXT(INDEX(入力シート!$A$5:$A$204,AT223),"YYYYMMDD"))</f>
        <v/>
      </c>
      <c r="E223" s="25" t="str">
        <f aca="false">IF(AT223="","",TEXT(INDEX(入力シート!$Q$5:$Q$204,AT223),"00000000"))</f>
        <v/>
      </c>
      <c r="F223" s="25" t="str">
        <f aca="false">IF(AT223="","",14)</f>
        <v/>
      </c>
      <c r="G223" s="25" t="str">
        <f aca="false">IF(AT223="","",1)</f>
        <v/>
      </c>
      <c r="H223" s="25" t="str">
        <f aca="false">IF(AT223="","",1)</f>
        <v/>
      </c>
      <c r="I223" s="25" t="str">
        <f aca="false">IF(AT223="","",3)</f>
        <v/>
      </c>
      <c r="J223" s="25" t="str">
        <f aca="false">IF(AT223="","",1)</f>
        <v/>
      </c>
      <c r="K223" s="25" t="str">
        <f aca="false">IF(AT223="","",INDEX(入力シート!$B$5:$B$204,AT223))</f>
        <v/>
      </c>
      <c r="L223" s="25" t="str">
        <f aca="false">IF(AT223="","","")</f>
        <v/>
      </c>
      <c r="M223" s="25" t="str">
        <f aca="false">IF(AT223="","","")</f>
        <v/>
      </c>
      <c r="N223" s="25" t="str">
        <f aca="false">IF(AT223="","",COUNTIF(入力シート!$Q$5:$Q$204,INDEX(入力シート!$Q$5:$Q$204,AT223))+1)</f>
        <v/>
      </c>
      <c r="O223" s="25" t="str">
        <f aca="false">IF(AT223="","",99)</f>
        <v/>
      </c>
      <c r="P223" s="25" t="str">
        <f aca="false">IF(AT223="","","")</f>
        <v/>
      </c>
      <c r="Q223" s="25" t="str">
        <f aca="false">IF(AT223="","","")</f>
        <v/>
      </c>
      <c r="R223" s="25" t="str">
        <f aca="false">IF(AT223="","","消費税")</f>
        <v/>
      </c>
      <c r="S223" s="25" t="str">
        <f aca="false">IF(AT223="","",0)</f>
        <v/>
      </c>
      <c r="T223" s="25" t="str">
        <f aca="false">IF(AT223="","","")</f>
        <v/>
      </c>
      <c r="U223" s="25" t="str">
        <f aca="false">IF(AT223="","",0)</f>
        <v/>
      </c>
      <c r="V223" s="25" t="str">
        <f aca="false">IF(AT223="","",0)</f>
        <v/>
      </c>
      <c r="W223" s="25" t="str">
        <f aca="false">IF(AT223="","","")</f>
        <v/>
      </c>
      <c r="X223" s="25" t="str">
        <f aca="false">IF(AT223="","",0)</f>
        <v/>
      </c>
      <c r="Y223" s="25" t="str">
        <f aca="false">IF(AT223="","",0)</f>
        <v/>
      </c>
      <c r="Z223" s="25" t="str">
        <f aca="false">IF(AT223="","",ROUNDDOWN(SUMIF(入力シート!$Q$5:$Q$204,INDEX(入力シート!$Q$5:$Q$204,AT223),入力シート!$P$5:$P$204)*IF(INDEX(入力シート!$L$5:$L$204,AT223)=13,0.1,IF(INDEX(入力シート!$L$5:$L$204,AT223)=30,0.08,0)),0))</f>
        <v/>
      </c>
      <c r="AA223" s="25" t="str">
        <f aca="false">IF(AT223="","","")</f>
        <v/>
      </c>
      <c r="AB223" s="25" t="str">
        <f aca="false">IF(AT223="","",0)</f>
        <v/>
      </c>
      <c r="AC223" s="25" t="str">
        <f aca="false">IF(AT223="","",0)</f>
        <v/>
      </c>
      <c r="AD223" s="25" t="str">
        <f aca="false">IF(AT223="","",0)</f>
        <v/>
      </c>
      <c r="AE223" s="25" t="str">
        <f aca="false">IF(AT223="","","")</f>
        <v/>
      </c>
      <c r="AF223" s="25" t="str">
        <f aca="false">IF(AT223="","",0)</f>
        <v/>
      </c>
      <c r="AG223" s="25" t="str">
        <f aca="false">IF(AT223="","",0)</f>
        <v/>
      </c>
      <c r="AH223" s="25" t="str">
        <f aca="false">IF(AT223="","","")</f>
        <v/>
      </c>
      <c r="AI223" s="25" t="str">
        <f aca="false">IF(AT223="","","")</f>
        <v/>
      </c>
      <c r="AJ223" s="25" t="str">
        <f aca="false">IF(AT223="","","")</f>
        <v/>
      </c>
      <c r="AK223" s="25" t="str">
        <f aca="false">IF(AT223="","",2)</f>
        <v/>
      </c>
      <c r="AL223" s="25" t="str">
        <f aca="false">IF(AT223="","","")</f>
        <v/>
      </c>
      <c r="AM223" s="25" t="str">
        <f aca="false">IF(AT223="","","")</f>
        <v/>
      </c>
      <c r="AN223" s="25" t="str">
        <f aca="false">IF(AT223="","",INDEX(入力シート!$C$5:$C$204,AT223))</f>
        <v/>
      </c>
      <c r="AO223" s="25" t="str">
        <f aca="false">IF(AT223="","","")</f>
        <v/>
      </c>
      <c r="AP223" s="25" t="str">
        <f aca="false">IF(AT223="","","")</f>
        <v/>
      </c>
      <c r="AQ223" s="25" t="str">
        <f aca="false">IF(AT223="","","")</f>
        <v/>
      </c>
      <c r="AT223" s="27" t="str">
        <f aca="false">IFERROR(MATCH(23,入力シート!$T$5:$T$204,0),"")</f>
        <v/>
      </c>
    </row>
    <row r="224" customFormat="false" ht="15" hidden="false" customHeight="true" outlineLevel="0" collapsed="false">
      <c r="A224" s="25" t="str">
        <f aca="false">IF(AT224="","",1)</f>
        <v/>
      </c>
      <c r="B224" s="25" t="str">
        <f aca="false">IF(AT224="","",1)</f>
        <v/>
      </c>
      <c r="C224" s="25" t="str">
        <f aca="false">IF(AT224="","",0)</f>
        <v/>
      </c>
      <c r="D224" s="25" t="str">
        <f aca="false">IF(AT224="","",TEXT(INDEX(入力シート!$A$5:$A$204,AT224),"YYYYMMDD"))</f>
        <v/>
      </c>
      <c r="E224" s="25" t="str">
        <f aca="false">IF(AT224="","",TEXT(INDEX(入力シート!$Q$5:$Q$204,AT224),"00000000"))</f>
        <v/>
      </c>
      <c r="F224" s="25" t="str">
        <f aca="false">IF(AT224="","",14)</f>
        <v/>
      </c>
      <c r="G224" s="25" t="str">
        <f aca="false">IF(AT224="","",1)</f>
        <v/>
      </c>
      <c r="H224" s="25" t="str">
        <f aca="false">IF(AT224="","",1)</f>
        <v/>
      </c>
      <c r="I224" s="25" t="str">
        <f aca="false">IF(AT224="","",3)</f>
        <v/>
      </c>
      <c r="J224" s="25" t="str">
        <f aca="false">IF(AT224="","",1)</f>
        <v/>
      </c>
      <c r="K224" s="25" t="str">
        <f aca="false">IF(AT224="","",INDEX(入力シート!$B$5:$B$204,AT224))</f>
        <v/>
      </c>
      <c r="L224" s="25" t="str">
        <f aca="false">IF(AT224="","","")</f>
        <v/>
      </c>
      <c r="M224" s="25" t="str">
        <f aca="false">IF(AT224="","","")</f>
        <v/>
      </c>
      <c r="N224" s="25" t="str">
        <f aca="false">IF(AT224="","",COUNTIF(入力シート!$Q$5:$Q$204,INDEX(入力シート!$Q$5:$Q$204,AT224))+1)</f>
        <v/>
      </c>
      <c r="O224" s="25" t="str">
        <f aca="false">IF(AT224="","",99)</f>
        <v/>
      </c>
      <c r="P224" s="25" t="str">
        <f aca="false">IF(AT224="","","")</f>
        <v/>
      </c>
      <c r="Q224" s="25" t="str">
        <f aca="false">IF(AT224="","","")</f>
        <v/>
      </c>
      <c r="R224" s="25" t="str">
        <f aca="false">IF(AT224="","","消費税")</f>
        <v/>
      </c>
      <c r="S224" s="25" t="str">
        <f aca="false">IF(AT224="","",0)</f>
        <v/>
      </c>
      <c r="T224" s="25" t="str">
        <f aca="false">IF(AT224="","","")</f>
        <v/>
      </c>
      <c r="U224" s="25" t="str">
        <f aca="false">IF(AT224="","",0)</f>
        <v/>
      </c>
      <c r="V224" s="25" t="str">
        <f aca="false">IF(AT224="","",0)</f>
        <v/>
      </c>
      <c r="W224" s="25" t="str">
        <f aca="false">IF(AT224="","","")</f>
        <v/>
      </c>
      <c r="X224" s="25" t="str">
        <f aca="false">IF(AT224="","",0)</f>
        <v/>
      </c>
      <c r="Y224" s="25" t="str">
        <f aca="false">IF(AT224="","",0)</f>
        <v/>
      </c>
      <c r="Z224" s="25" t="str">
        <f aca="false">IF(AT224="","",ROUNDDOWN(SUMIF(入力シート!$Q$5:$Q$204,INDEX(入力シート!$Q$5:$Q$204,AT224),入力シート!$P$5:$P$204)*IF(INDEX(入力シート!$L$5:$L$204,AT224)=13,0.1,IF(INDEX(入力シート!$L$5:$L$204,AT224)=30,0.08,0)),0))</f>
        <v/>
      </c>
      <c r="AA224" s="25" t="str">
        <f aca="false">IF(AT224="","","")</f>
        <v/>
      </c>
      <c r="AB224" s="25" t="str">
        <f aca="false">IF(AT224="","",0)</f>
        <v/>
      </c>
      <c r="AC224" s="25" t="str">
        <f aca="false">IF(AT224="","",0)</f>
        <v/>
      </c>
      <c r="AD224" s="25" t="str">
        <f aca="false">IF(AT224="","",0)</f>
        <v/>
      </c>
      <c r="AE224" s="25" t="str">
        <f aca="false">IF(AT224="","","")</f>
        <v/>
      </c>
      <c r="AF224" s="25" t="str">
        <f aca="false">IF(AT224="","",0)</f>
        <v/>
      </c>
      <c r="AG224" s="25" t="str">
        <f aca="false">IF(AT224="","",0)</f>
        <v/>
      </c>
      <c r="AH224" s="25" t="str">
        <f aca="false">IF(AT224="","","")</f>
        <v/>
      </c>
      <c r="AI224" s="25" t="str">
        <f aca="false">IF(AT224="","","")</f>
        <v/>
      </c>
      <c r="AJ224" s="25" t="str">
        <f aca="false">IF(AT224="","","")</f>
        <v/>
      </c>
      <c r="AK224" s="25" t="str">
        <f aca="false">IF(AT224="","",2)</f>
        <v/>
      </c>
      <c r="AL224" s="25" t="str">
        <f aca="false">IF(AT224="","","")</f>
        <v/>
      </c>
      <c r="AM224" s="25" t="str">
        <f aca="false">IF(AT224="","","")</f>
        <v/>
      </c>
      <c r="AN224" s="25" t="str">
        <f aca="false">IF(AT224="","",INDEX(入力シート!$C$5:$C$204,AT224))</f>
        <v/>
      </c>
      <c r="AO224" s="25" t="str">
        <f aca="false">IF(AT224="","","")</f>
        <v/>
      </c>
      <c r="AP224" s="25" t="str">
        <f aca="false">IF(AT224="","","")</f>
        <v/>
      </c>
      <c r="AQ224" s="25" t="str">
        <f aca="false">IF(AT224="","","")</f>
        <v/>
      </c>
      <c r="AT224" s="27" t="str">
        <f aca="false">IFERROR(MATCH(24,入力シート!$T$5:$T$204,0),"")</f>
        <v/>
      </c>
    </row>
    <row r="225" customFormat="false" ht="15" hidden="false" customHeight="true" outlineLevel="0" collapsed="false">
      <c r="A225" s="25" t="str">
        <f aca="false">IF(AT225="","",1)</f>
        <v/>
      </c>
      <c r="B225" s="25" t="str">
        <f aca="false">IF(AT225="","",1)</f>
        <v/>
      </c>
      <c r="C225" s="25" t="str">
        <f aca="false">IF(AT225="","",0)</f>
        <v/>
      </c>
      <c r="D225" s="25" t="str">
        <f aca="false">IF(AT225="","",TEXT(INDEX(入力シート!$A$5:$A$204,AT225),"YYYYMMDD"))</f>
        <v/>
      </c>
      <c r="E225" s="25" t="str">
        <f aca="false">IF(AT225="","",TEXT(INDEX(入力シート!$Q$5:$Q$204,AT225),"00000000"))</f>
        <v/>
      </c>
      <c r="F225" s="25" t="str">
        <f aca="false">IF(AT225="","",14)</f>
        <v/>
      </c>
      <c r="G225" s="25" t="str">
        <f aca="false">IF(AT225="","",1)</f>
        <v/>
      </c>
      <c r="H225" s="25" t="str">
        <f aca="false">IF(AT225="","",1)</f>
        <v/>
      </c>
      <c r="I225" s="25" t="str">
        <f aca="false">IF(AT225="","",3)</f>
        <v/>
      </c>
      <c r="J225" s="25" t="str">
        <f aca="false">IF(AT225="","",1)</f>
        <v/>
      </c>
      <c r="K225" s="25" t="str">
        <f aca="false">IF(AT225="","",INDEX(入力シート!$B$5:$B$204,AT225))</f>
        <v/>
      </c>
      <c r="L225" s="25" t="str">
        <f aca="false">IF(AT225="","","")</f>
        <v/>
      </c>
      <c r="M225" s="25" t="str">
        <f aca="false">IF(AT225="","","")</f>
        <v/>
      </c>
      <c r="N225" s="25" t="str">
        <f aca="false">IF(AT225="","",COUNTIF(入力シート!$Q$5:$Q$204,INDEX(入力シート!$Q$5:$Q$204,AT225))+1)</f>
        <v/>
      </c>
      <c r="O225" s="25" t="str">
        <f aca="false">IF(AT225="","",99)</f>
        <v/>
      </c>
      <c r="P225" s="25" t="str">
        <f aca="false">IF(AT225="","","")</f>
        <v/>
      </c>
      <c r="Q225" s="25" t="str">
        <f aca="false">IF(AT225="","","")</f>
        <v/>
      </c>
      <c r="R225" s="25" t="str">
        <f aca="false">IF(AT225="","","消費税")</f>
        <v/>
      </c>
      <c r="S225" s="25" t="str">
        <f aca="false">IF(AT225="","",0)</f>
        <v/>
      </c>
      <c r="T225" s="25" t="str">
        <f aca="false">IF(AT225="","","")</f>
        <v/>
      </c>
      <c r="U225" s="25" t="str">
        <f aca="false">IF(AT225="","",0)</f>
        <v/>
      </c>
      <c r="V225" s="25" t="str">
        <f aca="false">IF(AT225="","",0)</f>
        <v/>
      </c>
      <c r="W225" s="25" t="str">
        <f aca="false">IF(AT225="","","")</f>
        <v/>
      </c>
      <c r="X225" s="25" t="str">
        <f aca="false">IF(AT225="","",0)</f>
        <v/>
      </c>
      <c r="Y225" s="25" t="str">
        <f aca="false">IF(AT225="","",0)</f>
        <v/>
      </c>
      <c r="Z225" s="25" t="str">
        <f aca="false">IF(AT225="","",ROUNDDOWN(SUMIF(入力シート!$Q$5:$Q$204,INDEX(入力シート!$Q$5:$Q$204,AT225),入力シート!$P$5:$P$204)*IF(INDEX(入力シート!$L$5:$L$204,AT225)=13,0.1,IF(INDEX(入力シート!$L$5:$L$204,AT225)=30,0.08,0)),0))</f>
        <v/>
      </c>
      <c r="AA225" s="25" t="str">
        <f aca="false">IF(AT225="","","")</f>
        <v/>
      </c>
      <c r="AB225" s="25" t="str">
        <f aca="false">IF(AT225="","",0)</f>
        <v/>
      </c>
      <c r="AC225" s="25" t="str">
        <f aca="false">IF(AT225="","",0)</f>
        <v/>
      </c>
      <c r="AD225" s="25" t="str">
        <f aca="false">IF(AT225="","",0)</f>
        <v/>
      </c>
      <c r="AE225" s="25" t="str">
        <f aca="false">IF(AT225="","","")</f>
        <v/>
      </c>
      <c r="AF225" s="25" t="str">
        <f aca="false">IF(AT225="","",0)</f>
        <v/>
      </c>
      <c r="AG225" s="25" t="str">
        <f aca="false">IF(AT225="","",0)</f>
        <v/>
      </c>
      <c r="AH225" s="25" t="str">
        <f aca="false">IF(AT225="","","")</f>
        <v/>
      </c>
      <c r="AI225" s="25" t="str">
        <f aca="false">IF(AT225="","","")</f>
        <v/>
      </c>
      <c r="AJ225" s="25" t="str">
        <f aca="false">IF(AT225="","","")</f>
        <v/>
      </c>
      <c r="AK225" s="25" t="str">
        <f aca="false">IF(AT225="","",2)</f>
        <v/>
      </c>
      <c r="AL225" s="25" t="str">
        <f aca="false">IF(AT225="","","")</f>
        <v/>
      </c>
      <c r="AM225" s="25" t="str">
        <f aca="false">IF(AT225="","","")</f>
        <v/>
      </c>
      <c r="AN225" s="25" t="str">
        <f aca="false">IF(AT225="","",INDEX(入力シート!$C$5:$C$204,AT225))</f>
        <v/>
      </c>
      <c r="AO225" s="25" t="str">
        <f aca="false">IF(AT225="","","")</f>
        <v/>
      </c>
      <c r="AP225" s="25" t="str">
        <f aca="false">IF(AT225="","","")</f>
        <v/>
      </c>
      <c r="AQ225" s="25" t="str">
        <f aca="false">IF(AT225="","","")</f>
        <v/>
      </c>
      <c r="AT225" s="27" t="str">
        <f aca="false">IFERROR(MATCH(25,入力シート!$T$5:$T$204,0),"")</f>
        <v/>
      </c>
    </row>
    <row r="226" customFormat="false" ht="15" hidden="false" customHeight="true" outlineLevel="0" collapsed="false">
      <c r="A226" s="25" t="str">
        <f aca="false">IF(AT226="","",1)</f>
        <v/>
      </c>
      <c r="B226" s="25" t="str">
        <f aca="false">IF(AT226="","",1)</f>
        <v/>
      </c>
      <c r="C226" s="25" t="str">
        <f aca="false">IF(AT226="","",0)</f>
        <v/>
      </c>
      <c r="D226" s="25" t="str">
        <f aca="false">IF(AT226="","",TEXT(INDEX(入力シート!$A$5:$A$204,AT226),"YYYYMMDD"))</f>
        <v/>
      </c>
      <c r="E226" s="25" t="str">
        <f aca="false">IF(AT226="","",TEXT(INDEX(入力シート!$Q$5:$Q$204,AT226),"00000000"))</f>
        <v/>
      </c>
      <c r="F226" s="25" t="str">
        <f aca="false">IF(AT226="","",14)</f>
        <v/>
      </c>
      <c r="G226" s="25" t="str">
        <f aca="false">IF(AT226="","",1)</f>
        <v/>
      </c>
      <c r="H226" s="25" t="str">
        <f aca="false">IF(AT226="","",1)</f>
        <v/>
      </c>
      <c r="I226" s="25" t="str">
        <f aca="false">IF(AT226="","",3)</f>
        <v/>
      </c>
      <c r="J226" s="25" t="str">
        <f aca="false">IF(AT226="","",1)</f>
        <v/>
      </c>
      <c r="K226" s="25" t="str">
        <f aca="false">IF(AT226="","",INDEX(入力シート!$B$5:$B$204,AT226))</f>
        <v/>
      </c>
      <c r="L226" s="25" t="str">
        <f aca="false">IF(AT226="","","")</f>
        <v/>
      </c>
      <c r="M226" s="25" t="str">
        <f aca="false">IF(AT226="","","")</f>
        <v/>
      </c>
      <c r="N226" s="25" t="str">
        <f aca="false">IF(AT226="","",COUNTIF(入力シート!$Q$5:$Q$204,INDEX(入力シート!$Q$5:$Q$204,AT226))+1)</f>
        <v/>
      </c>
      <c r="O226" s="25" t="str">
        <f aca="false">IF(AT226="","",99)</f>
        <v/>
      </c>
      <c r="P226" s="25" t="str">
        <f aca="false">IF(AT226="","","")</f>
        <v/>
      </c>
      <c r="Q226" s="25" t="str">
        <f aca="false">IF(AT226="","","")</f>
        <v/>
      </c>
      <c r="R226" s="25" t="str">
        <f aca="false">IF(AT226="","","消費税")</f>
        <v/>
      </c>
      <c r="S226" s="25" t="str">
        <f aca="false">IF(AT226="","",0)</f>
        <v/>
      </c>
      <c r="T226" s="25" t="str">
        <f aca="false">IF(AT226="","","")</f>
        <v/>
      </c>
      <c r="U226" s="25" t="str">
        <f aca="false">IF(AT226="","",0)</f>
        <v/>
      </c>
      <c r="V226" s="25" t="str">
        <f aca="false">IF(AT226="","",0)</f>
        <v/>
      </c>
      <c r="W226" s="25" t="str">
        <f aca="false">IF(AT226="","","")</f>
        <v/>
      </c>
      <c r="X226" s="25" t="str">
        <f aca="false">IF(AT226="","",0)</f>
        <v/>
      </c>
      <c r="Y226" s="25" t="str">
        <f aca="false">IF(AT226="","",0)</f>
        <v/>
      </c>
      <c r="Z226" s="25" t="str">
        <f aca="false">IF(AT226="","",ROUNDDOWN(SUMIF(入力シート!$Q$5:$Q$204,INDEX(入力シート!$Q$5:$Q$204,AT226),入力シート!$P$5:$P$204)*IF(INDEX(入力シート!$L$5:$L$204,AT226)=13,0.1,IF(INDEX(入力シート!$L$5:$L$204,AT226)=30,0.08,0)),0))</f>
        <v/>
      </c>
      <c r="AA226" s="25" t="str">
        <f aca="false">IF(AT226="","","")</f>
        <v/>
      </c>
      <c r="AB226" s="25" t="str">
        <f aca="false">IF(AT226="","",0)</f>
        <v/>
      </c>
      <c r="AC226" s="25" t="str">
        <f aca="false">IF(AT226="","",0)</f>
        <v/>
      </c>
      <c r="AD226" s="25" t="str">
        <f aca="false">IF(AT226="","",0)</f>
        <v/>
      </c>
      <c r="AE226" s="25" t="str">
        <f aca="false">IF(AT226="","","")</f>
        <v/>
      </c>
      <c r="AF226" s="25" t="str">
        <f aca="false">IF(AT226="","",0)</f>
        <v/>
      </c>
      <c r="AG226" s="25" t="str">
        <f aca="false">IF(AT226="","",0)</f>
        <v/>
      </c>
      <c r="AH226" s="25" t="str">
        <f aca="false">IF(AT226="","","")</f>
        <v/>
      </c>
      <c r="AI226" s="25" t="str">
        <f aca="false">IF(AT226="","","")</f>
        <v/>
      </c>
      <c r="AJ226" s="25" t="str">
        <f aca="false">IF(AT226="","","")</f>
        <v/>
      </c>
      <c r="AK226" s="25" t="str">
        <f aca="false">IF(AT226="","",2)</f>
        <v/>
      </c>
      <c r="AL226" s="25" t="str">
        <f aca="false">IF(AT226="","","")</f>
        <v/>
      </c>
      <c r="AM226" s="25" t="str">
        <f aca="false">IF(AT226="","","")</f>
        <v/>
      </c>
      <c r="AN226" s="25" t="str">
        <f aca="false">IF(AT226="","",INDEX(入力シート!$C$5:$C$204,AT226))</f>
        <v/>
      </c>
      <c r="AO226" s="25" t="str">
        <f aca="false">IF(AT226="","","")</f>
        <v/>
      </c>
      <c r="AP226" s="25" t="str">
        <f aca="false">IF(AT226="","","")</f>
        <v/>
      </c>
      <c r="AQ226" s="25" t="str">
        <f aca="false">IF(AT226="","","")</f>
        <v/>
      </c>
      <c r="AT226" s="27" t="str">
        <f aca="false">IFERROR(MATCH(26,入力シート!$T$5:$T$204,0),"")</f>
        <v/>
      </c>
    </row>
    <row r="227" customFormat="false" ht="15" hidden="false" customHeight="true" outlineLevel="0" collapsed="false">
      <c r="A227" s="25" t="str">
        <f aca="false">IF(AT227="","",1)</f>
        <v/>
      </c>
      <c r="B227" s="25" t="str">
        <f aca="false">IF(AT227="","",1)</f>
        <v/>
      </c>
      <c r="C227" s="25" t="str">
        <f aca="false">IF(AT227="","",0)</f>
        <v/>
      </c>
      <c r="D227" s="25" t="str">
        <f aca="false">IF(AT227="","",TEXT(INDEX(入力シート!$A$5:$A$204,AT227),"YYYYMMDD"))</f>
        <v/>
      </c>
      <c r="E227" s="25" t="str">
        <f aca="false">IF(AT227="","",TEXT(INDEX(入力シート!$Q$5:$Q$204,AT227),"00000000"))</f>
        <v/>
      </c>
      <c r="F227" s="25" t="str">
        <f aca="false">IF(AT227="","",14)</f>
        <v/>
      </c>
      <c r="G227" s="25" t="str">
        <f aca="false">IF(AT227="","",1)</f>
        <v/>
      </c>
      <c r="H227" s="25" t="str">
        <f aca="false">IF(AT227="","",1)</f>
        <v/>
      </c>
      <c r="I227" s="25" t="str">
        <f aca="false">IF(AT227="","",3)</f>
        <v/>
      </c>
      <c r="J227" s="25" t="str">
        <f aca="false">IF(AT227="","",1)</f>
        <v/>
      </c>
      <c r="K227" s="25" t="str">
        <f aca="false">IF(AT227="","",INDEX(入力シート!$B$5:$B$204,AT227))</f>
        <v/>
      </c>
      <c r="L227" s="25" t="str">
        <f aca="false">IF(AT227="","","")</f>
        <v/>
      </c>
      <c r="M227" s="25" t="str">
        <f aca="false">IF(AT227="","","")</f>
        <v/>
      </c>
      <c r="N227" s="25" t="str">
        <f aca="false">IF(AT227="","",COUNTIF(入力シート!$Q$5:$Q$204,INDEX(入力シート!$Q$5:$Q$204,AT227))+1)</f>
        <v/>
      </c>
      <c r="O227" s="25" t="str">
        <f aca="false">IF(AT227="","",99)</f>
        <v/>
      </c>
      <c r="P227" s="25" t="str">
        <f aca="false">IF(AT227="","","")</f>
        <v/>
      </c>
      <c r="Q227" s="25" t="str">
        <f aca="false">IF(AT227="","","")</f>
        <v/>
      </c>
      <c r="R227" s="25" t="str">
        <f aca="false">IF(AT227="","","消費税")</f>
        <v/>
      </c>
      <c r="S227" s="25" t="str">
        <f aca="false">IF(AT227="","",0)</f>
        <v/>
      </c>
      <c r="T227" s="25" t="str">
        <f aca="false">IF(AT227="","","")</f>
        <v/>
      </c>
      <c r="U227" s="25" t="str">
        <f aca="false">IF(AT227="","",0)</f>
        <v/>
      </c>
      <c r="V227" s="25" t="str">
        <f aca="false">IF(AT227="","",0)</f>
        <v/>
      </c>
      <c r="W227" s="25" t="str">
        <f aca="false">IF(AT227="","","")</f>
        <v/>
      </c>
      <c r="X227" s="25" t="str">
        <f aca="false">IF(AT227="","",0)</f>
        <v/>
      </c>
      <c r="Y227" s="25" t="str">
        <f aca="false">IF(AT227="","",0)</f>
        <v/>
      </c>
      <c r="Z227" s="25" t="str">
        <f aca="false">IF(AT227="","",ROUNDDOWN(SUMIF(入力シート!$Q$5:$Q$204,INDEX(入力シート!$Q$5:$Q$204,AT227),入力シート!$P$5:$P$204)*IF(INDEX(入力シート!$L$5:$L$204,AT227)=13,0.1,IF(INDEX(入力シート!$L$5:$L$204,AT227)=30,0.08,0)),0))</f>
        <v/>
      </c>
      <c r="AA227" s="25" t="str">
        <f aca="false">IF(AT227="","","")</f>
        <v/>
      </c>
      <c r="AB227" s="25" t="str">
        <f aca="false">IF(AT227="","",0)</f>
        <v/>
      </c>
      <c r="AC227" s="25" t="str">
        <f aca="false">IF(AT227="","",0)</f>
        <v/>
      </c>
      <c r="AD227" s="25" t="str">
        <f aca="false">IF(AT227="","",0)</f>
        <v/>
      </c>
      <c r="AE227" s="25" t="str">
        <f aca="false">IF(AT227="","","")</f>
        <v/>
      </c>
      <c r="AF227" s="25" t="str">
        <f aca="false">IF(AT227="","",0)</f>
        <v/>
      </c>
      <c r="AG227" s="25" t="str">
        <f aca="false">IF(AT227="","",0)</f>
        <v/>
      </c>
      <c r="AH227" s="25" t="str">
        <f aca="false">IF(AT227="","","")</f>
        <v/>
      </c>
      <c r="AI227" s="25" t="str">
        <f aca="false">IF(AT227="","","")</f>
        <v/>
      </c>
      <c r="AJ227" s="25" t="str">
        <f aca="false">IF(AT227="","","")</f>
        <v/>
      </c>
      <c r="AK227" s="25" t="str">
        <f aca="false">IF(AT227="","",2)</f>
        <v/>
      </c>
      <c r="AL227" s="25" t="str">
        <f aca="false">IF(AT227="","","")</f>
        <v/>
      </c>
      <c r="AM227" s="25" t="str">
        <f aca="false">IF(AT227="","","")</f>
        <v/>
      </c>
      <c r="AN227" s="25" t="str">
        <f aca="false">IF(AT227="","",INDEX(入力シート!$C$5:$C$204,AT227))</f>
        <v/>
      </c>
      <c r="AO227" s="25" t="str">
        <f aca="false">IF(AT227="","","")</f>
        <v/>
      </c>
      <c r="AP227" s="25" t="str">
        <f aca="false">IF(AT227="","","")</f>
        <v/>
      </c>
      <c r="AQ227" s="25" t="str">
        <f aca="false">IF(AT227="","","")</f>
        <v/>
      </c>
      <c r="AT227" s="27" t="str">
        <f aca="false">IFERROR(MATCH(27,入力シート!$T$5:$T$204,0),"")</f>
        <v/>
      </c>
    </row>
    <row r="228" customFormat="false" ht="15" hidden="false" customHeight="true" outlineLevel="0" collapsed="false">
      <c r="A228" s="25" t="str">
        <f aca="false">IF(AT228="","",1)</f>
        <v/>
      </c>
      <c r="B228" s="25" t="str">
        <f aca="false">IF(AT228="","",1)</f>
        <v/>
      </c>
      <c r="C228" s="25" t="str">
        <f aca="false">IF(AT228="","",0)</f>
        <v/>
      </c>
      <c r="D228" s="25" t="str">
        <f aca="false">IF(AT228="","",TEXT(INDEX(入力シート!$A$5:$A$204,AT228),"YYYYMMDD"))</f>
        <v/>
      </c>
      <c r="E228" s="25" t="str">
        <f aca="false">IF(AT228="","",TEXT(INDEX(入力シート!$Q$5:$Q$204,AT228),"00000000"))</f>
        <v/>
      </c>
      <c r="F228" s="25" t="str">
        <f aca="false">IF(AT228="","",14)</f>
        <v/>
      </c>
      <c r="G228" s="25" t="str">
        <f aca="false">IF(AT228="","",1)</f>
        <v/>
      </c>
      <c r="H228" s="25" t="str">
        <f aca="false">IF(AT228="","",1)</f>
        <v/>
      </c>
      <c r="I228" s="25" t="str">
        <f aca="false">IF(AT228="","",3)</f>
        <v/>
      </c>
      <c r="J228" s="25" t="str">
        <f aca="false">IF(AT228="","",1)</f>
        <v/>
      </c>
      <c r="K228" s="25" t="str">
        <f aca="false">IF(AT228="","",INDEX(入力シート!$B$5:$B$204,AT228))</f>
        <v/>
      </c>
      <c r="L228" s="25" t="str">
        <f aca="false">IF(AT228="","","")</f>
        <v/>
      </c>
      <c r="M228" s="25" t="str">
        <f aca="false">IF(AT228="","","")</f>
        <v/>
      </c>
      <c r="N228" s="25" t="str">
        <f aca="false">IF(AT228="","",COUNTIF(入力シート!$Q$5:$Q$204,INDEX(入力シート!$Q$5:$Q$204,AT228))+1)</f>
        <v/>
      </c>
      <c r="O228" s="25" t="str">
        <f aca="false">IF(AT228="","",99)</f>
        <v/>
      </c>
      <c r="P228" s="25" t="str">
        <f aca="false">IF(AT228="","","")</f>
        <v/>
      </c>
      <c r="Q228" s="25" t="str">
        <f aca="false">IF(AT228="","","")</f>
        <v/>
      </c>
      <c r="R228" s="25" t="str">
        <f aca="false">IF(AT228="","","消費税")</f>
        <v/>
      </c>
      <c r="S228" s="25" t="str">
        <f aca="false">IF(AT228="","",0)</f>
        <v/>
      </c>
      <c r="T228" s="25" t="str">
        <f aca="false">IF(AT228="","","")</f>
        <v/>
      </c>
      <c r="U228" s="25" t="str">
        <f aca="false">IF(AT228="","",0)</f>
        <v/>
      </c>
      <c r="V228" s="25" t="str">
        <f aca="false">IF(AT228="","",0)</f>
        <v/>
      </c>
      <c r="W228" s="25" t="str">
        <f aca="false">IF(AT228="","","")</f>
        <v/>
      </c>
      <c r="X228" s="25" t="str">
        <f aca="false">IF(AT228="","",0)</f>
        <v/>
      </c>
      <c r="Y228" s="25" t="str">
        <f aca="false">IF(AT228="","",0)</f>
        <v/>
      </c>
      <c r="Z228" s="25" t="str">
        <f aca="false">IF(AT228="","",ROUNDDOWN(SUMIF(入力シート!$Q$5:$Q$204,INDEX(入力シート!$Q$5:$Q$204,AT228),入力シート!$P$5:$P$204)*IF(INDEX(入力シート!$L$5:$L$204,AT228)=13,0.1,IF(INDEX(入力シート!$L$5:$L$204,AT228)=30,0.08,0)),0))</f>
        <v/>
      </c>
      <c r="AA228" s="25" t="str">
        <f aca="false">IF(AT228="","","")</f>
        <v/>
      </c>
      <c r="AB228" s="25" t="str">
        <f aca="false">IF(AT228="","",0)</f>
        <v/>
      </c>
      <c r="AC228" s="25" t="str">
        <f aca="false">IF(AT228="","",0)</f>
        <v/>
      </c>
      <c r="AD228" s="25" t="str">
        <f aca="false">IF(AT228="","",0)</f>
        <v/>
      </c>
      <c r="AE228" s="25" t="str">
        <f aca="false">IF(AT228="","","")</f>
        <v/>
      </c>
      <c r="AF228" s="25" t="str">
        <f aca="false">IF(AT228="","",0)</f>
        <v/>
      </c>
      <c r="AG228" s="25" t="str">
        <f aca="false">IF(AT228="","",0)</f>
        <v/>
      </c>
      <c r="AH228" s="25" t="str">
        <f aca="false">IF(AT228="","","")</f>
        <v/>
      </c>
      <c r="AI228" s="25" t="str">
        <f aca="false">IF(AT228="","","")</f>
        <v/>
      </c>
      <c r="AJ228" s="25" t="str">
        <f aca="false">IF(AT228="","","")</f>
        <v/>
      </c>
      <c r="AK228" s="25" t="str">
        <f aca="false">IF(AT228="","",2)</f>
        <v/>
      </c>
      <c r="AL228" s="25" t="str">
        <f aca="false">IF(AT228="","","")</f>
        <v/>
      </c>
      <c r="AM228" s="25" t="str">
        <f aca="false">IF(AT228="","","")</f>
        <v/>
      </c>
      <c r="AN228" s="25" t="str">
        <f aca="false">IF(AT228="","",INDEX(入力シート!$C$5:$C$204,AT228))</f>
        <v/>
      </c>
      <c r="AO228" s="25" t="str">
        <f aca="false">IF(AT228="","","")</f>
        <v/>
      </c>
      <c r="AP228" s="25" t="str">
        <f aca="false">IF(AT228="","","")</f>
        <v/>
      </c>
      <c r="AQ228" s="25" t="str">
        <f aca="false">IF(AT228="","","")</f>
        <v/>
      </c>
      <c r="AT228" s="27" t="str">
        <f aca="false">IFERROR(MATCH(28,入力シート!$T$5:$T$204,0),"")</f>
        <v/>
      </c>
    </row>
    <row r="229" customFormat="false" ht="15" hidden="false" customHeight="true" outlineLevel="0" collapsed="false">
      <c r="A229" s="25" t="str">
        <f aca="false">IF(AT229="","",1)</f>
        <v/>
      </c>
      <c r="B229" s="25" t="str">
        <f aca="false">IF(AT229="","",1)</f>
        <v/>
      </c>
      <c r="C229" s="25" t="str">
        <f aca="false">IF(AT229="","",0)</f>
        <v/>
      </c>
      <c r="D229" s="25" t="str">
        <f aca="false">IF(AT229="","",TEXT(INDEX(入力シート!$A$5:$A$204,AT229),"YYYYMMDD"))</f>
        <v/>
      </c>
      <c r="E229" s="25" t="str">
        <f aca="false">IF(AT229="","",TEXT(INDEX(入力シート!$Q$5:$Q$204,AT229),"00000000"))</f>
        <v/>
      </c>
      <c r="F229" s="25" t="str">
        <f aca="false">IF(AT229="","",14)</f>
        <v/>
      </c>
      <c r="G229" s="25" t="str">
        <f aca="false">IF(AT229="","",1)</f>
        <v/>
      </c>
      <c r="H229" s="25" t="str">
        <f aca="false">IF(AT229="","",1)</f>
        <v/>
      </c>
      <c r="I229" s="25" t="str">
        <f aca="false">IF(AT229="","",3)</f>
        <v/>
      </c>
      <c r="J229" s="25" t="str">
        <f aca="false">IF(AT229="","",1)</f>
        <v/>
      </c>
      <c r="K229" s="25" t="str">
        <f aca="false">IF(AT229="","",INDEX(入力シート!$B$5:$B$204,AT229))</f>
        <v/>
      </c>
      <c r="L229" s="25" t="str">
        <f aca="false">IF(AT229="","","")</f>
        <v/>
      </c>
      <c r="M229" s="25" t="str">
        <f aca="false">IF(AT229="","","")</f>
        <v/>
      </c>
      <c r="N229" s="25" t="str">
        <f aca="false">IF(AT229="","",COUNTIF(入力シート!$Q$5:$Q$204,INDEX(入力シート!$Q$5:$Q$204,AT229))+1)</f>
        <v/>
      </c>
      <c r="O229" s="25" t="str">
        <f aca="false">IF(AT229="","",99)</f>
        <v/>
      </c>
      <c r="P229" s="25" t="str">
        <f aca="false">IF(AT229="","","")</f>
        <v/>
      </c>
      <c r="Q229" s="25" t="str">
        <f aca="false">IF(AT229="","","")</f>
        <v/>
      </c>
      <c r="R229" s="25" t="str">
        <f aca="false">IF(AT229="","","消費税")</f>
        <v/>
      </c>
      <c r="S229" s="25" t="str">
        <f aca="false">IF(AT229="","",0)</f>
        <v/>
      </c>
      <c r="T229" s="25" t="str">
        <f aca="false">IF(AT229="","","")</f>
        <v/>
      </c>
      <c r="U229" s="25" t="str">
        <f aca="false">IF(AT229="","",0)</f>
        <v/>
      </c>
      <c r="V229" s="25" t="str">
        <f aca="false">IF(AT229="","",0)</f>
        <v/>
      </c>
      <c r="W229" s="25" t="str">
        <f aca="false">IF(AT229="","","")</f>
        <v/>
      </c>
      <c r="X229" s="25" t="str">
        <f aca="false">IF(AT229="","",0)</f>
        <v/>
      </c>
      <c r="Y229" s="25" t="str">
        <f aca="false">IF(AT229="","",0)</f>
        <v/>
      </c>
      <c r="Z229" s="25" t="str">
        <f aca="false">IF(AT229="","",ROUNDDOWN(SUMIF(入力シート!$Q$5:$Q$204,INDEX(入力シート!$Q$5:$Q$204,AT229),入力シート!$P$5:$P$204)*IF(INDEX(入力シート!$L$5:$L$204,AT229)=13,0.1,IF(INDEX(入力シート!$L$5:$L$204,AT229)=30,0.08,0)),0))</f>
        <v/>
      </c>
      <c r="AA229" s="25" t="str">
        <f aca="false">IF(AT229="","","")</f>
        <v/>
      </c>
      <c r="AB229" s="25" t="str">
        <f aca="false">IF(AT229="","",0)</f>
        <v/>
      </c>
      <c r="AC229" s="25" t="str">
        <f aca="false">IF(AT229="","",0)</f>
        <v/>
      </c>
      <c r="AD229" s="25" t="str">
        <f aca="false">IF(AT229="","",0)</f>
        <v/>
      </c>
      <c r="AE229" s="25" t="str">
        <f aca="false">IF(AT229="","","")</f>
        <v/>
      </c>
      <c r="AF229" s="25" t="str">
        <f aca="false">IF(AT229="","",0)</f>
        <v/>
      </c>
      <c r="AG229" s="25" t="str">
        <f aca="false">IF(AT229="","",0)</f>
        <v/>
      </c>
      <c r="AH229" s="25" t="str">
        <f aca="false">IF(AT229="","","")</f>
        <v/>
      </c>
      <c r="AI229" s="25" t="str">
        <f aca="false">IF(AT229="","","")</f>
        <v/>
      </c>
      <c r="AJ229" s="25" t="str">
        <f aca="false">IF(AT229="","","")</f>
        <v/>
      </c>
      <c r="AK229" s="25" t="str">
        <f aca="false">IF(AT229="","",2)</f>
        <v/>
      </c>
      <c r="AL229" s="25" t="str">
        <f aca="false">IF(AT229="","","")</f>
        <v/>
      </c>
      <c r="AM229" s="25" t="str">
        <f aca="false">IF(AT229="","","")</f>
        <v/>
      </c>
      <c r="AN229" s="25" t="str">
        <f aca="false">IF(AT229="","",INDEX(入力シート!$C$5:$C$204,AT229))</f>
        <v/>
      </c>
      <c r="AO229" s="25" t="str">
        <f aca="false">IF(AT229="","","")</f>
        <v/>
      </c>
      <c r="AP229" s="25" t="str">
        <f aca="false">IF(AT229="","","")</f>
        <v/>
      </c>
      <c r="AQ229" s="25" t="str">
        <f aca="false">IF(AT229="","","")</f>
        <v/>
      </c>
      <c r="AT229" s="27" t="str">
        <f aca="false">IFERROR(MATCH(29,入力シート!$T$5:$T$204,0),"")</f>
        <v/>
      </c>
    </row>
    <row r="230" customFormat="false" ht="15" hidden="false" customHeight="true" outlineLevel="0" collapsed="false">
      <c r="A230" s="25" t="str">
        <f aca="false">IF(AT230="","",1)</f>
        <v/>
      </c>
      <c r="B230" s="25" t="str">
        <f aca="false">IF(AT230="","",1)</f>
        <v/>
      </c>
      <c r="C230" s="25" t="str">
        <f aca="false">IF(AT230="","",0)</f>
        <v/>
      </c>
      <c r="D230" s="25" t="str">
        <f aca="false">IF(AT230="","",TEXT(INDEX(入力シート!$A$5:$A$204,AT230),"YYYYMMDD"))</f>
        <v/>
      </c>
      <c r="E230" s="25" t="str">
        <f aca="false">IF(AT230="","",TEXT(INDEX(入力シート!$Q$5:$Q$204,AT230),"00000000"))</f>
        <v/>
      </c>
      <c r="F230" s="25" t="str">
        <f aca="false">IF(AT230="","",14)</f>
        <v/>
      </c>
      <c r="G230" s="25" t="str">
        <f aca="false">IF(AT230="","",1)</f>
        <v/>
      </c>
      <c r="H230" s="25" t="str">
        <f aca="false">IF(AT230="","",1)</f>
        <v/>
      </c>
      <c r="I230" s="25" t="str">
        <f aca="false">IF(AT230="","",3)</f>
        <v/>
      </c>
      <c r="J230" s="25" t="str">
        <f aca="false">IF(AT230="","",1)</f>
        <v/>
      </c>
      <c r="K230" s="25" t="str">
        <f aca="false">IF(AT230="","",INDEX(入力シート!$B$5:$B$204,AT230))</f>
        <v/>
      </c>
      <c r="L230" s="25" t="str">
        <f aca="false">IF(AT230="","","")</f>
        <v/>
      </c>
      <c r="M230" s="25" t="str">
        <f aca="false">IF(AT230="","","")</f>
        <v/>
      </c>
      <c r="N230" s="25" t="str">
        <f aca="false">IF(AT230="","",COUNTIF(入力シート!$Q$5:$Q$204,INDEX(入力シート!$Q$5:$Q$204,AT230))+1)</f>
        <v/>
      </c>
      <c r="O230" s="25" t="str">
        <f aca="false">IF(AT230="","",99)</f>
        <v/>
      </c>
      <c r="P230" s="25" t="str">
        <f aca="false">IF(AT230="","","")</f>
        <v/>
      </c>
      <c r="Q230" s="25" t="str">
        <f aca="false">IF(AT230="","","")</f>
        <v/>
      </c>
      <c r="R230" s="25" t="str">
        <f aca="false">IF(AT230="","","消費税")</f>
        <v/>
      </c>
      <c r="S230" s="25" t="str">
        <f aca="false">IF(AT230="","",0)</f>
        <v/>
      </c>
      <c r="T230" s="25" t="str">
        <f aca="false">IF(AT230="","","")</f>
        <v/>
      </c>
      <c r="U230" s="25" t="str">
        <f aca="false">IF(AT230="","",0)</f>
        <v/>
      </c>
      <c r="V230" s="25" t="str">
        <f aca="false">IF(AT230="","",0)</f>
        <v/>
      </c>
      <c r="W230" s="25" t="str">
        <f aca="false">IF(AT230="","","")</f>
        <v/>
      </c>
      <c r="X230" s="25" t="str">
        <f aca="false">IF(AT230="","",0)</f>
        <v/>
      </c>
      <c r="Y230" s="25" t="str">
        <f aca="false">IF(AT230="","",0)</f>
        <v/>
      </c>
      <c r="Z230" s="25" t="str">
        <f aca="false">IF(AT230="","",ROUNDDOWN(SUMIF(入力シート!$Q$5:$Q$204,INDEX(入力シート!$Q$5:$Q$204,AT230),入力シート!$P$5:$P$204)*IF(INDEX(入力シート!$L$5:$L$204,AT230)=13,0.1,IF(INDEX(入力シート!$L$5:$L$204,AT230)=30,0.08,0)),0))</f>
        <v/>
      </c>
      <c r="AA230" s="25" t="str">
        <f aca="false">IF(AT230="","","")</f>
        <v/>
      </c>
      <c r="AB230" s="25" t="str">
        <f aca="false">IF(AT230="","",0)</f>
        <v/>
      </c>
      <c r="AC230" s="25" t="str">
        <f aca="false">IF(AT230="","",0)</f>
        <v/>
      </c>
      <c r="AD230" s="25" t="str">
        <f aca="false">IF(AT230="","",0)</f>
        <v/>
      </c>
      <c r="AE230" s="25" t="str">
        <f aca="false">IF(AT230="","","")</f>
        <v/>
      </c>
      <c r="AF230" s="25" t="str">
        <f aca="false">IF(AT230="","",0)</f>
        <v/>
      </c>
      <c r="AG230" s="25" t="str">
        <f aca="false">IF(AT230="","",0)</f>
        <v/>
      </c>
      <c r="AH230" s="25" t="str">
        <f aca="false">IF(AT230="","","")</f>
        <v/>
      </c>
      <c r="AI230" s="25" t="str">
        <f aca="false">IF(AT230="","","")</f>
        <v/>
      </c>
      <c r="AJ230" s="25" t="str">
        <f aca="false">IF(AT230="","","")</f>
        <v/>
      </c>
      <c r="AK230" s="25" t="str">
        <f aca="false">IF(AT230="","",2)</f>
        <v/>
      </c>
      <c r="AL230" s="25" t="str">
        <f aca="false">IF(AT230="","","")</f>
        <v/>
      </c>
      <c r="AM230" s="25" t="str">
        <f aca="false">IF(AT230="","","")</f>
        <v/>
      </c>
      <c r="AN230" s="25" t="str">
        <f aca="false">IF(AT230="","",INDEX(入力シート!$C$5:$C$204,AT230))</f>
        <v/>
      </c>
      <c r="AO230" s="25" t="str">
        <f aca="false">IF(AT230="","","")</f>
        <v/>
      </c>
      <c r="AP230" s="25" t="str">
        <f aca="false">IF(AT230="","","")</f>
        <v/>
      </c>
      <c r="AQ230" s="25" t="str">
        <f aca="false">IF(AT230="","","")</f>
        <v/>
      </c>
      <c r="AT230" s="27" t="str">
        <f aca="false">IFERROR(MATCH(30,入力シート!$T$5:$T$204,0),"")</f>
        <v/>
      </c>
    </row>
    <row r="231" customFormat="false" ht="15" hidden="false" customHeight="true" outlineLevel="0" collapsed="false">
      <c r="A231" s="25" t="str">
        <f aca="false">IF(AT231="","",1)</f>
        <v/>
      </c>
      <c r="B231" s="25" t="str">
        <f aca="false">IF(AT231="","",1)</f>
        <v/>
      </c>
      <c r="C231" s="25" t="str">
        <f aca="false">IF(AT231="","",0)</f>
        <v/>
      </c>
      <c r="D231" s="25" t="str">
        <f aca="false">IF(AT231="","",TEXT(INDEX(入力シート!$A$5:$A$204,AT231),"YYYYMMDD"))</f>
        <v/>
      </c>
      <c r="E231" s="25" t="str">
        <f aca="false">IF(AT231="","",TEXT(INDEX(入力シート!$Q$5:$Q$204,AT231),"00000000"))</f>
        <v/>
      </c>
      <c r="F231" s="25" t="str">
        <f aca="false">IF(AT231="","",14)</f>
        <v/>
      </c>
      <c r="G231" s="25" t="str">
        <f aca="false">IF(AT231="","",1)</f>
        <v/>
      </c>
      <c r="H231" s="25" t="str">
        <f aca="false">IF(AT231="","",1)</f>
        <v/>
      </c>
      <c r="I231" s="25" t="str">
        <f aca="false">IF(AT231="","",3)</f>
        <v/>
      </c>
      <c r="J231" s="25" t="str">
        <f aca="false">IF(AT231="","",1)</f>
        <v/>
      </c>
      <c r="K231" s="25" t="str">
        <f aca="false">IF(AT231="","",INDEX(入力シート!$B$5:$B$204,AT231))</f>
        <v/>
      </c>
      <c r="L231" s="25" t="str">
        <f aca="false">IF(AT231="","","")</f>
        <v/>
      </c>
      <c r="M231" s="25" t="str">
        <f aca="false">IF(AT231="","","")</f>
        <v/>
      </c>
      <c r="N231" s="25" t="str">
        <f aca="false">IF(AT231="","",COUNTIF(入力シート!$Q$5:$Q$204,INDEX(入力シート!$Q$5:$Q$204,AT231))+1)</f>
        <v/>
      </c>
      <c r="O231" s="25" t="str">
        <f aca="false">IF(AT231="","",99)</f>
        <v/>
      </c>
      <c r="P231" s="25" t="str">
        <f aca="false">IF(AT231="","","")</f>
        <v/>
      </c>
      <c r="Q231" s="25" t="str">
        <f aca="false">IF(AT231="","","")</f>
        <v/>
      </c>
      <c r="R231" s="25" t="str">
        <f aca="false">IF(AT231="","","消費税")</f>
        <v/>
      </c>
      <c r="S231" s="25" t="str">
        <f aca="false">IF(AT231="","",0)</f>
        <v/>
      </c>
      <c r="T231" s="25" t="str">
        <f aca="false">IF(AT231="","","")</f>
        <v/>
      </c>
      <c r="U231" s="25" t="str">
        <f aca="false">IF(AT231="","",0)</f>
        <v/>
      </c>
      <c r="V231" s="25" t="str">
        <f aca="false">IF(AT231="","",0)</f>
        <v/>
      </c>
      <c r="W231" s="25" t="str">
        <f aca="false">IF(AT231="","","")</f>
        <v/>
      </c>
      <c r="X231" s="25" t="str">
        <f aca="false">IF(AT231="","",0)</f>
        <v/>
      </c>
      <c r="Y231" s="25" t="str">
        <f aca="false">IF(AT231="","",0)</f>
        <v/>
      </c>
      <c r="Z231" s="25" t="str">
        <f aca="false">IF(AT231="","",ROUNDDOWN(SUMIF(入力シート!$Q$5:$Q$204,INDEX(入力シート!$Q$5:$Q$204,AT231),入力シート!$P$5:$P$204)*IF(INDEX(入力シート!$L$5:$L$204,AT231)=13,0.1,IF(INDEX(入力シート!$L$5:$L$204,AT231)=30,0.08,0)),0))</f>
        <v/>
      </c>
      <c r="AA231" s="25" t="str">
        <f aca="false">IF(AT231="","","")</f>
        <v/>
      </c>
      <c r="AB231" s="25" t="str">
        <f aca="false">IF(AT231="","",0)</f>
        <v/>
      </c>
      <c r="AC231" s="25" t="str">
        <f aca="false">IF(AT231="","",0)</f>
        <v/>
      </c>
      <c r="AD231" s="25" t="str">
        <f aca="false">IF(AT231="","",0)</f>
        <v/>
      </c>
      <c r="AE231" s="25" t="str">
        <f aca="false">IF(AT231="","","")</f>
        <v/>
      </c>
      <c r="AF231" s="25" t="str">
        <f aca="false">IF(AT231="","",0)</f>
        <v/>
      </c>
      <c r="AG231" s="25" t="str">
        <f aca="false">IF(AT231="","",0)</f>
        <v/>
      </c>
      <c r="AH231" s="25" t="str">
        <f aca="false">IF(AT231="","","")</f>
        <v/>
      </c>
      <c r="AI231" s="25" t="str">
        <f aca="false">IF(AT231="","","")</f>
        <v/>
      </c>
      <c r="AJ231" s="25" t="str">
        <f aca="false">IF(AT231="","","")</f>
        <v/>
      </c>
      <c r="AK231" s="25" t="str">
        <f aca="false">IF(AT231="","",2)</f>
        <v/>
      </c>
      <c r="AL231" s="25" t="str">
        <f aca="false">IF(AT231="","","")</f>
        <v/>
      </c>
      <c r="AM231" s="25" t="str">
        <f aca="false">IF(AT231="","","")</f>
        <v/>
      </c>
      <c r="AN231" s="25" t="str">
        <f aca="false">IF(AT231="","",INDEX(入力シート!$C$5:$C$204,AT231))</f>
        <v/>
      </c>
      <c r="AO231" s="25" t="str">
        <f aca="false">IF(AT231="","","")</f>
        <v/>
      </c>
      <c r="AP231" s="25" t="str">
        <f aca="false">IF(AT231="","","")</f>
        <v/>
      </c>
      <c r="AQ231" s="25" t="str">
        <f aca="false">IF(AT231="","","")</f>
        <v/>
      </c>
      <c r="AT231" s="27" t="str">
        <f aca="false">IFERROR(MATCH(31,入力シート!$T$5:$T$204,0),"")</f>
        <v/>
      </c>
    </row>
    <row r="232" customFormat="false" ht="15" hidden="false" customHeight="true" outlineLevel="0" collapsed="false">
      <c r="A232" s="25" t="str">
        <f aca="false">IF(AT232="","",1)</f>
        <v/>
      </c>
      <c r="B232" s="25" t="str">
        <f aca="false">IF(AT232="","",1)</f>
        <v/>
      </c>
      <c r="C232" s="25" t="str">
        <f aca="false">IF(AT232="","",0)</f>
        <v/>
      </c>
      <c r="D232" s="25" t="str">
        <f aca="false">IF(AT232="","",TEXT(INDEX(入力シート!$A$5:$A$204,AT232),"YYYYMMDD"))</f>
        <v/>
      </c>
      <c r="E232" s="25" t="str">
        <f aca="false">IF(AT232="","",TEXT(INDEX(入力シート!$Q$5:$Q$204,AT232),"00000000"))</f>
        <v/>
      </c>
      <c r="F232" s="25" t="str">
        <f aca="false">IF(AT232="","",14)</f>
        <v/>
      </c>
      <c r="G232" s="25" t="str">
        <f aca="false">IF(AT232="","",1)</f>
        <v/>
      </c>
      <c r="H232" s="25" t="str">
        <f aca="false">IF(AT232="","",1)</f>
        <v/>
      </c>
      <c r="I232" s="25" t="str">
        <f aca="false">IF(AT232="","",3)</f>
        <v/>
      </c>
      <c r="J232" s="25" t="str">
        <f aca="false">IF(AT232="","",1)</f>
        <v/>
      </c>
      <c r="K232" s="25" t="str">
        <f aca="false">IF(AT232="","",INDEX(入力シート!$B$5:$B$204,AT232))</f>
        <v/>
      </c>
      <c r="L232" s="25" t="str">
        <f aca="false">IF(AT232="","","")</f>
        <v/>
      </c>
      <c r="M232" s="25" t="str">
        <f aca="false">IF(AT232="","","")</f>
        <v/>
      </c>
      <c r="N232" s="25" t="str">
        <f aca="false">IF(AT232="","",COUNTIF(入力シート!$Q$5:$Q$204,INDEX(入力シート!$Q$5:$Q$204,AT232))+1)</f>
        <v/>
      </c>
      <c r="O232" s="25" t="str">
        <f aca="false">IF(AT232="","",99)</f>
        <v/>
      </c>
      <c r="P232" s="25" t="str">
        <f aca="false">IF(AT232="","","")</f>
        <v/>
      </c>
      <c r="Q232" s="25" t="str">
        <f aca="false">IF(AT232="","","")</f>
        <v/>
      </c>
      <c r="R232" s="25" t="str">
        <f aca="false">IF(AT232="","","消費税")</f>
        <v/>
      </c>
      <c r="S232" s="25" t="str">
        <f aca="false">IF(AT232="","",0)</f>
        <v/>
      </c>
      <c r="T232" s="25" t="str">
        <f aca="false">IF(AT232="","","")</f>
        <v/>
      </c>
      <c r="U232" s="25" t="str">
        <f aca="false">IF(AT232="","",0)</f>
        <v/>
      </c>
      <c r="V232" s="25" t="str">
        <f aca="false">IF(AT232="","",0)</f>
        <v/>
      </c>
      <c r="W232" s="25" t="str">
        <f aca="false">IF(AT232="","","")</f>
        <v/>
      </c>
      <c r="X232" s="25" t="str">
        <f aca="false">IF(AT232="","",0)</f>
        <v/>
      </c>
      <c r="Y232" s="25" t="str">
        <f aca="false">IF(AT232="","",0)</f>
        <v/>
      </c>
      <c r="Z232" s="25" t="str">
        <f aca="false">IF(AT232="","",ROUNDDOWN(SUMIF(入力シート!$Q$5:$Q$204,INDEX(入力シート!$Q$5:$Q$204,AT232),入力シート!$P$5:$P$204)*IF(INDEX(入力シート!$L$5:$L$204,AT232)=13,0.1,IF(INDEX(入力シート!$L$5:$L$204,AT232)=30,0.08,0)),0))</f>
        <v/>
      </c>
      <c r="AA232" s="25" t="str">
        <f aca="false">IF(AT232="","","")</f>
        <v/>
      </c>
      <c r="AB232" s="25" t="str">
        <f aca="false">IF(AT232="","",0)</f>
        <v/>
      </c>
      <c r="AC232" s="25" t="str">
        <f aca="false">IF(AT232="","",0)</f>
        <v/>
      </c>
      <c r="AD232" s="25" t="str">
        <f aca="false">IF(AT232="","",0)</f>
        <v/>
      </c>
      <c r="AE232" s="25" t="str">
        <f aca="false">IF(AT232="","","")</f>
        <v/>
      </c>
      <c r="AF232" s="25" t="str">
        <f aca="false">IF(AT232="","",0)</f>
        <v/>
      </c>
      <c r="AG232" s="25" t="str">
        <f aca="false">IF(AT232="","",0)</f>
        <v/>
      </c>
      <c r="AH232" s="25" t="str">
        <f aca="false">IF(AT232="","","")</f>
        <v/>
      </c>
      <c r="AI232" s="25" t="str">
        <f aca="false">IF(AT232="","","")</f>
        <v/>
      </c>
      <c r="AJ232" s="25" t="str">
        <f aca="false">IF(AT232="","","")</f>
        <v/>
      </c>
      <c r="AK232" s="25" t="str">
        <f aca="false">IF(AT232="","",2)</f>
        <v/>
      </c>
      <c r="AL232" s="25" t="str">
        <f aca="false">IF(AT232="","","")</f>
        <v/>
      </c>
      <c r="AM232" s="25" t="str">
        <f aca="false">IF(AT232="","","")</f>
        <v/>
      </c>
      <c r="AN232" s="25" t="str">
        <f aca="false">IF(AT232="","",INDEX(入力シート!$C$5:$C$204,AT232))</f>
        <v/>
      </c>
      <c r="AO232" s="25" t="str">
        <f aca="false">IF(AT232="","","")</f>
        <v/>
      </c>
      <c r="AP232" s="25" t="str">
        <f aca="false">IF(AT232="","","")</f>
        <v/>
      </c>
      <c r="AQ232" s="25" t="str">
        <f aca="false">IF(AT232="","","")</f>
        <v/>
      </c>
      <c r="AT232" s="27" t="str">
        <f aca="false">IFERROR(MATCH(32,入力シート!$T$5:$T$204,0),"")</f>
        <v/>
      </c>
    </row>
    <row r="233" customFormat="false" ht="15" hidden="false" customHeight="true" outlineLevel="0" collapsed="false">
      <c r="A233" s="25" t="str">
        <f aca="false">IF(AT233="","",1)</f>
        <v/>
      </c>
      <c r="B233" s="25" t="str">
        <f aca="false">IF(AT233="","",1)</f>
        <v/>
      </c>
      <c r="C233" s="25" t="str">
        <f aca="false">IF(AT233="","",0)</f>
        <v/>
      </c>
      <c r="D233" s="25" t="str">
        <f aca="false">IF(AT233="","",TEXT(INDEX(入力シート!$A$5:$A$204,AT233),"YYYYMMDD"))</f>
        <v/>
      </c>
      <c r="E233" s="25" t="str">
        <f aca="false">IF(AT233="","",TEXT(INDEX(入力シート!$Q$5:$Q$204,AT233),"00000000"))</f>
        <v/>
      </c>
      <c r="F233" s="25" t="str">
        <f aca="false">IF(AT233="","",14)</f>
        <v/>
      </c>
      <c r="G233" s="25" t="str">
        <f aca="false">IF(AT233="","",1)</f>
        <v/>
      </c>
      <c r="H233" s="25" t="str">
        <f aca="false">IF(AT233="","",1)</f>
        <v/>
      </c>
      <c r="I233" s="25" t="str">
        <f aca="false">IF(AT233="","",3)</f>
        <v/>
      </c>
      <c r="J233" s="25" t="str">
        <f aca="false">IF(AT233="","",1)</f>
        <v/>
      </c>
      <c r="K233" s="25" t="str">
        <f aca="false">IF(AT233="","",INDEX(入力シート!$B$5:$B$204,AT233))</f>
        <v/>
      </c>
      <c r="L233" s="25" t="str">
        <f aca="false">IF(AT233="","","")</f>
        <v/>
      </c>
      <c r="M233" s="25" t="str">
        <f aca="false">IF(AT233="","","")</f>
        <v/>
      </c>
      <c r="N233" s="25" t="str">
        <f aca="false">IF(AT233="","",COUNTIF(入力シート!$Q$5:$Q$204,INDEX(入力シート!$Q$5:$Q$204,AT233))+1)</f>
        <v/>
      </c>
      <c r="O233" s="25" t="str">
        <f aca="false">IF(AT233="","",99)</f>
        <v/>
      </c>
      <c r="P233" s="25" t="str">
        <f aca="false">IF(AT233="","","")</f>
        <v/>
      </c>
      <c r="Q233" s="25" t="str">
        <f aca="false">IF(AT233="","","")</f>
        <v/>
      </c>
      <c r="R233" s="25" t="str">
        <f aca="false">IF(AT233="","","消費税")</f>
        <v/>
      </c>
      <c r="S233" s="25" t="str">
        <f aca="false">IF(AT233="","",0)</f>
        <v/>
      </c>
      <c r="T233" s="25" t="str">
        <f aca="false">IF(AT233="","","")</f>
        <v/>
      </c>
      <c r="U233" s="25" t="str">
        <f aca="false">IF(AT233="","",0)</f>
        <v/>
      </c>
      <c r="V233" s="25" t="str">
        <f aca="false">IF(AT233="","",0)</f>
        <v/>
      </c>
      <c r="W233" s="25" t="str">
        <f aca="false">IF(AT233="","","")</f>
        <v/>
      </c>
      <c r="X233" s="25" t="str">
        <f aca="false">IF(AT233="","",0)</f>
        <v/>
      </c>
      <c r="Y233" s="25" t="str">
        <f aca="false">IF(AT233="","",0)</f>
        <v/>
      </c>
      <c r="Z233" s="25" t="str">
        <f aca="false">IF(AT233="","",ROUNDDOWN(SUMIF(入力シート!$Q$5:$Q$204,INDEX(入力シート!$Q$5:$Q$204,AT233),入力シート!$P$5:$P$204)*IF(INDEX(入力シート!$L$5:$L$204,AT233)=13,0.1,IF(INDEX(入力シート!$L$5:$L$204,AT233)=30,0.08,0)),0))</f>
        <v/>
      </c>
      <c r="AA233" s="25" t="str">
        <f aca="false">IF(AT233="","","")</f>
        <v/>
      </c>
      <c r="AB233" s="25" t="str">
        <f aca="false">IF(AT233="","",0)</f>
        <v/>
      </c>
      <c r="AC233" s="25" t="str">
        <f aca="false">IF(AT233="","",0)</f>
        <v/>
      </c>
      <c r="AD233" s="25" t="str">
        <f aca="false">IF(AT233="","",0)</f>
        <v/>
      </c>
      <c r="AE233" s="25" t="str">
        <f aca="false">IF(AT233="","","")</f>
        <v/>
      </c>
      <c r="AF233" s="25" t="str">
        <f aca="false">IF(AT233="","",0)</f>
        <v/>
      </c>
      <c r="AG233" s="25" t="str">
        <f aca="false">IF(AT233="","",0)</f>
        <v/>
      </c>
      <c r="AH233" s="25" t="str">
        <f aca="false">IF(AT233="","","")</f>
        <v/>
      </c>
      <c r="AI233" s="25" t="str">
        <f aca="false">IF(AT233="","","")</f>
        <v/>
      </c>
      <c r="AJ233" s="25" t="str">
        <f aca="false">IF(AT233="","","")</f>
        <v/>
      </c>
      <c r="AK233" s="25" t="str">
        <f aca="false">IF(AT233="","",2)</f>
        <v/>
      </c>
      <c r="AL233" s="25" t="str">
        <f aca="false">IF(AT233="","","")</f>
        <v/>
      </c>
      <c r="AM233" s="25" t="str">
        <f aca="false">IF(AT233="","","")</f>
        <v/>
      </c>
      <c r="AN233" s="25" t="str">
        <f aca="false">IF(AT233="","",INDEX(入力シート!$C$5:$C$204,AT233))</f>
        <v/>
      </c>
      <c r="AO233" s="25" t="str">
        <f aca="false">IF(AT233="","","")</f>
        <v/>
      </c>
      <c r="AP233" s="25" t="str">
        <f aca="false">IF(AT233="","","")</f>
        <v/>
      </c>
      <c r="AQ233" s="25" t="str">
        <f aca="false">IF(AT233="","","")</f>
        <v/>
      </c>
      <c r="AT233" s="27" t="str">
        <f aca="false">IFERROR(MATCH(33,入力シート!$T$5:$T$204,0),"")</f>
        <v/>
      </c>
    </row>
    <row r="234" customFormat="false" ht="15" hidden="false" customHeight="true" outlineLevel="0" collapsed="false">
      <c r="A234" s="25" t="str">
        <f aca="false">IF(AT234="","",1)</f>
        <v/>
      </c>
      <c r="B234" s="25" t="str">
        <f aca="false">IF(AT234="","",1)</f>
        <v/>
      </c>
      <c r="C234" s="25" t="str">
        <f aca="false">IF(AT234="","",0)</f>
        <v/>
      </c>
      <c r="D234" s="25" t="str">
        <f aca="false">IF(AT234="","",TEXT(INDEX(入力シート!$A$5:$A$204,AT234),"YYYYMMDD"))</f>
        <v/>
      </c>
      <c r="E234" s="25" t="str">
        <f aca="false">IF(AT234="","",TEXT(INDEX(入力シート!$Q$5:$Q$204,AT234),"00000000"))</f>
        <v/>
      </c>
      <c r="F234" s="25" t="str">
        <f aca="false">IF(AT234="","",14)</f>
        <v/>
      </c>
      <c r="G234" s="25" t="str">
        <f aca="false">IF(AT234="","",1)</f>
        <v/>
      </c>
      <c r="H234" s="25" t="str">
        <f aca="false">IF(AT234="","",1)</f>
        <v/>
      </c>
      <c r="I234" s="25" t="str">
        <f aca="false">IF(AT234="","",3)</f>
        <v/>
      </c>
      <c r="J234" s="25" t="str">
        <f aca="false">IF(AT234="","",1)</f>
        <v/>
      </c>
      <c r="K234" s="25" t="str">
        <f aca="false">IF(AT234="","",INDEX(入力シート!$B$5:$B$204,AT234))</f>
        <v/>
      </c>
      <c r="L234" s="25" t="str">
        <f aca="false">IF(AT234="","","")</f>
        <v/>
      </c>
      <c r="M234" s="25" t="str">
        <f aca="false">IF(AT234="","","")</f>
        <v/>
      </c>
      <c r="N234" s="25" t="str">
        <f aca="false">IF(AT234="","",COUNTIF(入力シート!$Q$5:$Q$204,INDEX(入力シート!$Q$5:$Q$204,AT234))+1)</f>
        <v/>
      </c>
      <c r="O234" s="25" t="str">
        <f aca="false">IF(AT234="","",99)</f>
        <v/>
      </c>
      <c r="P234" s="25" t="str">
        <f aca="false">IF(AT234="","","")</f>
        <v/>
      </c>
      <c r="Q234" s="25" t="str">
        <f aca="false">IF(AT234="","","")</f>
        <v/>
      </c>
      <c r="R234" s="25" t="str">
        <f aca="false">IF(AT234="","","消費税")</f>
        <v/>
      </c>
      <c r="S234" s="25" t="str">
        <f aca="false">IF(AT234="","",0)</f>
        <v/>
      </c>
      <c r="T234" s="25" t="str">
        <f aca="false">IF(AT234="","","")</f>
        <v/>
      </c>
      <c r="U234" s="25" t="str">
        <f aca="false">IF(AT234="","",0)</f>
        <v/>
      </c>
      <c r="V234" s="25" t="str">
        <f aca="false">IF(AT234="","",0)</f>
        <v/>
      </c>
      <c r="W234" s="25" t="str">
        <f aca="false">IF(AT234="","","")</f>
        <v/>
      </c>
      <c r="X234" s="25" t="str">
        <f aca="false">IF(AT234="","",0)</f>
        <v/>
      </c>
      <c r="Y234" s="25" t="str">
        <f aca="false">IF(AT234="","",0)</f>
        <v/>
      </c>
      <c r="Z234" s="25" t="str">
        <f aca="false">IF(AT234="","",ROUNDDOWN(SUMIF(入力シート!$Q$5:$Q$204,INDEX(入力シート!$Q$5:$Q$204,AT234),入力シート!$P$5:$P$204)*IF(INDEX(入力シート!$L$5:$L$204,AT234)=13,0.1,IF(INDEX(入力シート!$L$5:$L$204,AT234)=30,0.08,0)),0))</f>
        <v/>
      </c>
      <c r="AA234" s="25" t="str">
        <f aca="false">IF(AT234="","","")</f>
        <v/>
      </c>
      <c r="AB234" s="25" t="str">
        <f aca="false">IF(AT234="","",0)</f>
        <v/>
      </c>
      <c r="AC234" s="25" t="str">
        <f aca="false">IF(AT234="","",0)</f>
        <v/>
      </c>
      <c r="AD234" s="25" t="str">
        <f aca="false">IF(AT234="","",0)</f>
        <v/>
      </c>
      <c r="AE234" s="25" t="str">
        <f aca="false">IF(AT234="","","")</f>
        <v/>
      </c>
      <c r="AF234" s="25" t="str">
        <f aca="false">IF(AT234="","",0)</f>
        <v/>
      </c>
      <c r="AG234" s="25" t="str">
        <f aca="false">IF(AT234="","",0)</f>
        <v/>
      </c>
      <c r="AH234" s="25" t="str">
        <f aca="false">IF(AT234="","","")</f>
        <v/>
      </c>
      <c r="AI234" s="25" t="str">
        <f aca="false">IF(AT234="","","")</f>
        <v/>
      </c>
      <c r="AJ234" s="25" t="str">
        <f aca="false">IF(AT234="","","")</f>
        <v/>
      </c>
      <c r="AK234" s="25" t="str">
        <f aca="false">IF(AT234="","",2)</f>
        <v/>
      </c>
      <c r="AL234" s="25" t="str">
        <f aca="false">IF(AT234="","","")</f>
        <v/>
      </c>
      <c r="AM234" s="25" t="str">
        <f aca="false">IF(AT234="","","")</f>
        <v/>
      </c>
      <c r="AN234" s="25" t="str">
        <f aca="false">IF(AT234="","",INDEX(入力シート!$C$5:$C$204,AT234))</f>
        <v/>
      </c>
      <c r="AO234" s="25" t="str">
        <f aca="false">IF(AT234="","","")</f>
        <v/>
      </c>
      <c r="AP234" s="25" t="str">
        <f aca="false">IF(AT234="","","")</f>
        <v/>
      </c>
      <c r="AQ234" s="25" t="str">
        <f aca="false">IF(AT234="","","")</f>
        <v/>
      </c>
      <c r="AT234" s="27" t="str">
        <f aca="false">IFERROR(MATCH(34,入力シート!$T$5:$T$204,0),"")</f>
        <v/>
      </c>
    </row>
    <row r="235" customFormat="false" ht="15" hidden="false" customHeight="true" outlineLevel="0" collapsed="false">
      <c r="A235" s="25" t="str">
        <f aca="false">IF(AT235="","",1)</f>
        <v/>
      </c>
      <c r="B235" s="25" t="str">
        <f aca="false">IF(AT235="","",1)</f>
        <v/>
      </c>
      <c r="C235" s="25" t="str">
        <f aca="false">IF(AT235="","",0)</f>
        <v/>
      </c>
      <c r="D235" s="25" t="str">
        <f aca="false">IF(AT235="","",TEXT(INDEX(入力シート!$A$5:$A$204,AT235),"YYYYMMDD"))</f>
        <v/>
      </c>
      <c r="E235" s="25" t="str">
        <f aca="false">IF(AT235="","",TEXT(INDEX(入力シート!$Q$5:$Q$204,AT235),"00000000"))</f>
        <v/>
      </c>
      <c r="F235" s="25" t="str">
        <f aca="false">IF(AT235="","",14)</f>
        <v/>
      </c>
      <c r="G235" s="25" t="str">
        <f aca="false">IF(AT235="","",1)</f>
        <v/>
      </c>
      <c r="H235" s="25" t="str">
        <f aca="false">IF(AT235="","",1)</f>
        <v/>
      </c>
      <c r="I235" s="25" t="str">
        <f aca="false">IF(AT235="","",3)</f>
        <v/>
      </c>
      <c r="J235" s="25" t="str">
        <f aca="false">IF(AT235="","",1)</f>
        <v/>
      </c>
      <c r="K235" s="25" t="str">
        <f aca="false">IF(AT235="","",INDEX(入力シート!$B$5:$B$204,AT235))</f>
        <v/>
      </c>
      <c r="L235" s="25" t="str">
        <f aca="false">IF(AT235="","","")</f>
        <v/>
      </c>
      <c r="M235" s="25" t="str">
        <f aca="false">IF(AT235="","","")</f>
        <v/>
      </c>
      <c r="N235" s="25" t="str">
        <f aca="false">IF(AT235="","",COUNTIF(入力シート!$Q$5:$Q$204,INDEX(入力シート!$Q$5:$Q$204,AT235))+1)</f>
        <v/>
      </c>
      <c r="O235" s="25" t="str">
        <f aca="false">IF(AT235="","",99)</f>
        <v/>
      </c>
      <c r="P235" s="25" t="str">
        <f aca="false">IF(AT235="","","")</f>
        <v/>
      </c>
      <c r="Q235" s="25" t="str">
        <f aca="false">IF(AT235="","","")</f>
        <v/>
      </c>
      <c r="R235" s="25" t="str">
        <f aca="false">IF(AT235="","","消費税")</f>
        <v/>
      </c>
      <c r="S235" s="25" t="str">
        <f aca="false">IF(AT235="","",0)</f>
        <v/>
      </c>
      <c r="T235" s="25" t="str">
        <f aca="false">IF(AT235="","","")</f>
        <v/>
      </c>
      <c r="U235" s="25" t="str">
        <f aca="false">IF(AT235="","",0)</f>
        <v/>
      </c>
      <c r="V235" s="25" t="str">
        <f aca="false">IF(AT235="","",0)</f>
        <v/>
      </c>
      <c r="W235" s="25" t="str">
        <f aca="false">IF(AT235="","","")</f>
        <v/>
      </c>
      <c r="X235" s="25" t="str">
        <f aca="false">IF(AT235="","",0)</f>
        <v/>
      </c>
      <c r="Y235" s="25" t="str">
        <f aca="false">IF(AT235="","",0)</f>
        <v/>
      </c>
      <c r="Z235" s="25" t="str">
        <f aca="false">IF(AT235="","",ROUNDDOWN(SUMIF(入力シート!$Q$5:$Q$204,INDEX(入力シート!$Q$5:$Q$204,AT235),入力シート!$P$5:$P$204)*IF(INDEX(入力シート!$L$5:$L$204,AT235)=13,0.1,IF(INDEX(入力シート!$L$5:$L$204,AT235)=30,0.08,0)),0))</f>
        <v/>
      </c>
      <c r="AA235" s="25" t="str">
        <f aca="false">IF(AT235="","","")</f>
        <v/>
      </c>
      <c r="AB235" s="25" t="str">
        <f aca="false">IF(AT235="","",0)</f>
        <v/>
      </c>
      <c r="AC235" s="25" t="str">
        <f aca="false">IF(AT235="","",0)</f>
        <v/>
      </c>
      <c r="AD235" s="25" t="str">
        <f aca="false">IF(AT235="","",0)</f>
        <v/>
      </c>
      <c r="AE235" s="25" t="str">
        <f aca="false">IF(AT235="","","")</f>
        <v/>
      </c>
      <c r="AF235" s="25" t="str">
        <f aca="false">IF(AT235="","",0)</f>
        <v/>
      </c>
      <c r="AG235" s="25" t="str">
        <f aca="false">IF(AT235="","",0)</f>
        <v/>
      </c>
      <c r="AH235" s="25" t="str">
        <f aca="false">IF(AT235="","","")</f>
        <v/>
      </c>
      <c r="AI235" s="25" t="str">
        <f aca="false">IF(AT235="","","")</f>
        <v/>
      </c>
      <c r="AJ235" s="25" t="str">
        <f aca="false">IF(AT235="","","")</f>
        <v/>
      </c>
      <c r="AK235" s="25" t="str">
        <f aca="false">IF(AT235="","",2)</f>
        <v/>
      </c>
      <c r="AL235" s="25" t="str">
        <f aca="false">IF(AT235="","","")</f>
        <v/>
      </c>
      <c r="AM235" s="25" t="str">
        <f aca="false">IF(AT235="","","")</f>
        <v/>
      </c>
      <c r="AN235" s="25" t="str">
        <f aca="false">IF(AT235="","",INDEX(入力シート!$C$5:$C$204,AT235))</f>
        <v/>
      </c>
      <c r="AO235" s="25" t="str">
        <f aca="false">IF(AT235="","","")</f>
        <v/>
      </c>
      <c r="AP235" s="25" t="str">
        <f aca="false">IF(AT235="","","")</f>
        <v/>
      </c>
      <c r="AQ235" s="25" t="str">
        <f aca="false">IF(AT235="","","")</f>
        <v/>
      </c>
      <c r="AT235" s="27" t="str">
        <f aca="false">IFERROR(MATCH(35,入力シート!$T$5:$T$204,0),"")</f>
        <v/>
      </c>
    </row>
    <row r="236" customFormat="false" ht="15" hidden="false" customHeight="true" outlineLevel="0" collapsed="false">
      <c r="A236" s="25" t="str">
        <f aca="false">IF(AT236="","",1)</f>
        <v/>
      </c>
      <c r="B236" s="25" t="str">
        <f aca="false">IF(AT236="","",1)</f>
        <v/>
      </c>
      <c r="C236" s="25" t="str">
        <f aca="false">IF(AT236="","",0)</f>
        <v/>
      </c>
      <c r="D236" s="25" t="str">
        <f aca="false">IF(AT236="","",TEXT(INDEX(入力シート!$A$5:$A$204,AT236),"YYYYMMDD"))</f>
        <v/>
      </c>
      <c r="E236" s="25" t="str">
        <f aca="false">IF(AT236="","",TEXT(INDEX(入力シート!$Q$5:$Q$204,AT236),"00000000"))</f>
        <v/>
      </c>
      <c r="F236" s="25" t="str">
        <f aca="false">IF(AT236="","",14)</f>
        <v/>
      </c>
      <c r="G236" s="25" t="str">
        <f aca="false">IF(AT236="","",1)</f>
        <v/>
      </c>
      <c r="H236" s="25" t="str">
        <f aca="false">IF(AT236="","",1)</f>
        <v/>
      </c>
      <c r="I236" s="25" t="str">
        <f aca="false">IF(AT236="","",3)</f>
        <v/>
      </c>
      <c r="J236" s="25" t="str">
        <f aca="false">IF(AT236="","",1)</f>
        <v/>
      </c>
      <c r="K236" s="25" t="str">
        <f aca="false">IF(AT236="","",INDEX(入力シート!$B$5:$B$204,AT236))</f>
        <v/>
      </c>
      <c r="L236" s="25" t="str">
        <f aca="false">IF(AT236="","","")</f>
        <v/>
      </c>
      <c r="M236" s="25" t="str">
        <f aca="false">IF(AT236="","","")</f>
        <v/>
      </c>
      <c r="N236" s="25" t="str">
        <f aca="false">IF(AT236="","",COUNTIF(入力シート!$Q$5:$Q$204,INDEX(入力シート!$Q$5:$Q$204,AT236))+1)</f>
        <v/>
      </c>
      <c r="O236" s="25" t="str">
        <f aca="false">IF(AT236="","",99)</f>
        <v/>
      </c>
      <c r="P236" s="25" t="str">
        <f aca="false">IF(AT236="","","")</f>
        <v/>
      </c>
      <c r="Q236" s="25" t="str">
        <f aca="false">IF(AT236="","","")</f>
        <v/>
      </c>
      <c r="R236" s="25" t="str">
        <f aca="false">IF(AT236="","","消費税")</f>
        <v/>
      </c>
      <c r="S236" s="25" t="str">
        <f aca="false">IF(AT236="","",0)</f>
        <v/>
      </c>
      <c r="T236" s="25" t="str">
        <f aca="false">IF(AT236="","","")</f>
        <v/>
      </c>
      <c r="U236" s="25" t="str">
        <f aca="false">IF(AT236="","",0)</f>
        <v/>
      </c>
      <c r="V236" s="25" t="str">
        <f aca="false">IF(AT236="","",0)</f>
        <v/>
      </c>
      <c r="W236" s="25" t="str">
        <f aca="false">IF(AT236="","","")</f>
        <v/>
      </c>
      <c r="X236" s="25" t="str">
        <f aca="false">IF(AT236="","",0)</f>
        <v/>
      </c>
      <c r="Y236" s="25" t="str">
        <f aca="false">IF(AT236="","",0)</f>
        <v/>
      </c>
      <c r="Z236" s="25" t="str">
        <f aca="false">IF(AT236="","",ROUNDDOWN(SUMIF(入力シート!$Q$5:$Q$204,INDEX(入力シート!$Q$5:$Q$204,AT236),入力シート!$P$5:$P$204)*IF(INDEX(入力シート!$L$5:$L$204,AT236)=13,0.1,IF(INDEX(入力シート!$L$5:$L$204,AT236)=30,0.08,0)),0))</f>
        <v/>
      </c>
      <c r="AA236" s="25" t="str">
        <f aca="false">IF(AT236="","","")</f>
        <v/>
      </c>
      <c r="AB236" s="25" t="str">
        <f aca="false">IF(AT236="","",0)</f>
        <v/>
      </c>
      <c r="AC236" s="25" t="str">
        <f aca="false">IF(AT236="","",0)</f>
        <v/>
      </c>
      <c r="AD236" s="25" t="str">
        <f aca="false">IF(AT236="","",0)</f>
        <v/>
      </c>
      <c r="AE236" s="25" t="str">
        <f aca="false">IF(AT236="","","")</f>
        <v/>
      </c>
      <c r="AF236" s="25" t="str">
        <f aca="false">IF(AT236="","",0)</f>
        <v/>
      </c>
      <c r="AG236" s="25" t="str">
        <f aca="false">IF(AT236="","",0)</f>
        <v/>
      </c>
      <c r="AH236" s="25" t="str">
        <f aca="false">IF(AT236="","","")</f>
        <v/>
      </c>
      <c r="AI236" s="25" t="str">
        <f aca="false">IF(AT236="","","")</f>
        <v/>
      </c>
      <c r="AJ236" s="25" t="str">
        <f aca="false">IF(AT236="","","")</f>
        <v/>
      </c>
      <c r="AK236" s="25" t="str">
        <f aca="false">IF(AT236="","",2)</f>
        <v/>
      </c>
      <c r="AL236" s="25" t="str">
        <f aca="false">IF(AT236="","","")</f>
        <v/>
      </c>
      <c r="AM236" s="25" t="str">
        <f aca="false">IF(AT236="","","")</f>
        <v/>
      </c>
      <c r="AN236" s="25" t="str">
        <f aca="false">IF(AT236="","",INDEX(入力シート!$C$5:$C$204,AT236))</f>
        <v/>
      </c>
      <c r="AO236" s="25" t="str">
        <f aca="false">IF(AT236="","","")</f>
        <v/>
      </c>
      <c r="AP236" s="25" t="str">
        <f aca="false">IF(AT236="","","")</f>
        <v/>
      </c>
      <c r="AQ236" s="25" t="str">
        <f aca="false">IF(AT236="","","")</f>
        <v/>
      </c>
      <c r="AT236" s="27" t="str">
        <f aca="false">IFERROR(MATCH(36,入力シート!$T$5:$T$204,0),"")</f>
        <v/>
      </c>
    </row>
    <row r="237" customFormat="false" ht="15" hidden="false" customHeight="true" outlineLevel="0" collapsed="false">
      <c r="A237" s="25" t="str">
        <f aca="false">IF(AT237="","",1)</f>
        <v/>
      </c>
      <c r="B237" s="25" t="str">
        <f aca="false">IF(AT237="","",1)</f>
        <v/>
      </c>
      <c r="C237" s="25" t="str">
        <f aca="false">IF(AT237="","",0)</f>
        <v/>
      </c>
      <c r="D237" s="25" t="str">
        <f aca="false">IF(AT237="","",TEXT(INDEX(入力シート!$A$5:$A$204,AT237),"YYYYMMDD"))</f>
        <v/>
      </c>
      <c r="E237" s="25" t="str">
        <f aca="false">IF(AT237="","",TEXT(INDEX(入力シート!$Q$5:$Q$204,AT237),"00000000"))</f>
        <v/>
      </c>
      <c r="F237" s="25" t="str">
        <f aca="false">IF(AT237="","",14)</f>
        <v/>
      </c>
      <c r="G237" s="25" t="str">
        <f aca="false">IF(AT237="","",1)</f>
        <v/>
      </c>
      <c r="H237" s="25" t="str">
        <f aca="false">IF(AT237="","",1)</f>
        <v/>
      </c>
      <c r="I237" s="25" t="str">
        <f aca="false">IF(AT237="","",3)</f>
        <v/>
      </c>
      <c r="J237" s="25" t="str">
        <f aca="false">IF(AT237="","",1)</f>
        <v/>
      </c>
      <c r="K237" s="25" t="str">
        <f aca="false">IF(AT237="","",INDEX(入力シート!$B$5:$B$204,AT237))</f>
        <v/>
      </c>
      <c r="L237" s="25" t="str">
        <f aca="false">IF(AT237="","","")</f>
        <v/>
      </c>
      <c r="M237" s="25" t="str">
        <f aca="false">IF(AT237="","","")</f>
        <v/>
      </c>
      <c r="N237" s="25" t="str">
        <f aca="false">IF(AT237="","",COUNTIF(入力シート!$Q$5:$Q$204,INDEX(入力シート!$Q$5:$Q$204,AT237))+1)</f>
        <v/>
      </c>
      <c r="O237" s="25" t="str">
        <f aca="false">IF(AT237="","",99)</f>
        <v/>
      </c>
      <c r="P237" s="25" t="str">
        <f aca="false">IF(AT237="","","")</f>
        <v/>
      </c>
      <c r="Q237" s="25" t="str">
        <f aca="false">IF(AT237="","","")</f>
        <v/>
      </c>
      <c r="R237" s="25" t="str">
        <f aca="false">IF(AT237="","","消費税")</f>
        <v/>
      </c>
      <c r="S237" s="25" t="str">
        <f aca="false">IF(AT237="","",0)</f>
        <v/>
      </c>
      <c r="T237" s="25" t="str">
        <f aca="false">IF(AT237="","","")</f>
        <v/>
      </c>
      <c r="U237" s="25" t="str">
        <f aca="false">IF(AT237="","",0)</f>
        <v/>
      </c>
      <c r="V237" s="25" t="str">
        <f aca="false">IF(AT237="","",0)</f>
        <v/>
      </c>
      <c r="W237" s="25" t="str">
        <f aca="false">IF(AT237="","","")</f>
        <v/>
      </c>
      <c r="X237" s="25" t="str">
        <f aca="false">IF(AT237="","",0)</f>
        <v/>
      </c>
      <c r="Y237" s="25" t="str">
        <f aca="false">IF(AT237="","",0)</f>
        <v/>
      </c>
      <c r="Z237" s="25" t="str">
        <f aca="false">IF(AT237="","",ROUNDDOWN(SUMIF(入力シート!$Q$5:$Q$204,INDEX(入力シート!$Q$5:$Q$204,AT237),入力シート!$P$5:$P$204)*IF(INDEX(入力シート!$L$5:$L$204,AT237)=13,0.1,IF(INDEX(入力シート!$L$5:$L$204,AT237)=30,0.08,0)),0))</f>
        <v/>
      </c>
      <c r="AA237" s="25" t="str">
        <f aca="false">IF(AT237="","","")</f>
        <v/>
      </c>
      <c r="AB237" s="25" t="str">
        <f aca="false">IF(AT237="","",0)</f>
        <v/>
      </c>
      <c r="AC237" s="25" t="str">
        <f aca="false">IF(AT237="","",0)</f>
        <v/>
      </c>
      <c r="AD237" s="25" t="str">
        <f aca="false">IF(AT237="","",0)</f>
        <v/>
      </c>
      <c r="AE237" s="25" t="str">
        <f aca="false">IF(AT237="","","")</f>
        <v/>
      </c>
      <c r="AF237" s="25" t="str">
        <f aca="false">IF(AT237="","",0)</f>
        <v/>
      </c>
      <c r="AG237" s="25" t="str">
        <f aca="false">IF(AT237="","",0)</f>
        <v/>
      </c>
      <c r="AH237" s="25" t="str">
        <f aca="false">IF(AT237="","","")</f>
        <v/>
      </c>
      <c r="AI237" s="25" t="str">
        <f aca="false">IF(AT237="","","")</f>
        <v/>
      </c>
      <c r="AJ237" s="25" t="str">
        <f aca="false">IF(AT237="","","")</f>
        <v/>
      </c>
      <c r="AK237" s="25" t="str">
        <f aca="false">IF(AT237="","",2)</f>
        <v/>
      </c>
      <c r="AL237" s="25" t="str">
        <f aca="false">IF(AT237="","","")</f>
        <v/>
      </c>
      <c r="AM237" s="25" t="str">
        <f aca="false">IF(AT237="","","")</f>
        <v/>
      </c>
      <c r="AN237" s="25" t="str">
        <f aca="false">IF(AT237="","",INDEX(入力シート!$C$5:$C$204,AT237))</f>
        <v/>
      </c>
      <c r="AO237" s="25" t="str">
        <f aca="false">IF(AT237="","","")</f>
        <v/>
      </c>
      <c r="AP237" s="25" t="str">
        <f aca="false">IF(AT237="","","")</f>
        <v/>
      </c>
      <c r="AQ237" s="25" t="str">
        <f aca="false">IF(AT237="","","")</f>
        <v/>
      </c>
      <c r="AT237" s="27" t="str">
        <f aca="false">IFERROR(MATCH(37,入力シート!$T$5:$T$204,0),"")</f>
        <v/>
      </c>
    </row>
    <row r="238" customFormat="false" ht="15" hidden="false" customHeight="true" outlineLevel="0" collapsed="false">
      <c r="A238" s="25" t="str">
        <f aca="false">IF(AT238="","",1)</f>
        <v/>
      </c>
      <c r="B238" s="25" t="str">
        <f aca="false">IF(AT238="","",1)</f>
        <v/>
      </c>
      <c r="C238" s="25" t="str">
        <f aca="false">IF(AT238="","",0)</f>
        <v/>
      </c>
      <c r="D238" s="25" t="str">
        <f aca="false">IF(AT238="","",TEXT(INDEX(入力シート!$A$5:$A$204,AT238),"YYYYMMDD"))</f>
        <v/>
      </c>
      <c r="E238" s="25" t="str">
        <f aca="false">IF(AT238="","",TEXT(INDEX(入力シート!$Q$5:$Q$204,AT238),"00000000"))</f>
        <v/>
      </c>
      <c r="F238" s="25" t="str">
        <f aca="false">IF(AT238="","",14)</f>
        <v/>
      </c>
      <c r="G238" s="25" t="str">
        <f aca="false">IF(AT238="","",1)</f>
        <v/>
      </c>
      <c r="H238" s="25" t="str">
        <f aca="false">IF(AT238="","",1)</f>
        <v/>
      </c>
      <c r="I238" s="25" t="str">
        <f aca="false">IF(AT238="","",3)</f>
        <v/>
      </c>
      <c r="J238" s="25" t="str">
        <f aca="false">IF(AT238="","",1)</f>
        <v/>
      </c>
      <c r="K238" s="25" t="str">
        <f aca="false">IF(AT238="","",INDEX(入力シート!$B$5:$B$204,AT238))</f>
        <v/>
      </c>
      <c r="L238" s="25" t="str">
        <f aca="false">IF(AT238="","","")</f>
        <v/>
      </c>
      <c r="M238" s="25" t="str">
        <f aca="false">IF(AT238="","","")</f>
        <v/>
      </c>
      <c r="N238" s="25" t="str">
        <f aca="false">IF(AT238="","",COUNTIF(入力シート!$Q$5:$Q$204,INDEX(入力シート!$Q$5:$Q$204,AT238))+1)</f>
        <v/>
      </c>
      <c r="O238" s="25" t="str">
        <f aca="false">IF(AT238="","",99)</f>
        <v/>
      </c>
      <c r="P238" s="25" t="str">
        <f aca="false">IF(AT238="","","")</f>
        <v/>
      </c>
      <c r="Q238" s="25" t="str">
        <f aca="false">IF(AT238="","","")</f>
        <v/>
      </c>
      <c r="R238" s="25" t="str">
        <f aca="false">IF(AT238="","","消費税")</f>
        <v/>
      </c>
      <c r="S238" s="25" t="str">
        <f aca="false">IF(AT238="","",0)</f>
        <v/>
      </c>
      <c r="T238" s="25" t="str">
        <f aca="false">IF(AT238="","","")</f>
        <v/>
      </c>
      <c r="U238" s="25" t="str">
        <f aca="false">IF(AT238="","",0)</f>
        <v/>
      </c>
      <c r="V238" s="25" t="str">
        <f aca="false">IF(AT238="","",0)</f>
        <v/>
      </c>
      <c r="W238" s="25" t="str">
        <f aca="false">IF(AT238="","","")</f>
        <v/>
      </c>
      <c r="X238" s="25" t="str">
        <f aca="false">IF(AT238="","",0)</f>
        <v/>
      </c>
      <c r="Y238" s="25" t="str">
        <f aca="false">IF(AT238="","",0)</f>
        <v/>
      </c>
      <c r="Z238" s="25" t="str">
        <f aca="false">IF(AT238="","",ROUNDDOWN(SUMIF(入力シート!$Q$5:$Q$204,INDEX(入力シート!$Q$5:$Q$204,AT238),入力シート!$P$5:$P$204)*IF(INDEX(入力シート!$L$5:$L$204,AT238)=13,0.1,IF(INDEX(入力シート!$L$5:$L$204,AT238)=30,0.08,0)),0))</f>
        <v/>
      </c>
      <c r="AA238" s="25" t="str">
        <f aca="false">IF(AT238="","","")</f>
        <v/>
      </c>
      <c r="AB238" s="25" t="str">
        <f aca="false">IF(AT238="","",0)</f>
        <v/>
      </c>
      <c r="AC238" s="25" t="str">
        <f aca="false">IF(AT238="","",0)</f>
        <v/>
      </c>
      <c r="AD238" s="25" t="str">
        <f aca="false">IF(AT238="","",0)</f>
        <v/>
      </c>
      <c r="AE238" s="25" t="str">
        <f aca="false">IF(AT238="","","")</f>
        <v/>
      </c>
      <c r="AF238" s="25" t="str">
        <f aca="false">IF(AT238="","",0)</f>
        <v/>
      </c>
      <c r="AG238" s="25" t="str">
        <f aca="false">IF(AT238="","",0)</f>
        <v/>
      </c>
      <c r="AH238" s="25" t="str">
        <f aca="false">IF(AT238="","","")</f>
        <v/>
      </c>
      <c r="AI238" s="25" t="str">
        <f aca="false">IF(AT238="","","")</f>
        <v/>
      </c>
      <c r="AJ238" s="25" t="str">
        <f aca="false">IF(AT238="","","")</f>
        <v/>
      </c>
      <c r="AK238" s="25" t="str">
        <f aca="false">IF(AT238="","",2)</f>
        <v/>
      </c>
      <c r="AL238" s="25" t="str">
        <f aca="false">IF(AT238="","","")</f>
        <v/>
      </c>
      <c r="AM238" s="25" t="str">
        <f aca="false">IF(AT238="","","")</f>
        <v/>
      </c>
      <c r="AN238" s="25" t="str">
        <f aca="false">IF(AT238="","",INDEX(入力シート!$C$5:$C$204,AT238))</f>
        <v/>
      </c>
      <c r="AO238" s="25" t="str">
        <f aca="false">IF(AT238="","","")</f>
        <v/>
      </c>
      <c r="AP238" s="25" t="str">
        <f aca="false">IF(AT238="","","")</f>
        <v/>
      </c>
      <c r="AQ238" s="25" t="str">
        <f aca="false">IF(AT238="","","")</f>
        <v/>
      </c>
      <c r="AT238" s="27" t="str">
        <f aca="false">IFERROR(MATCH(38,入力シート!$T$5:$T$204,0),"")</f>
        <v/>
      </c>
    </row>
    <row r="239" customFormat="false" ht="15" hidden="false" customHeight="true" outlineLevel="0" collapsed="false">
      <c r="A239" s="25" t="str">
        <f aca="false">IF(AT239="","",1)</f>
        <v/>
      </c>
      <c r="B239" s="25" t="str">
        <f aca="false">IF(AT239="","",1)</f>
        <v/>
      </c>
      <c r="C239" s="25" t="str">
        <f aca="false">IF(AT239="","",0)</f>
        <v/>
      </c>
      <c r="D239" s="25" t="str">
        <f aca="false">IF(AT239="","",TEXT(INDEX(入力シート!$A$5:$A$204,AT239),"YYYYMMDD"))</f>
        <v/>
      </c>
      <c r="E239" s="25" t="str">
        <f aca="false">IF(AT239="","",TEXT(INDEX(入力シート!$Q$5:$Q$204,AT239),"00000000"))</f>
        <v/>
      </c>
      <c r="F239" s="25" t="str">
        <f aca="false">IF(AT239="","",14)</f>
        <v/>
      </c>
      <c r="G239" s="25" t="str">
        <f aca="false">IF(AT239="","",1)</f>
        <v/>
      </c>
      <c r="H239" s="25" t="str">
        <f aca="false">IF(AT239="","",1)</f>
        <v/>
      </c>
      <c r="I239" s="25" t="str">
        <f aca="false">IF(AT239="","",3)</f>
        <v/>
      </c>
      <c r="J239" s="25" t="str">
        <f aca="false">IF(AT239="","",1)</f>
        <v/>
      </c>
      <c r="K239" s="25" t="str">
        <f aca="false">IF(AT239="","",INDEX(入力シート!$B$5:$B$204,AT239))</f>
        <v/>
      </c>
      <c r="L239" s="25" t="str">
        <f aca="false">IF(AT239="","","")</f>
        <v/>
      </c>
      <c r="M239" s="25" t="str">
        <f aca="false">IF(AT239="","","")</f>
        <v/>
      </c>
      <c r="N239" s="25" t="str">
        <f aca="false">IF(AT239="","",COUNTIF(入力シート!$Q$5:$Q$204,INDEX(入力シート!$Q$5:$Q$204,AT239))+1)</f>
        <v/>
      </c>
      <c r="O239" s="25" t="str">
        <f aca="false">IF(AT239="","",99)</f>
        <v/>
      </c>
      <c r="P239" s="25" t="str">
        <f aca="false">IF(AT239="","","")</f>
        <v/>
      </c>
      <c r="Q239" s="25" t="str">
        <f aca="false">IF(AT239="","","")</f>
        <v/>
      </c>
      <c r="R239" s="25" t="str">
        <f aca="false">IF(AT239="","","消費税")</f>
        <v/>
      </c>
      <c r="S239" s="25" t="str">
        <f aca="false">IF(AT239="","",0)</f>
        <v/>
      </c>
      <c r="T239" s="25" t="str">
        <f aca="false">IF(AT239="","","")</f>
        <v/>
      </c>
      <c r="U239" s="25" t="str">
        <f aca="false">IF(AT239="","",0)</f>
        <v/>
      </c>
      <c r="V239" s="25" t="str">
        <f aca="false">IF(AT239="","",0)</f>
        <v/>
      </c>
      <c r="W239" s="25" t="str">
        <f aca="false">IF(AT239="","","")</f>
        <v/>
      </c>
      <c r="X239" s="25" t="str">
        <f aca="false">IF(AT239="","",0)</f>
        <v/>
      </c>
      <c r="Y239" s="25" t="str">
        <f aca="false">IF(AT239="","",0)</f>
        <v/>
      </c>
      <c r="Z239" s="25" t="str">
        <f aca="false">IF(AT239="","",ROUNDDOWN(SUMIF(入力シート!$Q$5:$Q$204,INDEX(入力シート!$Q$5:$Q$204,AT239),入力シート!$P$5:$P$204)*IF(INDEX(入力シート!$L$5:$L$204,AT239)=13,0.1,IF(INDEX(入力シート!$L$5:$L$204,AT239)=30,0.08,0)),0))</f>
        <v/>
      </c>
      <c r="AA239" s="25" t="str">
        <f aca="false">IF(AT239="","","")</f>
        <v/>
      </c>
      <c r="AB239" s="25" t="str">
        <f aca="false">IF(AT239="","",0)</f>
        <v/>
      </c>
      <c r="AC239" s="25" t="str">
        <f aca="false">IF(AT239="","",0)</f>
        <v/>
      </c>
      <c r="AD239" s="25" t="str">
        <f aca="false">IF(AT239="","",0)</f>
        <v/>
      </c>
      <c r="AE239" s="25" t="str">
        <f aca="false">IF(AT239="","","")</f>
        <v/>
      </c>
      <c r="AF239" s="25" t="str">
        <f aca="false">IF(AT239="","",0)</f>
        <v/>
      </c>
      <c r="AG239" s="25" t="str">
        <f aca="false">IF(AT239="","",0)</f>
        <v/>
      </c>
      <c r="AH239" s="25" t="str">
        <f aca="false">IF(AT239="","","")</f>
        <v/>
      </c>
      <c r="AI239" s="25" t="str">
        <f aca="false">IF(AT239="","","")</f>
        <v/>
      </c>
      <c r="AJ239" s="25" t="str">
        <f aca="false">IF(AT239="","","")</f>
        <v/>
      </c>
      <c r="AK239" s="25" t="str">
        <f aca="false">IF(AT239="","",2)</f>
        <v/>
      </c>
      <c r="AL239" s="25" t="str">
        <f aca="false">IF(AT239="","","")</f>
        <v/>
      </c>
      <c r="AM239" s="25" t="str">
        <f aca="false">IF(AT239="","","")</f>
        <v/>
      </c>
      <c r="AN239" s="25" t="str">
        <f aca="false">IF(AT239="","",INDEX(入力シート!$C$5:$C$204,AT239))</f>
        <v/>
      </c>
      <c r="AO239" s="25" t="str">
        <f aca="false">IF(AT239="","","")</f>
        <v/>
      </c>
      <c r="AP239" s="25" t="str">
        <f aca="false">IF(AT239="","","")</f>
        <v/>
      </c>
      <c r="AQ239" s="25" t="str">
        <f aca="false">IF(AT239="","","")</f>
        <v/>
      </c>
      <c r="AT239" s="27" t="str">
        <f aca="false">IFERROR(MATCH(39,入力シート!$T$5:$T$204,0),"")</f>
        <v/>
      </c>
    </row>
    <row r="240" customFormat="false" ht="15" hidden="false" customHeight="true" outlineLevel="0" collapsed="false">
      <c r="A240" s="25" t="str">
        <f aca="false">IF(AT240="","",1)</f>
        <v/>
      </c>
      <c r="B240" s="25" t="str">
        <f aca="false">IF(AT240="","",1)</f>
        <v/>
      </c>
      <c r="C240" s="25" t="str">
        <f aca="false">IF(AT240="","",0)</f>
        <v/>
      </c>
      <c r="D240" s="25" t="str">
        <f aca="false">IF(AT240="","",TEXT(INDEX(入力シート!$A$5:$A$204,AT240),"YYYYMMDD"))</f>
        <v/>
      </c>
      <c r="E240" s="25" t="str">
        <f aca="false">IF(AT240="","",TEXT(INDEX(入力シート!$Q$5:$Q$204,AT240),"00000000"))</f>
        <v/>
      </c>
      <c r="F240" s="25" t="str">
        <f aca="false">IF(AT240="","",14)</f>
        <v/>
      </c>
      <c r="G240" s="25" t="str">
        <f aca="false">IF(AT240="","",1)</f>
        <v/>
      </c>
      <c r="H240" s="25" t="str">
        <f aca="false">IF(AT240="","",1)</f>
        <v/>
      </c>
      <c r="I240" s="25" t="str">
        <f aca="false">IF(AT240="","",3)</f>
        <v/>
      </c>
      <c r="J240" s="25" t="str">
        <f aca="false">IF(AT240="","",1)</f>
        <v/>
      </c>
      <c r="K240" s="25" t="str">
        <f aca="false">IF(AT240="","",INDEX(入力シート!$B$5:$B$204,AT240))</f>
        <v/>
      </c>
      <c r="L240" s="25" t="str">
        <f aca="false">IF(AT240="","","")</f>
        <v/>
      </c>
      <c r="M240" s="25" t="str">
        <f aca="false">IF(AT240="","","")</f>
        <v/>
      </c>
      <c r="N240" s="25" t="str">
        <f aca="false">IF(AT240="","",COUNTIF(入力シート!$Q$5:$Q$204,INDEX(入力シート!$Q$5:$Q$204,AT240))+1)</f>
        <v/>
      </c>
      <c r="O240" s="25" t="str">
        <f aca="false">IF(AT240="","",99)</f>
        <v/>
      </c>
      <c r="P240" s="25" t="str">
        <f aca="false">IF(AT240="","","")</f>
        <v/>
      </c>
      <c r="Q240" s="25" t="str">
        <f aca="false">IF(AT240="","","")</f>
        <v/>
      </c>
      <c r="R240" s="25" t="str">
        <f aca="false">IF(AT240="","","消費税")</f>
        <v/>
      </c>
      <c r="S240" s="25" t="str">
        <f aca="false">IF(AT240="","",0)</f>
        <v/>
      </c>
      <c r="T240" s="25" t="str">
        <f aca="false">IF(AT240="","","")</f>
        <v/>
      </c>
      <c r="U240" s="25" t="str">
        <f aca="false">IF(AT240="","",0)</f>
        <v/>
      </c>
      <c r="V240" s="25" t="str">
        <f aca="false">IF(AT240="","",0)</f>
        <v/>
      </c>
      <c r="W240" s="25" t="str">
        <f aca="false">IF(AT240="","","")</f>
        <v/>
      </c>
      <c r="X240" s="25" t="str">
        <f aca="false">IF(AT240="","",0)</f>
        <v/>
      </c>
      <c r="Y240" s="25" t="str">
        <f aca="false">IF(AT240="","",0)</f>
        <v/>
      </c>
      <c r="Z240" s="25" t="str">
        <f aca="false">IF(AT240="","",ROUNDDOWN(SUMIF(入力シート!$Q$5:$Q$204,INDEX(入力シート!$Q$5:$Q$204,AT240),入力シート!$P$5:$P$204)*IF(INDEX(入力シート!$L$5:$L$204,AT240)=13,0.1,IF(INDEX(入力シート!$L$5:$L$204,AT240)=30,0.08,0)),0))</f>
        <v/>
      </c>
      <c r="AA240" s="25" t="str">
        <f aca="false">IF(AT240="","","")</f>
        <v/>
      </c>
      <c r="AB240" s="25" t="str">
        <f aca="false">IF(AT240="","",0)</f>
        <v/>
      </c>
      <c r="AC240" s="25" t="str">
        <f aca="false">IF(AT240="","",0)</f>
        <v/>
      </c>
      <c r="AD240" s="25" t="str">
        <f aca="false">IF(AT240="","",0)</f>
        <v/>
      </c>
      <c r="AE240" s="25" t="str">
        <f aca="false">IF(AT240="","","")</f>
        <v/>
      </c>
      <c r="AF240" s="25" t="str">
        <f aca="false">IF(AT240="","",0)</f>
        <v/>
      </c>
      <c r="AG240" s="25" t="str">
        <f aca="false">IF(AT240="","",0)</f>
        <v/>
      </c>
      <c r="AH240" s="25" t="str">
        <f aca="false">IF(AT240="","","")</f>
        <v/>
      </c>
      <c r="AI240" s="25" t="str">
        <f aca="false">IF(AT240="","","")</f>
        <v/>
      </c>
      <c r="AJ240" s="25" t="str">
        <f aca="false">IF(AT240="","","")</f>
        <v/>
      </c>
      <c r="AK240" s="25" t="str">
        <f aca="false">IF(AT240="","",2)</f>
        <v/>
      </c>
      <c r="AL240" s="25" t="str">
        <f aca="false">IF(AT240="","","")</f>
        <v/>
      </c>
      <c r="AM240" s="25" t="str">
        <f aca="false">IF(AT240="","","")</f>
        <v/>
      </c>
      <c r="AN240" s="25" t="str">
        <f aca="false">IF(AT240="","",INDEX(入力シート!$C$5:$C$204,AT240))</f>
        <v/>
      </c>
      <c r="AO240" s="25" t="str">
        <f aca="false">IF(AT240="","","")</f>
        <v/>
      </c>
      <c r="AP240" s="25" t="str">
        <f aca="false">IF(AT240="","","")</f>
        <v/>
      </c>
      <c r="AQ240" s="25" t="str">
        <f aca="false">IF(AT240="","","")</f>
        <v/>
      </c>
      <c r="AT240" s="27" t="str">
        <f aca="false">IFERROR(MATCH(40,入力シート!$T$5:$T$204,0),"")</f>
        <v/>
      </c>
    </row>
    <row r="241" customFormat="false" ht="15" hidden="false" customHeight="true" outlineLevel="0" collapsed="false">
      <c r="A241" s="25" t="str">
        <f aca="false">IF(AT241="","",1)</f>
        <v/>
      </c>
      <c r="B241" s="25" t="str">
        <f aca="false">IF(AT241="","",1)</f>
        <v/>
      </c>
      <c r="C241" s="25" t="str">
        <f aca="false">IF(AT241="","",0)</f>
        <v/>
      </c>
      <c r="D241" s="25" t="str">
        <f aca="false">IF(AT241="","",TEXT(INDEX(入力シート!$A$5:$A$204,AT241),"YYYYMMDD"))</f>
        <v/>
      </c>
      <c r="E241" s="25" t="str">
        <f aca="false">IF(AT241="","",TEXT(INDEX(入力シート!$Q$5:$Q$204,AT241),"00000000"))</f>
        <v/>
      </c>
      <c r="F241" s="25" t="str">
        <f aca="false">IF(AT241="","",14)</f>
        <v/>
      </c>
      <c r="G241" s="25" t="str">
        <f aca="false">IF(AT241="","",1)</f>
        <v/>
      </c>
      <c r="H241" s="25" t="str">
        <f aca="false">IF(AT241="","",1)</f>
        <v/>
      </c>
      <c r="I241" s="25" t="str">
        <f aca="false">IF(AT241="","",3)</f>
        <v/>
      </c>
      <c r="J241" s="25" t="str">
        <f aca="false">IF(AT241="","",1)</f>
        <v/>
      </c>
      <c r="K241" s="25" t="str">
        <f aca="false">IF(AT241="","",INDEX(入力シート!$B$5:$B$204,AT241))</f>
        <v/>
      </c>
      <c r="L241" s="25" t="str">
        <f aca="false">IF(AT241="","","")</f>
        <v/>
      </c>
      <c r="M241" s="25" t="str">
        <f aca="false">IF(AT241="","","")</f>
        <v/>
      </c>
      <c r="N241" s="25" t="str">
        <f aca="false">IF(AT241="","",COUNTIF(入力シート!$Q$5:$Q$204,INDEX(入力シート!$Q$5:$Q$204,AT241))+1)</f>
        <v/>
      </c>
      <c r="O241" s="25" t="str">
        <f aca="false">IF(AT241="","",99)</f>
        <v/>
      </c>
      <c r="P241" s="25" t="str">
        <f aca="false">IF(AT241="","","")</f>
        <v/>
      </c>
      <c r="Q241" s="25" t="str">
        <f aca="false">IF(AT241="","","")</f>
        <v/>
      </c>
      <c r="R241" s="25" t="str">
        <f aca="false">IF(AT241="","","消費税")</f>
        <v/>
      </c>
      <c r="S241" s="25" t="str">
        <f aca="false">IF(AT241="","",0)</f>
        <v/>
      </c>
      <c r="T241" s="25" t="str">
        <f aca="false">IF(AT241="","","")</f>
        <v/>
      </c>
      <c r="U241" s="25" t="str">
        <f aca="false">IF(AT241="","",0)</f>
        <v/>
      </c>
      <c r="V241" s="25" t="str">
        <f aca="false">IF(AT241="","",0)</f>
        <v/>
      </c>
      <c r="W241" s="25" t="str">
        <f aca="false">IF(AT241="","","")</f>
        <v/>
      </c>
      <c r="X241" s="25" t="str">
        <f aca="false">IF(AT241="","",0)</f>
        <v/>
      </c>
      <c r="Y241" s="25" t="str">
        <f aca="false">IF(AT241="","",0)</f>
        <v/>
      </c>
      <c r="Z241" s="25" t="str">
        <f aca="false">IF(AT241="","",ROUNDDOWN(SUMIF(入力シート!$Q$5:$Q$204,INDEX(入力シート!$Q$5:$Q$204,AT241),入力シート!$P$5:$P$204)*IF(INDEX(入力シート!$L$5:$L$204,AT241)=13,0.1,IF(INDEX(入力シート!$L$5:$L$204,AT241)=30,0.08,0)),0))</f>
        <v/>
      </c>
      <c r="AA241" s="25" t="str">
        <f aca="false">IF(AT241="","","")</f>
        <v/>
      </c>
      <c r="AB241" s="25" t="str">
        <f aca="false">IF(AT241="","",0)</f>
        <v/>
      </c>
      <c r="AC241" s="25" t="str">
        <f aca="false">IF(AT241="","",0)</f>
        <v/>
      </c>
      <c r="AD241" s="25" t="str">
        <f aca="false">IF(AT241="","",0)</f>
        <v/>
      </c>
      <c r="AE241" s="25" t="str">
        <f aca="false">IF(AT241="","","")</f>
        <v/>
      </c>
      <c r="AF241" s="25" t="str">
        <f aca="false">IF(AT241="","",0)</f>
        <v/>
      </c>
      <c r="AG241" s="25" t="str">
        <f aca="false">IF(AT241="","",0)</f>
        <v/>
      </c>
      <c r="AH241" s="25" t="str">
        <f aca="false">IF(AT241="","","")</f>
        <v/>
      </c>
      <c r="AI241" s="25" t="str">
        <f aca="false">IF(AT241="","","")</f>
        <v/>
      </c>
      <c r="AJ241" s="25" t="str">
        <f aca="false">IF(AT241="","","")</f>
        <v/>
      </c>
      <c r="AK241" s="25" t="str">
        <f aca="false">IF(AT241="","",2)</f>
        <v/>
      </c>
      <c r="AL241" s="25" t="str">
        <f aca="false">IF(AT241="","","")</f>
        <v/>
      </c>
      <c r="AM241" s="25" t="str">
        <f aca="false">IF(AT241="","","")</f>
        <v/>
      </c>
      <c r="AN241" s="25" t="str">
        <f aca="false">IF(AT241="","",INDEX(入力シート!$C$5:$C$204,AT241))</f>
        <v/>
      </c>
      <c r="AO241" s="25" t="str">
        <f aca="false">IF(AT241="","","")</f>
        <v/>
      </c>
      <c r="AP241" s="25" t="str">
        <f aca="false">IF(AT241="","","")</f>
        <v/>
      </c>
      <c r="AQ241" s="25" t="str">
        <f aca="false">IF(AT241="","","")</f>
        <v/>
      </c>
      <c r="AT241" s="27" t="str">
        <f aca="false">IFERROR(MATCH(41,入力シート!$T$5:$T$204,0),"")</f>
        <v/>
      </c>
    </row>
    <row r="242" customFormat="false" ht="15" hidden="false" customHeight="true" outlineLevel="0" collapsed="false">
      <c r="A242" s="25" t="str">
        <f aca="false">IF(AT242="","",1)</f>
        <v/>
      </c>
      <c r="B242" s="25" t="str">
        <f aca="false">IF(AT242="","",1)</f>
        <v/>
      </c>
      <c r="C242" s="25" t="str">
        <f aca="false">IF(AT242="","",0)</f>
        <v/>
      </c>
      <c r="D242" s="25" t="str">
        <f aca="false">IF(AT242="","",TEXT(INDEX(入力シート!$A$5:$A$204,AT242),"YYYYMMDD"))</f>
        <v/>
      </c>
      <c r="E242" s="25" t="str">
        <f aca="false">IF(AT242="","",TEXT(INDEX(入力シート!$Q$5:$Q$204,AT242),"00000000"))</f>
        <v/>
      </c>
      <c r="F242" s="25" t="str">
        <f aca="false">IF(AT242="","",14)</f>
        <v/>
      </c>
      <c r="G242" s="25" t="str">
        <f aca="false">IF(AT242="","",1)</f>
        <v/>
      </c>
      <c r="H242" s="25" t="str">
        <f aca="false">IF(AT242="","",1)</f>
        <v/>
      </c>
      <c r="I242" s="25" t="str">
        <f aca="false">IF(AT242="","",3)</f>
        <v/>
      </c>
      <c r="J242" s="25" t="str">
        <f aca="false">IF(AT242="","",1)</f>
        <v/>
      </c>
      <c r="K242" s="25" t="str">
        <f aca="false">IF(AT242="","",INDEX(入力シート!$B$5:$B$204,AT242))</f>
        <v/>
      </c>
      <c r="L242" s="25" t="str">
        <f aca="false">IF(AT242="","","")</f>
        <v/>
      </c>
      <c r="M242" s="25" t="str">
        <f aca="false">IF(AT242="","","")</f>
        <v/>
      </c>
      <c r="N242" s="25" t="str">
        <f aca="false">IF(AT242="","",COUNTIF(入力シート!$Q$5:$Q$204,INDEX(入力シート!$Q$5:$Q$204,AT242))+1)</f>
        <v/>
      </c>
      <c r="O242" s="25" t="str">
        <f aca="false">IF(AT242="","",99)</f>
        <v/>
      </c>
      <c r="P242" s="25" t="str">
        <f aca="false">IF(AT242="","","")</f>
        <v/>
      </c>
      <c r="Q242" s="25" t="str">
        <f aca="false">IF(AT242="","","")</f>
        <v/>
      </c>
      <c r="R242" s="25" t="str">
        <f aca="false">IF(AT242="","","消費税")</f>
        <v/>
      </c>
      <c r="S242" s="25" t="str">
        <f aca="false">IF(AT242="","",0)</f>
        <v/>
      </c>
      <c r="T242" s="25" t="str">
        <f aca="false">IF(AT242="","","")</f>
        <v/>
      </c>
      <c r="U242" s="25" t="str">
        <f aca="false">IF(AT242="","",0)</f>
        <v/>
      </c>
      <c r="V242" s="25" t="str">
        <f aca="false">IF(AT242="","",0)</f>
        <v/>
      </c>
      <c r="W242" s="25" t="str">
        <f aca="false">IF(AT242="","","")</f>
        <v/>
      </c>
      <c r="X242" s="25" t="str">
        <f aca="false">IF(AT242="","",0)</f>
        <v/>
      </c>
      <c r="Y242" s="25" t="str">
        <f aca="false">IF(AT242="","",0)</f>
        <v/>
      </c>
      <c r="Z242" s="25" t="str">
        <f aca="false">IF(AT242="","",ROUNDDOWN(SUMIF(入力シート!$Q$5:$Q$204,INDEX(入力シート!$Q$5:$Q$204,AT242),入力シート!$P$5:$P$204)*IF(INDEX(入力シート!$L$5:$L$204,AT242)=13,0.1,IF(INDEX(入力シート!$L$5:$L$204,AT242)=30,0.08,0)),0))</f>
        <v/>
      </c>
      <c r="AA242" s="25" t="str">
        <f aca="false">IF(AT242="","","")</f>
        <v/>
      </c>
      <c r="AB242" s="25" t="str">
        <f aca="false">IF(AT242="","",0)</f>
        <v/>
      </c>
      <c r="AC242" s="25" t="str">
        <f aca="false">IF(AT242="","",0)</f>
        <v/>
      </c>
      <c r="AD242" s="25" t="str">
        <f aca="false">IF(AT242="","",0)</f>
        <v/>
      </c>
      <c r="AE242" s="25" t="str">
        <f aca="false">IF(AT242="","","")</f>
        <v/>
      </c>
      <c r="AF242" s="25" t="str">
        <f aca="false">IF(AT242="","",0)</f>
        <v/>
      </c>
      <c r="AG242" s="25" t="str">
        <f aca="false">IF(AT242="","",0)</f>
        <v/>
      </c>
      <c r="AH242" s="25" t="str">
        <f aca="false">IF(AT242="","","")</f>
        <v/>
      </c>
      <c r="AI242" s="25" t="str">
        <f aca="false">IF(AT242="","","")</f>
        <v/>
      </c>
      <c r="AJ242" s="25" t="str">
        <f aca="false">IF(AT242="","","")</f>
        <v/>
      </c>
      <c r="AK242" s="25" t="str">
        <f aca="false">IF(AT242="","",2)</f>
        <v/>
      </c>
      <c r="AL242" s="25" t="str">
        <f aca="false">IF(AT242="","","")</f>
        <v/>
      </c>
      <c r="AM242" s="25" t="str">
        <f aca="false">IF(AT242="","","")</f>
        <v/>
      </c>
      <c r="AN242" s="25" t="str">
        <f aca="false">IF(AT242="","",INDEX(入力シート!$C$5:$C$204,AT242))</f>
        <v/>
      </c>
      <c r="AO242" s="25" t="str">
        <f aca="false">IF(AT242="","","")</f>
        <v/>
      </c>
      <c r="AP242" s="25" t="str">
        <f aca="false">IF(AT242="","","")</f>
        <v/>
      </c>
      <c r="AQ242" s="25" t="str">
        <f aca="false">IF(AT242="","","")</f>
        <v/>
      </c>
      <c r="AT242" s="27" t="str">
        <f aca="false">IFERROR(MATCH(42,入力シート!$T$5:$T$204,0),"")</f>
        <v/>
      </c>
    </row>
    <row r="243" customFormat="false" ht="15" hidden="false" customHeight="true" outlineLevel="0" collapsed="false">
      <c r="A243" s="25" t="str">
        <f aca="false">IF(AT243="","",1)</f>
        <v/>
      </c>
      <c r="B243" s="25" t="str">
        <f aca="false">IF(AT243="","",1)</f>
        <v/>
      </c>
      <c r="C243" s="25" t="str">
        <f aca="false">IF(AT243="","",0)</f>
        <v/>
      </c>
      <c r="D243" s="25" t="str">
        <f aca="false">IF(AT243="","",TEXT(INDEX(入力シート!$A$5:$A$204,AT243),"YYYYMMDD"))</f>
        <v/>
      </c>
      <c r="E243" s="25" t="str">
        <f aca="false">IF(AT243="","",TEXT(INDEX(入力シート!$Q$5:$Q$204,AT243),"00000000"))</f>
        <v/>
      </c>
      <c r="F243" s="25" t="str">
        <f aca="false">IF(AT243="","",14)</f>
        <v/>
      </c>
      <c r="G243" s="25" t="str">
        <f aca="false">IF(AT243="","",1)</f>
        <v/>
      </c>
      <c r="H243" s="25" t="str">
        <f aca="false">IF(AT243="","",1)</f>
        <v/>
      </c>
      <c r="I243" s="25" t="str">
        <f aca="false">IF(AT243="","",3)</f>
        <v/>
      </c>
      <c r="J243" s="25" t="str">
        <f aca="false">IF(AT243="","",1)</f>
        <v/>
      </c>
      <c r="K243" s="25" t="str">
        <f aca="false">IF(AT243="","",INDEX(入力シート!$B$5:$B$204,AT243))</f>
        <v/>
      </c>
      <c r="L243" s="25" t="str">
        <f aca="false">IF(AT243="","","")</f>
        <v/>
      </c>
      <c r="M243" s="25" t="str">
        <f aca="false">IF(AT243="","","")</f>
        <v/>
      </c>
      <c r="N243" s="25" t="str">
        <f aca="false">IF(AT243="","",COUNTIF(入力シート!$Q$5:$Q$204,INDEX(入力シート!$Q$5:$Q$204,AT243))+1)</f>
        <v/>
      </c>
      <c r="O243" s="25" t="str">
        <f aca="false">IF(AT243="","",99)</f>
        <v/>
      </c>
      <c r="P243" s="25" t="str">
        <f aca="false">IF(AT243="","","")</f>
        <v/>
      </c>
      <c r="Q243" s="25" t="str">
        <f aca="false">IF(AT243="","","")</f>
        <v/>
      </c>
      <c r="R243" s="25" t="str">
        <f aca="false">IF(AT243="","","消費税")</f>
        <v/>
      </c>
      <c r="S243" s="25" t="str">
        <f aca="false">IF(AT243="","",0)</f>
        <v/>
      </c>
      <c r="T243" s="25" t="str">
        <f aca="false">IF(AT243="","","")</f>
        <v/>
      </c>
      <c r="U243" s="25" t="str">
        <f aca="false">IF(AT243="","",0)</f>
        <v/>
      </c>
      <c r="V243" s="25" t="str">
        <f aca="false">IF(AT243="","",0)</f>
        <v/>
      </c>
      <c r="W243" s="25" t="str">
        <f aca="false">IF(AT243="","","")</f>
        <v/>
      </c>
      <c r="X243" s="25" t="str">
        <f aca="false">IF(AT243="","",0)</f>
        <v/>
      </c>
      <c r="Y243" s="25" t="str">
        <f aca="false">IF(AT243="","",0)</f>
        <v/>
      </c>
      <c r="Z243" s="25" t="str">
        <f aca="false">IF(AT243="","",ROUNDDOWN(SUMIF(入力シート!$Q$5:$Q$204,INDEX(入力シート!$Q$5:$Q$204,AT243),入力シート!$P$5:$P$204)*IF(INDEX(入力シート!$L$5:$L$204,AT243)=13,0.1,IF(INDEX(入力シート!$L$5:$L$204,AT243)=30,0.08,0)),0))</f>
        <v/>
      </c>
      <c r="AA243" s="25" t="str">
        <f aca="false">IF(AT243="","","")</f>
        <v/>
      </c>
      <c r="AB243" s="25" t="str">
        <f aca="false">IF(AT243="","",0)</f>
        <v/>
      </c>
      <c r="AC243" s="25" t="str">
        <f aca="false">IF(AT243="","",0)</f>
        <v/>
      </c>
      <c r="AD243" s="25" t="str">
        <f aca="false">IF(AT243="","",0)</f>
        <v/>
      </c>
      <c r="AE243" s="25" t="str">
        <f aca="false">IF(AT243="","","")</f>
        <v/>
      </c>
      <c r="AF243" s="25" t="str">
        <f aca="false">IF(AT243="","",0)</f>
        <v/>
      </c>
      <c r="AG243" s="25" t="str">
        <f aca="false">IF(AT243="","",0)</f>
        <v/>
      </c>
      <c r="AH243" s="25" t="str">
        <f aca="false">IF(AT243="","","")</f>
        <v/>
      </c>
      <c r="AI243" s="25" t="str">
        <f aca="false">IF(AT243="","","")</f>
        <v/>
      </c>
      <c r="AJ243" s="25" t="str">
        <f aca="false">IF(AT243="","","")</f>
        <v/>
      </c>
      <c r="AK243" s="25" t="str">
        <f aca="false">IF(AT243="","",2)</f>
        <v/>
      </c>
      <c r="AL243" s="25" t="str">
        <f aca="false">IF(AT243="","","")</f>
        <v/>
      </c>
      <c r="AM243" s="25" t="str">
        <f aca="false">IF(AT243="","","")</f>
        <v/>
      </c>
      <c r="AN243" s="25" t="str">
        <f aca="false">IF(AT243="","",INDEX(入力シート!$C$5:$C$204,AT243))</f>
        <v/>
      </c>
      <c r="AO243" s="25" t="str">
        <f aca="false">IF(AT243="","","")</f>
        <v/>
      </c>
      <c r="AP243" s="25" t="str">
        <f aca="false">IF(AT243="","","")</f>
        <v/>
      </c>
      <c r="AQ243" s="25" t="str">
        <f aca="false">IF(AT243="","","")</f>
        <v/>
      </c>
      <c r="AT243" s="27" t="str">
        <f aca="false">IFERROR(MATCH(43,入力シート!$T$5:$T$204,0),"")</f>
        <v/>
      </c>
    </row>
    <row r="244" customFormat="false" ht="15" hidden="false" customHeight="true" outlineLevel="0" collapsed="false">
      <c r="A244" s="25" t="str">
        <f aca="false">IF(AT244="","",1)</f>
        <v/>
      </c>
      <c r="B244" s="25" t="str">
        <f aca="false">IF(AT244="","",1)</f>
        <v/>
      </c>
      <c r="C244" s="25" t="str">
        <f aca="false">IF(AT244="","",0)</f>
        <v/>
      </c>
      <c r="D244" s="25" t="str">
        <f aca="false">IF(AT244="","",TEXT(INDEX(入力シート!$A$5:$A$204,AT244),"YYYYMMDD"))</f>
        <v/>
      </c>
      <c r="E244" s="25" t="str">
        <f aca="false">IF(AT244="","",TEXT(INDEX(入力シート!$Q$5:$Q$204,AT244),"00000000"))</f>
        <v/>
      </c>
      <c r="F244" s="25" t="str">
        <f aca="false">IF(AT244="","",14)</f>
        <v/>
      </c>
      <c r="G244" s="25" t="str">
        <f aca="false">IF(AT244="","",1)</f>
        <v/>
      </c>
      <c r="H244" s="25" t="str">
        <f aca="false">IF(AT244="","",1)</f>
        <v/>
      </c>
      <c r="I244" s="25" t="str">
        <f aca="false">IF(AT244="","",3)</f>
        <v/>
      </c>
      <c r="J244" s="25" t="str">
        <f aca="false">IF(AT244="","",1)</f>
        <v/>
      </c>
      <c r="K244" s="25" t="str">
        <f aca="false">IF(AT244="","",INDEX(入力シート!$B$5:$B$204,AT244))</f>
        <v/>
      </c>
      <c r="L244" s="25" t="str">
        <f aca="false">IF(AT244="","","")</f>
        <v/>
      </c>
      <c r="M244" s="25" t="str">
        <f aca="false">IF(AT244="","","")</f>
        <v/>
      </c>
      <c r="N244" s="25" t="str">
        <f aca="false">IF(AT244="","",COUNTIF(入力シート!$Q$5:$Q$204,INDEX(入力シート!$Q$5:$Q$204,AT244))+1)</f>
        <v/>
      </c>
      <c r="O244" s="25" t="str">
        <f aca="false">IF(AT244="","",99)</f>
        <v/>
      </c>
      <c r="P244" s="25" t="str">
        <f aca="false">IF(AT244="","","")</f>
        <v/>
      </c>
      <c r="Q244" s="25" t="str">
        <f aca="false">IF(AT244="","","")</f>
        <v/>
      </c>
      <c r="R244" s="25" t="str">
        <f aca="false">IF(AT244="","","消費税")</f>
        <v/>
      </c>
      <c r="S244" s="25" t="str">
        <f aca="false">IF(AT244="","",0)</f>
        <v/>
      </c>
      <c r="T244" s="25" t="str">
        <f aca="false">IF(AT244="","","")</f>
        <v/>
      </c>
      <c r="U244" s="25" t="str">
        <f aca="false">IF(AT244="","",0)</f>
        <v/>
      </c>
      <c r="V244" s="25" t="str">
        <f aca="false">IF(AT244="","",0)</f>
        <v/>
      </c>
      <c r="W244" s="25" t="str">
        <f aca="false">IF(AT244="","","")</f>
        <v/>
      </c>
      <c r="X244" s="25" t="str">
        <f aca="false">IF(AT244="","",0)</f>
        <v/>
      </c>
      <c r="Y244" s="25" t="str">
        <f aca="false">IF(AT244="","",0)</f>
        <v/>
      </c>
      <c r="Z244" s="25" t="str">
        <f aca="false">IF(AT244="","",ROUNDDOWN(SUMIF(入力シート!$Q$5:$Q$204,INDEX(入力シート!$Q$5:$Q$204,AT244),入力シート!$P$5:$P$204)*IF(INDEX(入力シート!$L$5:$L$204,AT244)=13,0.1,IF(INDEX(入力シート!$L$5:$L$204,AT244)=30,0.08,0)),0))</f>
        <v/>
      </c>
      <c r="AA244" s="25" t="str">
        <f aca="false">IF(AT244="","","")</f>
        <v/>
      </c>
      <c r="AB244" s="25" t="str">
        <f aca="false">IF(AT244="","",0)</f>
        <v/>
      </c>
      <c r="AC244" s="25" t="str">
        <f aca="false">IF(AT244="","",0)</f>
        <v/>
      </c>
      <c r="AD244" s="25" t="str">
        <f aca="false">IF(AT244="","",0)</f>
        <v/>
      </c>
      <c r="AE244" s="25" t="str">
        <f aca="false">IF(AT244="","","")</f>
        <v/>
      </c>
      <c r="AF244" s="25" t="str">
        <f aca="false">IF(AT244="","",0)</f>
        <v/>
      </c>
      <c r="AG244" s="25" t="str">
        <f aca="false">IF(AT244="","",0)</f>
        <v/>
      </c>
      <c r="AH244" s="25" t="str">
        <f aca="false">IF(AT244="","","")</f>
        <v/>
      </c>
      <c r="AI244" s="25" t="str">
        <f aca="false">IF(AT244="","","")</f>
        <v/>
      </c>
      <c r="AJ244" s="25" t="str">
        <f aca="false">IF(AT244="","","")</f>
        <v/>
      </c>
      <c r="AK244" s="25" t="str">
        <f aca="false">IF(AT244="","",2)</f>
        <v/>
      </c>
      <c r="AL244" s="25" t="str">
        <f aca="false">IF(AT244="","","")</f>
        <v/>
      </c>
      <c r="AM244" s="25" t="str">
        <f aca="false">IF(AT244="","","")</f>
        <v/>
      </c>
      <c r="AN244" s="25" t="str">
        <f aca="false">IF(AT244="","",INDEX(入力シート!$C$5:$C$204,AT244))</f>
        <v/>
      </c>
      <c r="AO244" s="25" t="str">
        <f aca="false">IF(AT244="","","")</f>
        <v/>
      </c>
      <c r="AP244" s="25" t="str">
        <f aca="false">IF(AT244="","","")</f>
        <v/>
      </c>
      <c r="AQ244" s="25" t="str">
        <f aca="false">IF(AT244="","","")</f>
        <v/>
      </c>
      <c r="AT244" s="27" t="str">
        <f aca="false">IFERROR(MATCH(44,入力シート!$T$5:$T$204,0),"")</f>
        <v/>
      </c>
    </row>
    <row r="245" customFormat="false" ht="15" hidden="false" customHeight="true" outlineLevel="0" collapsed="false">
      <c r="A245" s="25" t="str">
        <f aca="false">IF(AT245="","",1)</f>
        <v/>
      </c>
      <c r="B245" s="25" t="str">
        <f aca="false">IF(AT245="","",1)</f>
        <v/>
      </c>
      <c r="C245" s="25" t="str">
        <f aca="false">IF(AT245="","",0)</f>
        <v/>
      </c>
      <c r="D245" s="25" t="str">
        <f aca="false">IF(AT245="","",TEXT(INDEX(入力シート!$A$5:$A$204,AT245),"YYYYMMDD"))</f>
        <v/>
      </c>
      <c r="E245" s="25" t="str">
        <f aca="false">IF(AT245="","",TEXT(INDEX(入力シート!$Q$5:$Q$204,AT245),"00000000"))</f>
        <v/>
      </c>
      <c r="F245" s="25" t="str">
        <f aca="false">IF(AT245="","",14)</f>
        <v/>
      </c>
      <c r="G245" s="25" t="str">
        <f aca="false">IF(AT245="","",1)</f>
        <v/>
      </c>
      <c r="H245" s="25" t="str">
        <f aca="false">IF(AT245="","",1)</f>
        <v/>
      </c>
      <c r="I245" s="25" t="str">
        <f aca="false">IF(AT245="","",3)</f>
        <v/>
      </c>
      <c r="J245" s="25" t="str">
        <f aca="false">IF(AT245="","",1)</f>
        <v/>
      </c>
      <c r="K245" s="25" t="str">
        <f aca="false">IF(AT245="","",INDEX(入力シート!$B$5:$B$204,AT245))</f>
        <v/>
      </c>
      <c r="L245" s="25" t="str">
        <f aca="false">IF(AT245="","","")</f>
        <v/>
      </c>
      <c r="M245" s="25" t="str">
        <f aca="false">IF(AT245="","","")</f>
        <v/>
      </c>
      <c r="N245" s="25" t="str">
        <f aca="false">IF(AT245="","",COUNTIF(入力シート!$Q$5:$Q$204,INDEX(入力シート!$Q$5:$Q$204,AT245))+1)</f>
        <v/>
      </c>
      <c r="O245" s="25" t="str">
        <f aca="false">IF(AT245="","",99)</f>
        <v/>
      </c>
      <c r="P245" s="25" t="str">
        <f aca="false">IF(AT245="","","")</f>
        <v/>
      </c>
      <c r="Q245" s="25" t="str">
        <f aca="false">IF(AT245="","","")</f>
        <v/>
      </c>
      <c r="R245" s="25" t="str">
        <f aca="false">IF(AT245="","","消費税")</f>
        <v/>
      </c>
      <c r="S245" s="25" t="str">
        <f aca="false">IF(AT245="","",0)</f>
        <v/>
      </c>
      <c r="T245" s="25" t="str">
        <f aca="false">IF(AT245="","","")</f>
        <v/>
      </c>
      <c r="U245" s="25" t="str">
        <f aca="false">IF(AT245="","",0)</f>
        <v/>
      </c>
      <c r="V245" s="25" t="str">
        <f aca="false">IF(AT245="","",0)</f>
        <v/>
      </c>
      <c r="W245" s="25" t="str">
        <f aca="false">IF(AT245="","","")</f>
        <v/>
      </c>
      <c r="X245" s="25" t="str">
        <f aca="false">IF(AT245="","",0)</f>
        <v/>
      </c>
      <c r="Y245" s="25" t="str">
        <f aca="false">IF(AT245="","",0)</f>
        <v/>
      </c>
      <c r="Z245" s="25" t="str">
        <f aca="false">IF(AT245="","",ROUNDDOWN(SUMIF(入力シート!$Q$5:$Q$204,INDEX(入力シート!$Q$5:$Q$204,AT245),入力シート!$P$5:$P$204)*IF(INDEX(入力シート!$L$5:$L$204,AT245)=13,0.1,IF(INDEX(入力シート!$L$5:$L$204,AT245)=30,0.08,0)),0))</f>
        <v/>
      </c>
      <c r="AA245" s="25" t="str">
        <f aca="false">IF(AT245="","","")</f>
        <v/>
      </c>
      <c r="AB245" s="25" t="str">
        <f aca="false">IF(AT245="","",0)</f>
        <v/>
      </c>
      <c r="AC245" s="25" t="str">
        <f aca="false">IF(AT245="","",0)</f>
        <v/>
      </c>
      <c r="AD245" s="25" t="str">
        <f aca="false">IF(AT245="","",0)</f>
        <v/>
      </c>
      <c r="AE245" s="25" t="str">
        <f aca="false">IF(AT245="","","")</f>
        <v/>
      </c>
      <c r="AF245" s="25" t="str">
        <f aca="false">IF(AT245="","",0)</f>
        <v/>
      </c>
      <c r="AG245" s="25" t="str">
        <f aca="false">IF(AT245="","",0)</f>
        <v/>
      </c>
      <c r="AH245" s="25" t="str">
        <f aca="false">IF(AT245="","","")</f>
        <v/>
      </c>
      <c r="AI245" s="25" t="str">
        <f aca="false">IF(AT245="","","")</f>
        <v/>
      </c>
      <c r="AJ245" s="25" t="str">
        <f aca="false">IF(AT245="","","")</f>
        <v/>
      </c>
      <c r="AK245" s="25" t="str">
        <f aca="false">IF(AT245="","",2)</f>
        <v/>
      </c>
      <c r="AL245" s="25" t="str">
        <f aca="false">IF(AT245="","","")</f>
        <v/>
      </c>
      <c r="AM245" s="25" t="str">
        <f aca="false">IF(AT245="","","")</f>
        <v/>
      </c>
      <c r="AN245" s="25" t="str">
        <f aca="false">IF(AT245="","",INDEX(入力シート!$C$5:$C$204,AT245))</f>
        <v/>
      </c>
      <c r="AO245" s="25" t="str">
        <f aca="false">IF(AT245="","","")</f>
        <v/>
      </c>
      <c r="AP245" s="25" t="str">
        <f aca="false">IF(AT245="","","")</f>
        <v/>
      </c>
      <c r="AQ245" s="25" t="str">
        <f aca="false">IF(AT245="","","")</f>
        <v/>
      </c>
      <c r="AT245" s="27" t="str">
        <f aca="false">IFERROR(MATCH(45,入力シート!$T$5:$T$204,0),"")</f>
        <v/>
      </c>
    </row>
    <row r="246" customFormat="false" ht="15" hidden="false" customHeight="true" outlineLevel="0" collapsed="false">
      <c r="A246" s="25" t="str">
        <f aca="false">IF(AT246="","",1)</f>
        <v/>
      </c>
      <c r="B246" s="25" t="str">
        <f aca="false">IF(AT246="","",1)</f>
        <v/>
      </c>
      <c r="C246" s="25" t="str">
        <f aca="false">IF(AT246="","",0)</f>
        <v/>
      </c>
      <c r="D246" s="25" t="str">
        <f aca="false">IF(AT246="","",TEXT(INDEX(入力シート!$A$5:$A$204,AT246),"YYYYMMDD"))</f>
        <v/>
      </c>
      <c r="E246" s="25" t="str">
        <f aca="false">IF(AT246="","",TEXT(INDEX(入力シート!$Q$5:$Q$204,AT246),"00000000"))</f>
        <v/>
      </c>
      <c r="F246" s="25" t="str">
        <f aca="false">IF(AT246="","",14)</f>
        <v/>
      </c>
      <c r="G246" s="25" t="str">
        <f aca="false">IF(AT246="","",1)</f>
        <v/>
      </c>
      <c r="H246" s="25" t="str">
        <f aca="false">IF(AT246="","",1)</f>
        <v/>
      </c>
      <c r="I246" s="25" t="str">
        <f aca="false">IF(AT246="","",3)</f>
        <v/>
      </c>
      <c r="J246" s="25" t="str">
        <f aca="false">IF(AT246="","",1)</f>
        <v/>
      </c>
      <c r="K246" s="25" t="str">
        <f aca="false">IF(AT246="","",INDEX(入力シート!$B$5:$B$204,AT246))</f>
        <v/>
      </c>
      <c r="L246" s="25" t="str">
        <f aca="false">IF(AT246="","","")</f>
        <v/>
      </c>
      <c r="M246" s="25" t="str">
        <f aca="false">IF(AT246="","","")</f>
        <v/>
      </c>
      <c r="N246" s="25" t="str">
        <f aca="false">IF(AT246="","",COUNTIF(入力シート!$Q$5:$Q$204,INDEX(入力シート!$Q$5:$Q$204,AT246))+1)</f>
        <v/>
      </c>
      <c r="O246" s="25" t="str">
        <f aca="false">IF(AT246="","",99)</f>
        <v/>
      </c>
      <c r="P246" s="25" t="str">
        <f aca="false">IF(AT246="","","")</f>
        <v/>
      </c>
      <c r="Q246" s="25" t="str">
        <f aca="false">IF(AT246="","","")</f>
        <v/>
      </c>
      <c r="R246" s="25" t="str">
        <f aca="false">IF(AT246="","","消費税")</f>
        <v/>
      </c>
      <c r="S246" s="25" t="str">
        <f aca="false">IF(AT246="","",0)</f>
        <v/>
      </c>
      <c r="T246" s="25" t="str">
        <f aca="false">IF(AT246="","","")</f>
        <v/>
      </c>
      <c r="U246" s="25" t="str">
        <f aca="false">IF(AT246="","",0)</f>
        <v/>
      </c>
      <c r="V246" s="25" t="str">
        <f aca="false">IF(AT246="","",0)</f>
        <v/>
      </c>
      <c r="W246" s="25" t="str">
        <f aca="false">IF(AT246="","","")</f>
        <v/>
      </c>
      <c r="X246" s="25" t="str">
        <f aca="false">IF(AT246="","",0)</f>
        <v/>
      </c>
      <c r="Y246" s="25" t="str">
        <f aca="false">IF(AT246="","",0)</f>
        <v/>
      </c>
      <c r="Z246" s="25" t="str">
        <f aca="false">IF(AT246="","",ROUNDDOWN(SUMIF(入力シート!$Q$5:$Q$204,INDEX(入力シート!$Q$5:$Q$204,AT246),入力シート!$P$5:$P$204)*IF(INDEX(入力シート!$L$5:$L$204,AT246)=13,0.1,IF(INDEX(入力シート!$L$5:$L$204,AT246)=30,0.08,0)),0))</f>
        <v/>
      </c>
      <c r="AA246" s="25" t="str">
        <f aca="false">IF(AT246="","","")</f>
        <v/>
      </c>
      <c r="AB246" s="25" t="str">
        <f aca="false">IF(AT246="","",0)</f>
        <v/>
      </c>
      <c r="AC246" s="25" t="str">
        <f aca="false">IF(AT246="","",0)</f>
        <v/>
      </c>
      <c r="AD246" s="25" t="str">
        <f aca="false">IF(AT246="","",0)</f>
        <v/>
      </c>
      <c r="AE246" s="25" t="str">
        <f aca="false">IF(AT246="","","")</f>
        <v/>
      </c>
      <c r="AF246" s="25" t="str">
        <f aca="false">IF(AT246="","",0)</f>
        <v/>
      </c>
      <c r="AG246" s="25" t="str">
        <f aca="false">IF(AT246="","",0)</f>
        <v/>
      </c>
      <c r="AH246" s="25" t="str">
        <f aca="false">IF(AT246="","","")</f>
        <v/>
      </c>
      <c r="AI246" s="25" t="str">
        <f aca="false">IF(AT246="","","")</f>
        <v/>
      </c>
      <c r="AJ246" s="25" t="str">
        <f aca="false">IF(AT246="","","")</f>
        <v/>
      </c>
      <c r="AK246" s="25" t="str">
        <f aca="false">IF(AT246="","",2)</f>
        <v/>
      </c>
      <c r="AL246" s="25" t="str">
        <f aca="false">IF(AT246="","","")</f>
        <v/>
      </c>
      <c r="AM246" s="25" t="str">
        <f aca="false">IF(AT246="","","")</f>
        <v/>
      </c>
      <c r="AN246" s="25" t="str">
        <f aca="false">IF(AT246="","",INDEX(入力シート!$C$5:$C$204,AT246))</f>
        <v/>
      </c>
      <c r="AO246" s="25" t="str">
        <f aca="false">IF(AT246="","","")</f>
        <v/>
      </c>
      <c r="AP246" s="25" t="str">
        <f aca="false">IF(AT246="","","")</f>
        <v/>
      </c>
      <c r="AQ246" s="25" t="str">
        <f aca="false">IF(AT246="","","")</f>
        <v/>
      </c>
      <c r="AT246" s="27" t="str">
        <f aca="false">IFERROR(MATCH(46,入力シート!$T$5:$T$204,0),"")</f>
        <v/>
      </c>
    </row>
    <row r="247" customFormat="false" ht="15" hidden="false" customHeight="true" outlineLevel="0" collapsed="false">
      <c r="A247" s="25" t="str">
        <f aca="false">IF(AT247="","",1)</f>
        <v/>
      </c>
      <c r="B247" s="25" t="str">
        <f aca="false">IF(AT247="","",1)</f>
        <v/>
      </c>
      <c r="C247" s="25" t="str">
        <f aca="false">IF(AT247="","",0)</f>
        <v/>
      </c>
      <c r="D247" s="25" t="str">
        <f aca="false">IF(AT247="","",TEXT(INDEX(入力シート!$A$5:$A$204,AT247),"YYYYMMDD"))</f>
        <v/>
      </c>
      <c r="E247" s="25" t="str">
        <f aca="false">IF(AT247="","",TEXT(INDEX(入力シート!$Q$5:$Q$204,AT247),"00000000"))</f>
        <v/>
      </c>
      <c r="F247" s="25" t="str">
        <f aca="false">IF(AT247="","",14)</f>
        <v/>
      </c>
      <c r="G247" s="25" t="str">
        <f aca="false">IF(AT247="","",1)</f>
        <v/>
      </c>
      <c r="H247" s="25" t="str">
        <f aca="false">IF(AT247="","",1)</f>
        <v/>
      </c>
      <c r="I247" s="25" t="str">
        <f aca="false">IF(AT247="","",3)</f>
        <v/>
      </c>
      <c r="J247" s="25" t="str">
        <f aca="false">IF(AT247="","",1)</f>
        <v/>
      </c>
      <c r="K247" s="25" t="str">
        <f aca="false">IF(AT247="","",INDEX(入力シート!$B$5:$B$204,AT247))</f>
        <v/>
      </c>
      <c r="L247" s="25" t="str">
        <f aca="false">IF(AT247="","","")</f>
        <v/>
      </c>
      <c r="M247" s="25" t="str">
        <f aca="false">IF(AT247="","","")</f>
        <v/>
      </c>
      <c r="N247" s="25" t="str">
        <f aca="false">IF(AT247="","",COUNTIF(入力シート!$Q$5:$Q$204,INDEX(入力シート!$Q$5:$Q$204,AT247))+1)</f>
        <v/>
      </c>
      <c r="O247" s="25" t="str">
        <f aca="false">IF(AT247="","",99)</f>
        <v/>
      </c>
      <c r="P247" s="25" t="str">
        <f aca="false">IF(AT247="","","")</f>
        <v/>
      </c>
      <c r="Q247" s="25" t="str">
        <f aca="false">IF(AT247="","","")</f>
        <v/>
      </c>
      <c r="R247" s="25" t="str">
        <f aca="false">IF(AT247="","","消費税")</f>
        <v/>
      </c>
      <c r="S247" s="25" t="str">
        <f aca="false">IF(AT247="","",0)</f>
        <v/>
      </c>
      <c r="T247" s="25" t="str">
        <f aca="false">IF(AT247="","","")</f>
        <v/>
      </c>
      <c r="U247" s="25" t="str">
        <f aca="false">IF(AT247="","",0)</f>
        <v/>
      </c>
      <c r="V247" s="25" t="str">
        <f aca="false">IF(AT247="","",0)</f>
        <v/>
      </c>
      <c r="W247" s="25" t="str">
        <f aca="false">IF(AT247="","","")</f>
        <v/>
      </c>
      <c r="X247" s="25" t="str">
        <f aca="false">IF(AT247="","",0)</f>
        <v/>
      </c>
      <c r="Y247" s="25" t="str">
        <f aca="false">IF(AT247="","",0)</f>
        <v/>
      </c>
      <c r="Z247" s="25" t="str">
        <f aca="false">IF(AT247="","",ROUNDDOWN(SUMIF(入力シート!$Q$5:$Q$204,INDEX(入力シート!$Q$5:$Q$204,AT247),入力シート!$P$5:$P$204)*IF(INDEX(入力シート!$L$5:$L$204,AT247)=13,0.1,IF(INDEX(入力シート!$L$5:$L$204,AT247)=30,0.08,0)),0))</f>
        <v/>
      </c>
      <c r="AA247" s="25" t="str">
        <f aca="false">IF(AT247="","","")</f>
        <v/>
      </c>
      <c r="AB247" s="25" t="str">
        <f aca="false">IF(AT247="","",0)</f>
        <v/>
      </c>
      <c r="AC247" s="25" t="str">
        <f aca="false">IF(AT247="","",0)</f>
        <v/>
      </c>
      <c r="AD247" s="25" t="str">
        <f aca="false">IF(AT247="","",0)</f>
        <v/>
      </c>
      <c r="AE247" s="25" t="str">
        <f aca="false">IF(AT247="","","")</f>
        <v/>
      </c>
      <c r="AF247" s="25" t="str">
        <f aca="false">IF(AT247="","",0)</f>
        <v/>
      </c>
      <c r="AG247" s="25" t="str">
        <f aca="false">IF(AT247="","",0)</f>
        <v/>
      </c>
      <c r="AH247" s="25" t="str">
        <f aca="false">IF(AT247="","","")</f>
        <v/>
      </c>
      <c r="AI247" s="25" t="str">
        <f aca="false">IF(AT247="","","")</f>
        <v/>
      </c>
      <c r="AJ247" s="25" t="str">
        <f aca="false">IF(AT247="","","")</f>
        <v/>
      </c>
      <c r="AK247" s="25" t="str">
        <f aca="false">IF(AT247="","",2)</f>
        <v/>
      </c>
      <c r="AL247" s="25" t="str">
        <f aca="false">IF(AT247="","","")</f>
        <v/>
      </c>
      <c r="AM247" s="25" t="str">
        <f aca="false">IF(AT247="","","")</f>
        <v/>
      </c>
      <c r="AN247" s="25" t="str">
        <f aca="false">IF(AT247="","",INDEX(入力シート!$C$5:$C$204,AT247))</f>
        <v/>
      </c>
      <c r="AO247" s="25" t="str">
        <f aca="false">IF(AT247="","","")</f>
        <v/>
      </c>
      <c r="AP247" s="25" t="str">
        <f aca="false">IF(AT247="","","")</f>
        <v/>
      </c>
      <c r="AQ247" s="25" t="str">
        <f aca="false">IF(AT247="","","")</f>
        <v/>
      </c>
      <c r="AT247" s="27" t="str">
        <f aca="false">IFERROR(MATCH(47,入力シート!$T$5:$T$204,0),"")</f>
        <v/>
      </c>
    </row>
    <row r="248" customFormat="false" ht="15" hidden="false" customHeight="true" outlineLevel="0" collapsed="false">
      <c r="A248" s="25" t="str">
        <f aca="false">IF(AT248="","",1)</f>
        <v/>
      </c>
      <c r="B248" s="25" t="str">
        <f aca="false">IF(AT248="","",1)</f>
        <v/>
      </c>
      <c r="C248" s="25" t="str">
        <f aca="false">IF(AT248="","",0)</f>
        <v/>
      </c>
      <c r="D248" s="25" t="str">
        <f aca="false">IF(AT248="","",TEXT(INDEX(入力シート!$A$5:$A$204,AT248),"YYYYMMDD"))</f>
        <v/>
      </c>
      <c r="E248" s="25" t="str">
        <f aca="false">IF(AT248="","",TEXT(INDEX(入力シート!$Q$5:$Q$204,AT248),"00000000"))</f>
        <v/>
      </c>
      <c r="F248" s="25" t="str">
        <f aca="false">IF(AT248="","",14)</f>
        <v/>
      </c>
      <c r="G248" s="25" t="str">
        <f aca="false">IF(AT248="","",1)</f>
        <v/>
      </c>
      <c r="H248" s="25" t="str">
        <f aca="false">IF(AT248="","",1)</f>
        <v/>
      </c>
      <c r="I248" s="25" t="str">
        <f aca="false">IF(AT248="","",3)</f>
        <v/>
      </c>
      <c r="J248" s="25" t="str">
        <f aca="false">IF(AT248="","",1)</f>
        <v/>
      </c>
      <c r="K248" s="25" t="str">
        <f aca="false">IF(AT248="","",INDEX(入力シート!$B$5:$B$204,AT248))</f>
        <v/>
      </c>
      <c r="L248" s="25" t="str">
        <f aca="false">IF(AT248="","","")</f>
        <v/>
      </c>
      <c r="M248" s="25" t="str">
        <f aca="false">IF(AT248="","","")</f>
        <v/>
      </c>
      <c r="N248" s="25" t="str">
        <f aca="false">IF(AT248="","",COUNTIF(入力シート!$Q$5:$Q$204,INDEX(入力シート!$Q$5:$Q$204,AT248))+1)</f>
        <v/>
      </c>
      <c r="O248" s="25" t="str">
        <f aca="false">IF(AT248="","",99)</f>
        <v/>
      </c>
      <c r="P248" s="25" t="str">
        <f aca="false">IF(AT248="","","")</f>
        <v/>
      </c>
      <c r="Q248" s="25" t="str">
        <f aca="false">IF(AT248="","","")</f>
        <v/>
      </c>
      <c r="R248" s="25" t="str">
        <f aca="false">IF(AT248="","","消費税")</f>
        <v/>
      </c>
      <c r="S248" s="25" t="str">
        <f aca="false">IF(AT248="","",0)</f>
        <v/>
      </c>
      <c r="T248" s="25" t="str">
        <f aca="false">IF(AT248="","","")</f>
        <v/>
      </c>
      <c r="U248" s="25" t="str">
        <f aca="false">IF(AT248="","",0)</f>
        <v/>
      </c>
      <c r="V248" s="25" t="str">
        <f aca="false">IF(AT248="","",0)</f>
        <v/>
      </c>
      <c r="W248" s="25" t="str">
        <f aca="false">IF(AT248="","","")</f>
        <v/>
      </c>
      <c r="X248" s="25" t="str">
        <f aca="false">IF(AT248="","",0)</f>
        <v/>
      </c>
      <c r="Y248" s="25" t="str">
        <f aca="false">IF(AT248="","",0)</f>
        <v/>
      </c>
      <c r="Z248" s="25" t="str">
        <f aca="false">IF(AT248="","",ROUNDDOWN(SUMIF(入力シート!$Q$5:$Q$204,INDEX(入力シート!$Q$5:$Q$204,AT248),入力シート!$P$5:$P$204)*IF(INDEX(入力シート!$L$5:$L$204,AT248)=13,0.1,IF(INDEX(入力シート!$L$5:$L$204,AT248)=30,0.08,0)),0))</f>
        <v/>
      </c>
      <c r="AA248" s="25" t="str">
        <f aca="false">IF(AT248="","","")</f>
        <v/>
      </c>
      <c r="AB248" s="25" t="str">
        <f aca="false">IF(AT248="","",0)</f>
        <v/>
      </c>
      <c r="AC248" s="25" t="str">
        <f aca="false">IF(AT248="","",0)</f>
        <v/>
      </c>
      <c r="AD248" s="25" t="str">
        <f aca="false">IF(AT248="","",0)</f>
        <v/>
      </c>
      <c r="AE248" s="25" t="str">
        <f aca="false">IF(AT248="","","")</f>
        <v/>
      </c>
      <c r="AF248" s="25" t="str">
        <f aca="false">IF(AT248="","",0)</f>
        <v/>
      </c>
      <c r="AG248" s="25" t="str">
        <f aca="false">IF(AT248="","",0)</f>
        <v/>
      </c>
      <c r="AH248" s="25" t="str">
        <f aca="false">IF(AT248="","","")</f>
        <v/>
      </c>
      <c r="AI248" s="25" t="str">
        <f aca="false">IF(AT248="","","")</f>
        <v/>
      </c>
      <c r="AJ248" s="25" t="str">
        <f aca="false">IF(AT248="","","")</f>
        <v/>
      </c>
      <c r="AK248" s="25" t="str">
        <f aca="false">IF(AT248="","",2)</f>
        <v/>
      </c>
      <c r="AL248" s="25" t="str">
        <f aca="false">IF(AT248="","","")</f>
        <v/>
      </c>
      <c r="AM248" s="25" t="str">
        <f aca="false">IF(AT248="","","")</f>
        <v/>
      </c>
      <c r="AN248" s="25" t="str">
        <f aca="false">IF(AT248="","",INDEX(入力シート!$C$5:$C$204,AT248))</f>
        <v/>
      </c>
      <c r="AO248" s="25" t="str">
        <f aca="false">IF(AT248="","","")</f>
        <v/>
      </c>
      <c r="AP248" s="25" t="str">
        <f aca="false">IF(AT248="","","")</f>
        <v/>
      </c>
      <c r="AQ248" s="25" t="str">
        <f aca="false">IF(AT248="","","")</f>
        <v/>
      </c>
      <c r="AT248" s="27" t="str">
        <f aca="false">IFERROR(MATCH(48,入力シート!$T$5:$T$204,0),"")</f>
        <v/>
      </c>
    </row>
    <row r="249" customFormat="false" ht="15" hidden="false" customHeight="true" outlineLevel="0" collapsed="false">
      <c r="A249" s="25" t="str">
        <f aca="false">IF(AT249="","",1)</f>
        <v/>
      </c>
      <c r="B249" s="25" t="str">
        <f aca="false">IF(AT249="","",1)</f>
        <v/>
      </c>
      <c r="C249" s="25" t="str">
        <f aca="false">IF(AT249="","",0)</f>
        <v/>
      </c>
      <c r="D249" s="25" t="str">
        <f aca="false">IF(AT249="","",TEXT(INDEX(入力シート!$A$5:$A$204,AT249),"YYYYMMDD"))</f>
        <v/>
      </c>
      <c r="E249" s="25" t="str">
        <f aca="false">IF(AT249="","",TEXT(INDEX(入力シート!$Q$5:$Q$204,AT249),"00000000"))</f>
        <v/>
      </c>
      <c r="F249" s="25" t="str">
        <f aca="false">IF(AT249="","",14)</f>
        <v/>
      </c>
      <c r="G249" s="25" t="str">
        <f aca="false">IF(AT249="","",1)</f>
        <v/>
      </c>
      <c r="H249" s="25" t="str">
        <f aca="false">IF(AT249="","",1)</f>
        <v/>
      </c>
      <c r="I249" s="25" t="str">
        <f aca="false">IF(AT249="","",3)</f>
        <v/>
      </c>
      <c r="J249" s="25" t="str">
        <f aca="false">IF(AT249="","",1)</f>
        <v/>
      </c>
      <c r="K249" s="25" t="str">
        <f aca="false">IF(AT249="","",INDEX(入力シート!$B$5:$B$204,AT249))</f>
        <v/>
      </c>
      <c r="L249" s="25" t="str">
        <f aca="false">IF(AT249="","","")</f>
        <v/>
      </c>
      <c r="M249" s="25" t="str">
        <f aca="false">IF(AT249="","","")</f>
        <v/>
      </c>
      <c r="N249" s="25" t="str">
        <f aca="false">IF(AT249="","",COUNTIF(入力シート!$Q$5:$Q$204,INDEX(入力シート!$Q$5:$Q$204,AT249))+1)</f>
        <v/>
      </c>
      <c r="O249" s="25" t="str">
        <f aca="false">IF(AT249="","",99)</f>
        <v/>
      </c>
      <c r="P249" s="25" t="str">
        <f aca="false">IF(AT249="","","")</f>
        <v/>
      </c>
      <c r="Q249" s="25" t="str">
        <f aca="false">IF(AT249="","","")</f>
        <v/>
      </c>
      <c r="R249" s="25" t="str">
        <f aca="false">IF(AT249="","","消費税")</f>
        <v/>
      </c>
      <c r="S249" s="25" t="str">
        <f aca="false">IF(AT249="","",0)</f>
        <v/>
      </c>
      <c r="T249" s="25" t="str">
        <f aca="false">IF(AT249="","","")</f>
        <v/>
      </c>
      <c r="U249" s="25" t="str">
        <f aca="false">IF(AT249="","",0)</f>
        <v/>
      </c>
      <c r="V249" s="25" t="str">
        <f aca="false">IF(AT249="","",0)</f>
        <v/>
      </c>
      <c r="W249" s="25" t="str">
        <f aca="false">IF(AT249="","","")</f>
        <v/>
      </c>
      <c r="X249" s="25" t="str">
        <f aca="false">IF(AT249="","",0)</f>
        <v/>
      </c>
      <c r="Y249" s="25" t="str">
        <f aca="false">IF(AT249="","",0)</f>
        <v/>
      </c>
      <c r="Z249" s="25" t="str">
        <f aca="false">IF(AT249="","",ROUNDDOWN(SUMIF(入力シート!$Q$5:$Q$204,INDEX(入力シート!$Q$5:$Q$204,AT249),入力シート!$P$5:$P$204)*IF(INDEX(入力シート!$L$5:$L$204,AT249)=13,0.1,IF(INDEX(入力シート!$L$5:$L$204,AT249)=30,0.08,0)),0))</f>
        <v/>
      </c>
      <c r="AA249" s="25" t="str">
        <f aca="false">IF(AT249="","","")</f>
        <v/>
      </c>
      <c r="AB249" s="25" t="str">
        <f aca="false">IF(AT249="","",0)</f>
        <v/>
      </c>
      <c r="AC249" s="25" t="str">
        <f aca="false">IF(AT249="","",0)</f>
        <v/>
      </c>
      <c r="AD249" s="25" t="str">
        <f aca="false">IF(AT249="","",0)</f>
        <v/>
      </c>
      <c r="AE249" s="25" t="str">
        <f aca="false">IF(AT249="","","")</f>
        <v/>
      </c>
      <c r="AF249" s="25" t="str">
        <f aca="false">IF(AT249="","",0)</f>
        <v/>
      </c>
      <c r="AG249" s="25" t="str">
        <f aca="false">IF(AT249="","",0)</f>
        <v/>
      </c>
      <c r="AH249" s="25" t="str">
        <f aca="false">IF(AT249="","","")</f>
        <v/>
      </c>
      <c r="AI249" s="25" t="str">
        <f aca="false">IF(AT249="","","")</f>
        <v/>
      </c>
      <c r="AJ249" s="25" t="str">
        <f aca="false">IF(AT249="","","")</f>
        <v/>
      </c>
      <c r="AK249" s="25" t="str">
        <f aca="false">IF(AT249="","",2)</f>
        <v/>
      </c>
      <c r="AL249" s="25" t="str">
        <f aca="false">IF(AT249="","","")</f>
        <v/>
      </c>
      <c r="AM249" s="25" t="str">
        <f aca="false">IF(AT249="","","")</f>
        <v/>
      </c>
      <c r="AN249" s="25" t="str">
        <f aca="false">IF(AT249="","",INDEX(入力シート!$C$5:$C$204,AT249))</f>
        <v/>
      </c>
      <c r="AO249" s="25" t="str">
        <f aca="false">IF(AT249="","","")</f>
        <v/>
      </c>
      <c r="AP249" s="25" t="str">
        <f aca="false">IF(AT249="","","")</f>
        <v/>
      </c>
      <c r="AQ249" s="25" t="str">
        <f aca="false">IF(AT249="","","")</f>
        <v/>
      </c>
      <c r="AT249" s="27" t="str">
        <f aca="false">IFERROR(MATCH(49,入力シート!$T$5:$T$204,0),"")</f>
        <v/>
      </c>
    </row>
    <row r="250" customFormat="false" ht="15" hidden="false" customHeight="true" outlineLevel="0" collapsed="false">
      <c r="A250" s="25" t="str">
        <f aca="false">IF(AT250="","",1)</f>
        <v/>
      </c>
      <c r="B250" s="25" t="str">
        <f aca="false">IF(AT250="","",1)</f>
        <v/>
      </c>
      <c r="C250" s="25" t="str">
        <f aca="false">IF(AT250="","",0)</f>
        <v/>
      </c>
      <c r="D250" s="25" t="str">
        <f aca="false">IF(AT250="","",TEXT(INDEX(入力シート!$A$5:$A$204,AT250),"YYYYMMDD"))</f>
        <v/>
      </c>
      <c r="E250" s="25" t="str">
        <f aca="false">IF(AT250="","",TEXT(INDEX(入力シート!$Q$5:$Q$204,AT250),"00000000"))</f>
        <v/>
      </c>
      <c r="F250" s="25" t="str">
        <f aca="false">IF(AT250="","",14)</f>
        <v/>
      </c>
      <c r="G250" s="25" t="str">
        <f aca="false">IF(AT250="","",1)</f>
        <v/>
      </c>
      <c r="H250" s="25" t="str">
        <f aca="false">IF(AT250="","",1)</f>
        <v/>
      </c>
      <c r="I250" s="25" t="str">
        <f aca="false">IF(AT250="","",3)</f>
        <v/>
      </c>
      <c r="J250" s="25" t="str">
        <f aca="false">IF(AT250="","",1)</f>
        <v/>
      </c>
      <c r="K250" s="25" t="str">
        <f aca="false">IF(AT250="","",INDEX(入力シート!$B$5:$B$204,AT250))</f>
        <v/>
      </c>
      <c r="L250" s="25" t="str">
        <f aca="false">IF(AT250="","","")</f>
        <v/>
      </c>
      <c r="M250" s="25" t="str">
        <f aca="false">IF(AT250="","","")</f>
        <v/>
      </c>
      <c r="N250" s="25" t="str">
        <f aca="false">IF(AT250="","",COUNTIF(入力シート!$Q$5:$Q$204,INDEX(入力シート!$Q$5:$Q$204,AT250))+1)</f>
        <v/>
      </c>
      <c r="O250" s="25" t="str">
        <f aca="false">IF(AT250="","",99)</f>
        <v/>
      </c>
      <c r="P250" s="25" t="str">
        <f aca="false">IF(AT250="","","")</f>
        <v/>
      </c>
      <c r="Q250" s="25" t="str">
        <f aca="false">IF(AT250="","","")</f>
        <v/>
      </c>
      <c r="R250" s="25" t="str">
        <f aca="false">IF(AT250="","","消費税")</f>
        <v/>
      </c>
      <c r="S250" s="25" t="str">
        <f aca="false">IF(AT250="","",0)</f>
        <v/>
      </c>
      <c r="T250" s="25" t="str">
        <f aca="false">IF(AT250="","","")</f>
        <v/>
      </c>
      <c r="U250" s="25" t="str">
        <f aca="false">IF(AT250="","",0)</f>
        <v/>
      </c>
      <c r="V250" s="25" t="str">
        <f aca="false">IF(AT250="","",0)</f>
        <v/>
      </c>
      <c r="W250" s="25" t="str">
        <f aca="false">IF(AT250="","","")</f>
        <v/>
      </c>
      <c r="X250" s="25" t="str">
        <f aca="false">IF(AT250="","",0)</f>
        <v/>
      </c>
      <c r="Y250" s="25" t="str">
        <f aca="false">IF(AT250="","",0)</f>
        <v/>
      </c>
      <c r="Z250" s="25" t="str">
        <f aca="false">IF(AT250="","",ROUNDDOWN(SUMIF(入力シート!$Q$5:$Q$204,INDEX(入力シート!$Q$5:$Q$204,AT250),入力シート!$P$5:$P$204)*IF(INDEX(入力シート!$L$5:$L$204,AT250)=13,0.1,IF(INDEX(入力シート!$L$5:$L$204,AT250)=30,0.08,0)),0))</f>
        <v/>
      </c>
      <c r="AA250" s="25" t="str">
        <f aca="false">IF(AT250="","","")</f>
        <v/>
      </c>
      <c r="AB250" s="25" t="str">
        <f aca="false">IF(AT250="","",0)</f>
        <v/>
      </c>
      <c r="AC250" s="25" t="str">
        <f aca="false">IF(AT250="","",0)</f>
        <v/>
      </c>
      <c r="AD250" s="25" t="str">
        <f aca="false">IF(AT250="","",0)</f>
        <v/>
      </c>
      <c r="AE250" s="25" t="str">
        <f aca="false">IF(AT250="","","")</f>
        <v/>
      </c>
      <c r="AF250" s="25" t="str">
        <f aca="false">IF(AT250="","",0)</f>
        <v/>
      </c>
      <c r="AG250" s="25" t="str">
        <f aca="false">IF(AT250="","",0)</f>
        <v/>
      </c>
      <c r="AH250" s="25" t="str">
        <f aca="false">IF(AT250="","","")</f>
        <v/>
      </c>
      <c r="AI250" s="25" t="str">
        <f aca="false">IF(AT250="","","")</f>
        <v/>
      </c>
      <c r="AJ250" s="25" t="str">
        <f aca="false">IF(AT250="","","")</f>
        <v/>
      </c>
      <c r="AK250" s="25" t="str">
        <f aca="false">IF(AT250="","",2)</f>
        <v/>
      </c>
      <c r="AL250" s="25" t="str">
        <f aca="false">IF(AT250="","","")</f>
        <v/>
      </c>
      <c r="AM250" s="25" t="str">
        <f aca="false">IF(AT250="","","")</f>
        <v/>
      </c>
      <c r="AN250" s="25" t="str">
        <f aca="false">IF(AT250="","",INDEX(入力シート!$C$5:$C$204,AT250))</f>
        <v/>
      </c>
      <c r="AO250" s="25" t="str">
        <f aca="false">IF(AT250="","","")</f>
        <v/>
      </c>
      <c r="AP250" s="25" t="str">
        <f aca="false">IF(AT250="","","")</f>
        <v/>
      </c>
      <c r="AQ250" s="25" t="str">
        <f aca="false">IF(AT250="","","")</f>
        <v/>
      </c>
      <c r="AT250" s="27" t="str">
        <f aca="false">IFERROR(MATCH(50,入力シート!$T$5:$T$204,0),"")</f>
        <v/>
      </c>
    </row>
    <row r="251" customFormat="false" ht="15" hidden="false" customHeight="true" outlineLevel="0" collapsed="false">
      <c r="A251" s="25" t="str">
        <f aca="false">IF(AT251="","",1)</f>
        <v/>
      </c>
      <c r="B251" s="25" t="str">
        <f aca="false">IF(AT251="","",1)</f>
        <v/>
      </c>
      <c r="C251" s="25" t="str">
        <f aca="false">IF(AT251="","",0)</f>
        <v/>
      </c>
      <c r="D251" s="25" t="str">
        <f aca="false">IF(AT251="","",TEXT(INDEX(入力シート!$A$5:$A$204,AT251),"YYYYMMDD"))</f>
        <v/>
      </c>
      <c r="E251" s="25" t="str">
        <f aca="false">IF(AT251="","",TEXT(INDEX(入力シート!$Q$5:$Q$204,AT251),"00000000"))</f>
        <v/>
      </c>
      <c r="F251" s="25" t="str">
        <f aca="false">IF(AT251="","",14)</f>
        <v/>
      </c>
      <c r="G251" s="25" t="str">
        <f aca="false">IF(AT251="","",1)</f>
        <v/>
      </c>
      <c r="H251" s="25" t="str">
        <f aca="false">IF(AT251="","",1)</f>
        <v/>
      </c>
      <c r="I251" s="25" t="str">
        <f aca="false">IF(AT251="","",3)</f>
        <v/>
      </c>
      <c r="J251" s="25" t="str">
        <f aca="false">IF(AT251="","",1)</f>
        <v/>
      </c>
      <c r="K251" s="25" t="str">
        <f aca="false">IF(AT251="","",INDEX(入力シート!$B$5:$B$204,AT251))</f>
        <v/>
      </c>
      <c r="L251" s="25" t="str">
        <f aca="false">IF(AT251="","","")</f>
        <v/>
      </c>
      <c r="M251" s="25" t="str">
        <f aca="false">IF(AT251="","","")</f>
        <v/>
      </c>
      <c r="N251" s="25" t="str">
        <f aca="false">IF(AT251="","",COUNTIF(入力シート!$Q$5:$Q$204,INDEX(入力シート!$Q$5:$Q$204,AT251))+1)</f>
        <v/>
      </c>
      <c r="O251" s="25" t="str">
        <f aca="false">IF(AT251="","",99)</f>
        <v/>
      </c>
      <c r="P251" s="25" t="str">
        <f aca="false">IF(AT251="","","")</f>
        <v/>
      </c>
      <c r="Q251" s="25" t="str">
        <f aca="false">IF(AT251="","","")</f>
        <v/>
      </c>
      <c r="R251" s="25" t="str">
        <f aca="false">IF(AT251="","","消費税")</f>
        <v/>
      </c>
      <c r="S251" s="25" t="str">
        <f aca="false">IF(AT251="","",0)</f>
        <v/>
      </c>
      <c r="T251" s="25" t="str">
        <f aca="false">IF(AT251="","","")</f>
        <v/>
      </c>
      <c r="U251" s="25" t="str">
        <f aca="false">IF(AT251="","",0)</f>
        <v/>
      </c>
      <c r="V251" s="25" t="str">
        <f aca="false">IF(AT251="","",0)</f>
        <v/>
      </c>
      <c r="W251" s="25" t="str">
        <f aca="false">IF(AT251="","","")</f>
        <v/>
      </c>
      <c r="X251" s="25" t="str">
        <f aca="false">IF(AT251="","",0)</f>
        <v/>
      </c>
      <c r="Y251" s="25" t="str">
        <f aca="false">IF(AT251="","",0)</f>
        <v/>
      </c>
      <c r="Z251" s="25" t="str">
        <f aca="false">IF(AT251="","",ROUNDDOWN(SUMIF(入力シート!$Q$5:$Q$204,INDEX(入力シート!$Q$5:$Q$204,AT251),入力シート!$P$5:$P$204)*IF(INDEX(入力シート!$L$5:$L$204,AT251)=13,0.1,IF(INDEX(入力シート!$L$5:$L$204,AT251)=30,0.08,0)),0))</f>
        <v/>
      </c>
      <c r="AA251" s="25" t="str">
        <f aca="false">IF(AT251="","","")</f>
        <v/>
      </c>
      <c r="AB251" s="25" t="str">
        <f aca="false">IF(AT251="","",0)</f>
        <v/>
      </c>
      <c r="AC251" s="25" t="str">
        <f aca="false">IF(AT251="","",0)</f>
        <v/>
      </c>
      <c r="AD251" s="25" t="str">
        <f aca="false">IF(AT251="","",0)</f>
        <v/>
      </c>
      <c r="AE251" s="25" t="str">
        <f aca="false">IF(AT251="","","")</f>
        <v/>
      </c>
      <c r="AF251" s="25" t="str">
        <f aca="false">IF(AT251="","",0)</f>
        <v/>
      </c>
      <c r="AG251" s="25" t="str">
        <f aca="false">IF(AT251="","",0)</f>
        <v/>
      </c>
      <c r="AH251" s="25" t="str">
        <f aca="false">IF(AT251="","","")</f>
        <v/>
      </c>
      <c r="AI251" s="25" t="str">
        <f aca="false">IF(AT251="","","")</f>
        <v/>
      </c>
      <c r="AJ251" s="25" t="str">
        <f aca="false">IF(AT251="","","")</f>
        <v/>
      </c>
      <c r="AK251" s="25" t="str">
        <f aca="false">IF(AT251="","",2)</f>
        <v/>
      </c>
      <c r="AL251" s="25" t="str">
        <f aca="false">IF(AT251="","","")</f>
        <v/>
      </c>
      <c r="AM251" s="25" t="str">
        <f aca="false">IF(AT251="","","")</f>
        <v/>
      </c>
      <c r="AN251" s="25" t="str">
        <f aca="false">IF(AT251="","",INDEX(入力シート!$C$5:$C$204,AT251))</f>
        <v/>
      </c>
      <c r="AO251" s="25" t="str">
        <f aca="false">IF(AT251="","","")</f>
        <v/>
      </c>
      <c r="AP251" s="25" t="str">
        <f aca="false">IF(AT251="","","")</f>
        <v/>
      </c>
      <c r="AQ251" s="25" t="str">
        <f aca="false">IF(AT251="","","")</f>
        <v/>
      </c>
      <c r="AT251" s="27" t="str">
        <f aca="false">IFERROR(MATCH(51,入力シート!$T$5:$T$204,0),"")</f>
        <v/>
      </c>
    </row>
    <row r="252" customFormat="false" ht="15" hidden="false" customHeight="true" outlineLevel="0" collapsed="false">
      <c r="A252" s="25" t="str">
        <f aca="false">IF(AT252="","",1)</f>
        <v/>
      </c>
      <c r="B252" s="25" t="str">
        <f aca="false">IF(AT252="","",1)</f>
        <v/>
      </c>
      <c r="C252" s="25" t="str">
        <f aca="false">IF(AT252="","",0)</f>
        <v/>
      </c>
      <c r="D252" s="25" t="str">
        <f aca="false">IF(AT252="","",TEXT(INDEX(入力シート!$A$5:$A$204,AT252),"YYYYMMDD"))</f>
        <v/>
      </c>
      <c r="E252" s="25" t="str">
        <f aca="false">IF(AT252="","",TEXT(INDEX(入力シート!$Q$5:$Q$204,AT252),"00000000"))</f>
        <v/>
      </c>
      <c r="F252" s="25" t="str">
        <f aca="false">IF(AT252="","",14)</f>
        <v/>
      </c>
      <c r="G252" s="25" t="str">
        <f aca="false">IF(AT252="","",1)</f>
        <v/>
      </c>
      <c r="H252" s="25" t="str">
        <f aca="false">IF(AT252="","",1)</f>
        <v/>
      </c>
      <c r="I252" s="25" t="str">
        <f aca="false">IF(AT252="","",3)</f>
        <v/>
      </c>
      <c r="J252" s="25" t="str">
        <f aca="false">IF(AT252="","",1)</f>
        <v/>
      </c>
      <c r="K252" s="25" t="str">
        <f aca="false">IF(AT252="","",INDEX(入力シート!$B$5:$B$204,AT252))</f>
        <v/>
      </c>
      <c r="L252" s="25" t="str">
        <f aca="false">IF(AT252="","","")</f>
        <v/>
      </c>
      <c r="M252" s="25" t="str">
        <f aca="false">IF(AT252="","","")</f>
        <v/>
      </c>
      <c r="N252" s="25" t="str">
        <f aca="false">IF(AT252="","",COUNTIF(入力シート!$Q$5:$Q$204,INDEX(入力シート!$Q$5:$Q$204,AT252))+1)</f>
        <v/>
      </c>
      <c r="O252" s="25" t="str">
        <f aca="false">IF(AT252="","",99)</f>
        <v/>
      </c>
      <c r="P252" s="25" t="str">
        <f aca="false">IF(AT252="","","")</f>
        <v/>
      </c>
      <c r="Q252" s="25" t="str">
        <f aca="false">IF(AT252="","","")</f>
        <v/>
      </c>
      <c r="R252" s="25" t="str">
        <f aca="false">IF(AT252="","","消費税")</f>
        <v/>
      </c>
      <c r="S252" s="25" t="str">
        <f aca="false">IF(AT252="","",0)</f>
        <v/>
      </c>
      <c r="T252" s="25" t="str">
        <f aca="false">IF(AT252="","","")</f>
        <v/>
      </c>
      <c r="U252" s="25" t="str">
        <f aca="false">IF(AT252="","",0)</f>
        <v/>
      </c>
      <c r="V252" s="25" t="str">
        <f aca="false">IF(AT252="","",0)</f>
        <v/>
      </c>
      <c r="W252" s="25" t="str">
        <f aca="false">IF(AT252="","","")</f>
        <v/>
      </c>
      <c r="X252" s="25" t="str">
        <f aca="false">IF(AT252="","",0)</f>
        <v/>
      </c>
      <c r="Y252" s="25" t="str">
        <f aca="false">IF(AT252="","",0)</f>
        <v/>
      </c>
      <c r="Z252" s="25" t="str">
        <f aca="false">IF(AT252="","",ROUNDDOWN(SUMIF(入力シート!$Q$5:$Q$204,INDEX(入力シート!$Q$5:$Q$204,AT252),入力シート!$P$5:$P$204)*IF(INDEX(入力シート!$L$5:$L$204,AT252)=13,0.1,IF(INDEX(入力シート!$L$5:$L$204,AT252)=30,0.08,0)),0))</f>
        <v/>
      </c>
      <c r="AA252" s="25" t="str">
        <f aca="false">IF(AT252="","","")</f>
        <v/>
      </c>
      <c r="AB252" s="25" t="str">
        <f aca="false">IF(AT252="","",0)</f>
        <v/>
      </c>
      <c r="AC252" s="25" t="str">
        <f aca="false">IF(AT252="","",0)</f>
        <v/>
      </c>
      <c r="AD252" s="25" t="str">
        <f aca="false">IF(AT252="","",0)</f>
        <v/>
      </c>
      <c r="AE252" s="25" t="str">
        <f aca="false">IF(AT252="","","")</f>
        <v/>
      </c>
      <c r="AF252" s="25" t="str">
        <f aca="false">IF(AT252="","",0)</f>
        <v/>
      </c>
      <c r="AG252" s="25" t="str">
        <f aca="false">IF(AT252="","",0)</f>
        <v/>
      </c>
      <c r="AH252" s="25" t="str">
        <f aca="false">IF(AT252="","","")</f>
        <v/>
      </c>
      <c r="AI252" s="25" t="str">
        <f aca="false">IF(AT252="","","")</f>
        <v/>
      </c>
      <c r="AJ252" s="25" t="str">
        <f aca="false">IF(AT252="","","")</f>
        <v/>
      </c>
      <c r="AK252" s="25" t="str">
        <f aca="false">IF(AT252="","",2)</f>
        <v/>
      </c>
      <c r="AL252" s="25" t="str">
        <f aca="false">IF(AT252="","","")</f>
        <v/>
      </c>
      <c r="AM252" s="25" t="str">
        <f aca="false">IF(AT252="","","")</f>
        <v/>
      </c>
      <c r="AN252" s="25" t="str">
        <f aca="false">IF(AT252="","",INDEX(入力シート!$C$5:$C$204,AT252))</f>
        <v/>
      </c>
      <c r="AO252" s="25" t="str">
        <f aca="false">IF(AT252="","","")</f>
        <v/>
      </c>
      <c r="AP252" s="25" t="str">
        <f aca="false">IF(AT252="","","")</f>
        <v/>
      </c>
      <c r="AQ252" s="25" t="str">
        <f aca="false">IF(AT252="","","")</f>
        <v/>
      </c>
      <c r="AT252" s="27" t="str">
        <f aca="false">IFERROR(MATCH(52,入力シート!$T$5:$T$204,0),"")</f>
        <v/>
      </c>
    </row>
    <row r="253" customFormat="false" ht="15" hidden="false" customHeight="true" outlineLevel="0" collapsed="false">
      <c r="A253" s="25" t="str">
        <f aca="false">IF(AT253="","",1)</f>
        <v/>
      </c>
      <c r="B253" s="25" t="str">
        <f aca="false">IF(AT253="","",1)</f>
        <v/>
      </c>
      <c r="C253" s="25" t="str">
        <f aca="false">IF(AT253="","",0)</f>
        <v/>
      </c>
      <c r="D253" s="25" t="str">
        <f aca="false">IF(AT253="","",TEXT(INDEX(入力シート!$A$5:$A$204,AT253),"YYYYMMDD"))</f>
        <v/>
      </c>
      <c r="E253" s="25" t="str">
        <f aca="false">IF(AT253="","",TEXT(INDEX(入力シート!$Q$5:$Q$204,AT253),"00000000"))</f>
        <v/>
      </c>
      <c r="F253" s="25" t="str">
        <f aca="false">IF(AT253="","",14)</f>
        <v/>
      </c>
      <c r="G253" s="25" t="str">
        <f aca="false">IF(AT253="","",1)</f>
        <v/>
      </c>
      <c r="H253" s="25" t="str">
        <f aca="false">IF(AT253="","",1)</f>
        <v/>
      </c>
      <c r="I253" s="25" t="str">
        <f aca="false">IF(AT253="","",3)</f>
        <v/>
      </c>
      <c r="J253" s="25" t="str">
        <f aca="false">IF(AT253="","",1)</f>
        <v/>
      </c>
      <c r="K253" s="25" t="str">
        <f aca="false">IF(AT253="","",INDEX(入力シート!$B$5:$B$204,AT253))</f>
        <v/>
      </c>
      <c r="L253" s="25" t="str">
        <f aca="false">IF(AT253="","","")</f>
        <v/>
      </c>
      <c r="M253" s="25" t="str">
        <f aca="false">IF(AT253="","","")</f>
        <v/>
      </c>
      <c r="N253" s="25" t="str">
        <f aca="false">IF(AT253="","",COUNTIF(入力シート!$Q$5:$Q$204,INDEX(入力シート!$Q$5:$Q$204,AT253))+1)</f>
        <v/>
      </c>
      <c r="O253" s="25" t="str">
        <f aca="false">IF(AT253="","",99)</f>
        <v/>
      </c>
      <c r="P253" s="25" t="str">
        <f aca="false">IF(AT253="","","")</f>
        <v/>
      </c>
      <c r="Q253" s="25" t="str">
        <f aca="false">IF(AT253="","","")</f>
        <v/>
      </c>
      <c r="R253" s="25" t="str">
        <f aca="false">IF(AT253="","","消費税")</f>
        <v/>
      </c>
      <c r="S253" s="25" t="str">
        <f aca="false">IF(AT253="","",0)</f>
        <v/>
      </c>
      <c r="T253" s="25" t="str">
        <f aca="false">IF(AT253="","","")</f>
        <v/>
      </c>
      <c r="U253" s="25" t="str">
        <f aca="false">IF(AT253="","",0)</f>
        <v/>
      </c>
      <c r="V253" s="25" t="str">
        <f aca="false">IF(AT253="","",0)</f>
        <v/>
      </c>
      <c r="W253" s="25" t="str">
        <f aca="false">IF(AT253="","","")</f>
        <v/>
      </c>
      <c r="X253" s="25" t="str">
        <f aca="false">IF(AT253="","",0)</f>
        <v/>
      </c>
      <c r="Y253" s="25" t="str">
        <f aca="false">IF(AT253="","",0)</f>
        <v/>
      </c>
      <c r="Z253" s="25" t="str">
        <f aca="false">IF(AT253="","",ROUNDDOWN(SUMIF(入力シート!$Q$5:$Q$204,INDEX(入力シート!$Q$5:$Q$204,AT253),入力シート!$P$5:$P$204)*IF(INDEX(入力シート!$L$5:$L$204,AT253)=13,0.1,IF(INDEX(入力シート!$L$5:$L$204,AT253)=30,0.08,0)),0))</f>
        <v/>
      </c>
      <c r="AA253" s="25" t="str">
        <f aca="false">IF(AT253="","","")</f>
        <v/>
      </c>
      <c r="AB253" s="25" t="str">
        <f aca="false">IF(AT253="","",0)</f>
        <v/>
      </c>
      <c r="AC253" s="25" t="str">
        <f aca="false">IF(AT253="","",0)</f>
        <v/>
      </c>
      <c r="AD253" s="25" t="str">
        <f aca="false">IF(AT253="","",0)</f>
        <v/>
      </c>
      <c r="AE253" s="25" t="str">
        <f aca="false">IF(AT253="","","")</f>
        <v/>
      </c>
      <c r="AF253" s="25" t="str">
        <f aca="false">IF(AT253="","",0)</f>
        <v/>
      </c>
      <c r="AG253" s="25" t="str">
        <f aca="false">IF(AT253="","",0)</f>
        <v/>
      </c>
      <c r="AH253" s="25" t="str">
        <f aca="false">IF(AT253="","","")</f>
        <v/>
      </c>
      <c r="AI253" s="25" t="str">
        <f aca="false">IF(AT253="","","")</f>
        <v/>
      </c>
      <c r="AJ253" s="25" t="str">
        <f aca="false">IF(AT253="","","")</f>
        <v/>
      </c>
      <c r="AK253" s="25" t="str">
        <f aca="false">IF(AT253="","",2)</f>
        <v/>
      </c>
      <c r="AL253" s="25" t="str">
        <f aca="false">IF(AT253="","","")</f>
        <v/>
      </c>
      <c r="AM253" s="25" t="str">
        <f aca="false">IF(AT253="","","")</f>
        <v/>
      </c>
      <c r="AN253" s="25" t="str">
        <f aca="false">IF(AT253="","",INDEX(入力シート!$C$5:$C$204,AT253))</f>
        <v/>
      </c>
      <c r="AO253" s="25" t="str">
        <f aca="false">IF(AT253="","","")</f>
        <v/>
      </c>
      <c r="AP253" s="25" t="str">
        <f aca="false">IF(AT253="","","")</f>
        <v/>
      </c>
      <c r="AQ253" s="25" t="str">
        <f aca="false">IF(AT253="","","")</f>
        <v/>
      </c>
      <c r="AT253" s="27" t="str">
        <f aca="false">IFERROR(MATCH(53,入力シート!$T$5:$T$204,0),"")</f>
        <v/>
      </c>
    </row>
    <row r="254" customFormat="false" ht="15" hidden="false" customHeight="true" outlineLevel="0" collapsed="false">
      <c r="A254" s="25" t="str">
        <f aca="false">IF(AT254="","",1)</f>
        <v/>
      </c>
      <c r="B254" s="25" t="str">
        <f aca="false">IF(AT254="","",1)</f>
        <v/>
      </c>
      <c r="C254" s="25" t="str">
        <f aca="false">IF(AT254="","",0)</f>
        <v/>
      </c>
      <c r="D254" s="25" t="str">
        <f aca="false">IF(AT254="","",TEXT(INDEX(入力シート!$A$5:$A$204,AT254),"YYYYMMDD"))</f>
        <v/>
      </c>
      <c r="E254" s="25" t="str">
        <f aca="false">IF(AT254="","",TEXT(INDEX(入力シート!$Q$5:$Q$204,AT254),"00000000"))</f>
        <v/>
      </c>
      <c r="F254" s="25" t="str">
        <f aca="false">IF(AT254="","",14)</f>
        <v/>
      </c>
      <c r="G254" s="25" t="str">
        <f aca="false">IF(AT254="","",1)</f>
        <v/>
      </c>
      <c r="H254" s="25" t="str">
        <f aca="false">IF(AT254="","",1)</f>
        <v/>
      </c>
      <c r="I254" s="25" t="str">
        <f aca="false">IF(AT254="","",3)</f>
        <v/>
      </c>
      <c r="J254" s="25" t="str">
        <f aca="false">IF(AT254="","",1)</f>
        <v/>
      </c>
      <c r="K254" s="25" t="str">
        <f aca="false">IF(AT254="","",INDEX(入力シート!$B$5:$B$204,AT254))</f>
        <v/>
      </c>
      <c r="L254" s="25" t="str">
        <f aca="false">IF(AT254="","","")</f>
        <v/>
      </c>
      <c r="M254" s="25" t="str">
        <f aca="false">IF(AT254="","","")</f>
        <v/>
      </c>
      <c r="N254" s="25" t="str">
        <f aca="false">IF(AT254="","",COUNTIF(入力シート!$Q$5:$Q$204,INDEX(入力シート!$Q$5:$Q$204,AT254))+1)</f>
        <v/>
      </c>
      <c r="O254" s="25" t="str">
        <f aca="false">IF(AT254="","",99)</f>
        <v/>
      </c>
      <c r="P254" s="25" t="str">
        <f aca="false">IF(AT254="","","")</f>
        <v/>
      </c>
      <c r="Q254" s="25" t="str">
        <f aca="false">IF(AT254="","","")</f>
        <v/>
      </c>
      <c r="R254" s="25" t="str">
        <f aca="false">IF(AT254="","","消費税")</f>
        <v/>
      </c>
      <c r="S254" s="25" t="str">
        <f aca="false">IF(AT254="","",0)</f>
        <v/>
      </c>
      <c r="T254" s="25" t="str">
        <f aca="false">IF(AT254="","","")</f>
        <v/>
      </c>
      <c r="U254" s="25" t="str">
        <f aca="false">IF(AT254="","",0)</f>
        <v/>
      </c>
      <c r="V254" s="25" t="str">
        <f aca="false">IF(AT254="","",0)</f>
        <v/>
      </c>
      <c r="W254" s="25" t="str">
        <f aca="false">IF(AT254="","","")</f>
        <v/>
      </c>
      <c r="X254" s="25" t="str">
        <f aca="false">IF(AT254="","",0)</f>
        <v/>
      </c>
      <c r="Y254" s="25" t="str">
        <f aca="false">IF(AT254="","",0)</f>
        <v/>
      </c>
      <c r="Z254" s="25" t="str">
        <f aca="false">IF(AT254="","",ROUNDDOWN(SUMIF(入力シート!$Q$5:$Q$204,INDEX(入力シート!$Q$5:$Q$204,AT254),入力シート!$P$5:$P$204)*IF(INDEX(入力シート!$L$5:$L$204,AT254)=13,0.1,IF(INDEX(入力シート!$L$5:$L$204,AT254)=30,0.08,0)),0))</f>
        <v/>
      </c>
      <c r="AA254" s="25" t="str">
        <f aca="false">IF(AT254="","","")</f>
        <v/>
      </c>
      <c r="AB254" s="25" t="str">
        <f aca="false">IF(AT254="","",0)</f>
        <v/>
      </c>
      <c r="AC254" s="25" t="str">
        <f aca="false">IF(AT254="","",0)</f>
        <v/>
      </c>
      <c r="AD254" s="25" t="str">
        <f aca="false">IF(AT254="","",0)</f>
        <v/>
      </c>
      <c r="AE254" s="25" t="str">
        <f aca="false">IF(AT254="","","")</f>
        <v/>
      </c>
      <c r="AF254" s="25" t="str">
        <f aca="false">IF(AT254="","",0)</f>
        <v/>
      </c>
      <c r="AG254" s="25" t="str">
        <f aca="false">IF(AT254="","",0)</f>
        <v/>
      </c>
      <c r="AH254" s="25" t="str">
        <f aca="false">IF(AT254="","","")</f>
        <v/>
      </c>
      <c r="AI254" s="25" t="str">
        <f aca="false">IF(AT254="","","")</f>
        <v/>
      </c>
      <c r="AJ254" s="25" t="str">
        <f aca="false">IF(AT254="","","")</f>
        <v/>
      </c>
      <c r="AK254" s="25" t="str">
        <f aca="false">IF(AT254="","",2)</f>
        <v/>
      </c>
      <c r="AL254" s="25" t="str">
        <f aca="false">IF(AT254="","","")</f>
        <v/>
      </c>
      <c r="AM254" s="25" t="str">
        <f aca="false">IF(AT254="","","")</f>
        <v/>
      </c>
      <c r="AN254" s="25" t="str">
        <f aca="false">IF(AT254="","",INDEX(入力シート!$C$5:$C$204,AT254))</f>
        <v/>
      </c>
      <c r="AO254" s="25" t="str">
        <f aca="false">IF(AT254="","","")</f>
        <v/>
      </c>
      <c r="AP254" s="25" t="str">
        <f aca="false">IF(AT254="","","")</f>
        <v/>
      </c>
      <c r="AQ254" s="25" t="str">
        <f aca="false">IF(AT254="","","")</f>
        <v/>
      </c>
      <c r="AT254" s="27" t="str">
        <f aca="false">IFERROR(MATCH(54,入力シート!$T$5:$T$204,0),"")</f>
        <v/>
      </c>
    </row>
    <row r="255" customFormat="false" ht="15" hidden="false" customHeight="true" outlineLevel="0" collapsed="false">
      <c r="A255" s="25" t="str">
        <f aca="false">IF(AT255="","",1)</f>
        <v/>
      </c>
      <c r="B255" s="25" t="str">
        <f aca="false">IF(AT255="","",1)</f>
        <v/>
      </c>
      <c r="C255" s="25" t="str">
        <f aca="false">IF(AT255="","",0)</f>
        <v/>
      </c>
      <c r="D255" s="25" t="str">
        <f aca="false">IF(AT255="","",TEXT(INDEX(入力シート!$A$5:$A$204,AT255),"YYYYMMDD"))</f>
        <v/>
      </c>
      <c r="E255" s="25" t="str">
        <f aca="false">IF(AT255="","",TEXT(INDEX(入力シート!$Q$5:$Q$204,AT255),"00000000"))</f>
        <v/>
      </c>
      <c r="F255" s="25" t="str">
        <f aca="false">IF(AT255="","",14)</f>
        <v/>
      </c>
      <c r="G255" s="25" t="str">
        <f aca="false">IF(AT255="","",1)</f>
        <v/>
      </c>
      <c r="H255" s="25" t="str">
        <f aca="false">IF(AT255="","",1)</f>
        <v/>
      </c>
      <c r="I255" s="25" t="str">
        <f aca="false">IF(AT255="","",3)</f>
        <v/>
      </c>
      <c r="J255" s="25" t="str">
        <f aca="false">IF(AT255="","",1)</f>
        <v/>
      </c>
      <c r="K255" s="25" t="str">
        <f aca="false">IF(AT255="","",INDEX(入力シート!$B$5:$B$204,AT255))</f>
        <v/>
      </c>
      <c r="L255" s="25" t="str">
        <f aca="false">IF(AT255="","","")</f>
        <v/>
      </c>
      <c r="M255" s="25" t="str">
        <f aca="false">IF(AT255="","","")</f>
        <v/>
      </c>
      <c r="N255" s="25" t="str">
        <f aca="false">IF(AT255="","",COUNTIF(入力シート!$Q$5:$Q$204,INDEX(入力シート!$Q$5:$Q$204,AT255))+1)</f>
        <v/>
      </c>
      <c r="O255" s="25" t="str">
        <f aca="false">IF(AT255="","",99)</f>
        <v/>
      </c>
      <c r="P255" s="25" t="str">
        <f aca="false">IF(AT255="","","")</f>
        <v/>
      </c>
      <c r="Q255" s="25" t="str">
        <f aca="false">IF(AT255="","","")</f>
        <v/>
      </c>
      <c r="R255" s="25" t="str">
        <f aca="false">IF(AT255="","","消費税")</f>
        <v/>
      </c>
      <c r="S255" s="25" t="str">
        <f aca="false">IF(AT255="","",0)</f>
        <v/>
      </c>
      <c r="T255" s="25" t="str">
        <f aca="false">IF(AT255="","","")</f>
        <v/>
      </c>
      <c r="U255" s="25" t="str">
        <f aca="false">IF(AT255="","",0)</f>
        <v/>
      </c>
      <c r="V255" s="25" t="str">
        <f aca="false">IF(AT255="","",0)</f>
        <v/>
      </c>
      <c r="W255" s="25" t="str">
        <f aca="false">IF(AT255="","","")</f>
        <v/>
      </c>
      <c r="X255" s="25" t="str">
        <f aca="false">IF(AT255="","",0)</f>
        <v/>
      </c>
      <c r="Y255" s="25" t="str">
        <f aca="false">IF(AT255="","",0)</f>
        <v/>
      </c>
      <c r="Z255" s="25" t="str">
        <f aca="false">IF(AT255="","",ROUNDDOWN(SUMIF(入力シート!$Q$5:$Q$204,INDEX(入力シート!$Q$5:$Q$204,AT255),入力シート!$P$5:$P$204)*IF(INDEX(入力シート!$L$5:$L$204,AT255)=13,0.1,IF(INDEX(入力シート!$L$5:$L$204,AT255)=30,0.08,0)),0))</f>
        <v/>
      </c>
      <c r="AA255" s="25" t="str">
        <f aca="false">IF(AT255="","","")</f>
        <v/>
      </c>
      <c r="AB255" s="25" t="str">
        <f aca="false">IF(AT255="","",0)</f>
        <v/>
      </c>
      <c r="AC255" s="25" t="str">
        <f aca="false">IF(AT255="","",0)</f>
        <v/>
      </c>
      <c r="AD255" s="25" t="str">
        <f aca="false">IF(AT255="","",0)</f>
        <v/>
      </c>
      <c r="AE255" s="25" t="str">
        <f aca="false">IF(AT255="","","")</f>
        <v/>
      </c>
      <c r="AF255" s="25" t="str">
        <f aca="false">IF(AT255="","",0)</f>
        <v/>
      </c>
      <c r="AG255" s="25" t="str">
        <f aca="false">IF(AT255="","",0)</f>
        <v/>
      </c>
      <c r="AH255" s="25" t="str">
        <f aca="false">IF(AT255="","","")</f>
        <v/>
      </c>
      <c r="AI255" s="25" t="str">
        <f aca="false">IF(AT255="","","")</f>
        <v/>
      </c>
      <c r="AJ255" s="25" t="str">
        <f aca="false">IF(AT255="","","")</f>
        <v/>
      </c>
      <c r="AK255" s="25" t="str">
        <f aca="false">IF(AT255="","",2)</f>
        <v/>
      </c>
      <c r="AL255" s="25" t="str">
        <f aca="false">IF(AT255="","","")</f>
        <v/>
      </c>
      <c r="AM255" s="25" t="str">
        <f aca="false">IF(AT255="","","")</f>
        <v/>
      </c>
      <c r="AN255" s="25" t="str">
        <f aca="false">IF(AT255="","",INDEX(入力シート!$C$5:$C$204,AT255))</f>
        <v/>
      </c>
      <c r="AO255" s="25" t="str">
        <f aca="false">IF(AT255="","","")</f>
        <v/>
      </c>
      <c r="AP255" s="25" t="str">
        <f aca="false">IF(AT255="","","")</f>
        <v/>
      </c>
      <c r="AQ255" s="25" t="str">
        <f aca="false">IF(AT255="","","")</f>
        <v/>
      </c>
      <c r="AT255" s="27" t="str">
        <f aca="false">IFERROR(MATCH(55,入力シート!$T$5:$T$204,0),"")</f>
        <v/>
      </c>
    </row>
    <row r="256" customFormat="false" ht="15" hidden="false" customHeight="true" outlineLevel="0" collapsed="false">
      <c r="A256" s="25" t="str">
        <f aca="false">IF(AT256="","",1)</f>
        <v/>
      </c>
      <c r="B256" s="25" t="str">
        <f aca="false">IF(AT256="","",1)</f>
        <v/>
      </c>
      <c r="C256" s="25" t="str">
        <f aca="false">IF(AT256="","",0)</f>
        <v/>
      </c>
      <c r="D256" s="25" t="str">
        <f aca="false">IF(AT256="","",TEXT(INDEX(入力シート!$A$5:$A$204,AT256),"YYYYMMDD"))</f>
        <v/>
      </c>
      <c r="E256" s="25" t="str">
        <f aca="false">IF(AT256="","",TEXT(INDEX(入力シート!$Q$5:$Q$204,AT256),"00000000"))</f>
        <v/>
      </c>
      <c r="F256" s="25" t="str">
        <f aca="false">IF(AT256="","",14)</f>
        <v/>
      </c>
      <c r="G256" s="25" t="str">
        <f aca="false">IF(AT256="","",1)</f>
        <v/>
      </c>
      <c r="H256" s="25" t="str">
        <f aca="false">IF(AT256="","",1)</f>
        <v/>
      </c>
      <c r="I256" s="25" t="str">
        <f aca="false">IF(AT256="","",3)</f>
        <v/>
      </c>
      <c r="J256" s="25" t="str">
        <f aca="false">IF(AT256="","",1)</f>
        <v/>
      </c>
      <c r="K256" s="25" t="str">
        <f aca="false">IF(AT256="","",INDEX(入力シート!$B$5:$B$204,AT256))</f>
        <v/>
      </c>
      <c r="L256" s="25" t="str">
        <f aca="false">IF(AT256="","","")</f>
        <v/>
      </c>
      <c r="M256" s="25" t="str">
        <f aca="false">IF(AT256="","","")</f>
        <v/>
      </c>
      <c r="N256" s="25" t="str">
        <f aca="false">IF(AT256="","",COUNTIF(入力シート!$Q$5:$Q$204,INDEX(入力シート!$Q$5:$Q$204,AT256))+1)</f>
        <v/>
      </c>
      <c r="O256" s="25" t="str">
        <f aca="false">IF(AT256="","",99)</f>
        <v/>
      </c>
      <c r="P256" s="25" t="str">
        <f aca="false">IF(AT256="","","")</f>
        <v/>
      </c>
      <c r="Q256" s="25" t="str">
        <f aca="false">IF(AT256="","","")</f>
        <v/>
      </c>
      <c r="R256" s="25" t="str">
        <f aca="false">IF(AT256="","","消費税")</f>
        <v/>
      </c>
      <c r="S256" s="25" t="str">
        <f aca="false">IF(AT256="","",0)</f>
        <v/>
      </c>
      <c r="T256" s="25" t="str">
        <f aca="false">IF(AT256="","","")</f>
        <v/>
      </c>
      <c r="U256" s="25" t="str">
        <f aca="false">IF(AT256="","",0)</f>
        <v/>
      </c>
      <c r="V256" s="25" t="str">
        <f aca="false">IF(AT256="","",0)</f>
        <v/>
      </c>
      <c r="W256" s="25" t="str">
        <f aca="false">IF(AT256="","","")</f>
        <v/>
      </c>
      <c r="X256" s="25" t="str">
        <f aca="false">IF(AT256="","",0)</f>
        <v/>
      </c>
      <c r="Y256" s="25" t="str">
        <f aca="false">IF(AT256="","",0)</f>
        <v/>
      </c>
      <c r="Z256" s="25" t="str">
        <f aca="false">IF(AT256="","",ROUNDDOWN(SUMIF(入力シート!$Q$5:$Q$204,INDEX(入力シート!$Q$5:$Q$204,AT256),入力シート!$P$5:$P$204)*IF(INDEX(入力シート!$L$5:$L$204,AT256)=13,0.1,IF(INDEX(入力シート!$L$5:$L$204,AT256)=30,0.08,0)),0))</f>
        <v/>
      </c>
      <c r="AA256" s="25" t="str">
        <f aca="false">IF(AT256="","","")</f>
        <v/>
      </c>
      <c r="AB256" s="25" t="str">
        <f aca="false">IF(AT256="","",0)</f>
        <v/>
      </c>
      <c r="AC256" s="25" t="str">
        <f aca="false">IF(AT256="","",0)</f>
        <v/>
      </c>
      <c r="AD256" s="25" t="str">
        <f aca="false">IF(AT256="","",0)</f>
        <v/>
      </c>
      <c r="AE256" s="25" t="str">
        <f aca="false">IF(AT256="","","")</f>
        <v/>
      </c>
      <c r="AF256" s="25" t="str">
        <f aca="false">IF(AT256="","",0)</f>
        <v/>
      </c>
      <c r="AG256" s="25" t="str">
        <f aca="false">IF(AT256="","",0)</f>
        <v/>
      </c>
      <c r="AH256" s="25" t="str">
        <f aca="false">IF(AT256="","","")</f>
        <v/>
      </c>
      <c r="AI256" s="25" t="str">
        <f aca="false">IF(AT256="","","")</f>
        <v/>
      </c>
      <c r="AJ256" s="25" t="str">
        <f aca="false">IF(AT256="","","")</f>
        <v/>
      </c>
      <c r="AK256" s="25" t="str">
        <f aca="false">IF(AT256="","",2)</f>
        <v/>
      </c>
      <c r="AL256" s="25" t="str">
        <f aca="false">IF(AT256="","","")</f>
        <v/>
      </c>
      <c r="AM256" s="25" t="str">
        <f aca="false">IF(AT256="","","")</f>
        <v/>
      </c>
      <c r="AN256" s="25" t="str">
        <f aca="false">IF(AT256="","",INDEX(入力シート!$C$5:$C$204,AT256))</f>
        <v/>
      </c>
      <c r="AO256" s="25" t="str">
        <f aca="false">IF(AT256="","","")</f>
        <v/>
      </c>
      <c r="AP256" s="25" t="str">
        <f aca="false">IF(AT256="","","")</f>
        <v/>
      </c>
      <c r="AQ256" s="25" t="str">
        <f aca="false">IF(AT256="","","")</f>
        <v/>
      </c>
      <c r="AT256" s="27" t="str">
        <f aca="false">IFERROR(MATCH(56,入力シート!$T$5:$T$204,0),"")</f>
        <v/>
      </c>
    </row>
    <row r="257" customFormat="false" ht="15" hidden="false" customHeight="true" outlineLevel="0" collapsed="false">
      <c r="A257" s="25" t="str">
        <f aca="false">IF(AT257="","",1)</f>
        <v/>
      </c>
      <c r="B257" s="25" t="str">
        <f aca="false">IF(AT257="","",1)</f>
        <v/>
      </c>
      <c r="C257" s="25" t="str">
        <f aca="false">IF(AT257="","",0)</f>
        <v/>
      </c>
      <c r="D257" s="25" t="str">
        <f aca="false">IF(AT257="","",TEXT(INDEX(入力シート!$A$5:$A$204,AT257),"YYYYMMDD"))</f>
        <v/>
      </c>
      <c r="E257" s="25" t="str">
        <f aca="false">IF(AT257="","",TEXT(INDEX(入力シート!$Q$5:$Q$204,AT257),"00000000"))</f>
        <v/>
      </c>
      <c r="F257" s="25" t="str">
        <f aca="false">IF(AT257="","",14)</f>
        <v/>
      </c>
      <c r="G257" s="25" t="str">
        <f aca="false">IF(AT257="","",1)</f>
        <v/>
      </c>
      <c r="H257" s="25" t="str">
        <f aca="false">IF(AT257="","",1)</f>
        <v/>
      </c>
      <c r="I257" s="25" t="str">
        <f aca="false">IF(AT257="","",3)</f>
        <v/>
      </c>
      <c r="J257" s="25" t="str">
        <f aca="false">IF(AT257="","",1)</f>
        <v/>
      </c>
      <c r="K257" s="25" t="str">
        <f aca="false">IF(AT257="","",INDEX(入力シート!$B$5:$B$204,AT257))</f>
        <v/>
      </c>
      <c r="L257" s="25" t="str">
        <f aca="false">IF(AT257="","","")</f>
        <v/>
      </c>
      <c r="M257" s="25" t="str">
        <f aca="false">IF(AT257="","","")</f>
        <v/>
      </c>
      <c r="N257" s="25" t="str">
        <f aca="false">IF(AT257="","",COUNTIF(入力シート!$Q$5:$Q$204,INDEX(入力シート!$Q$5:$Q$204,AT257))+1)</f>
        <v/>
      </c>
      <c r="O257" s="25" t="str">
        <f aca="false">IF(AT257="","",99)</f>
        <v/>
      </c>
      <c r="P257" s="25" t="str">
        <f aca="false">IF(AT257="","","")</f>
        <v/>
      </c>
      <c r="Q257" s="25" t="str">
        <f aca="false">IF(AT257="","","")</f>
        <v/>
      </c>
      <c r="R257" s="25" t="str">
        <f aca="false">IF(AT257="","","消費税")</f>
        <v/>
      </c>
      <c r="S257" s="25" t="str">
        <f aca="false">IF(AT257="","",0)</f>
        <v/>
      </c>
      <c r="T257" s="25" t="str">
        <f aca="false">IF(AT257="","","")</f>
        <v/>
      </c>
      <c r="U257" s="25" t="str">
        <f aca="false">IF(AT257="","",0)</f>
        <v/>
      </c>
      <c r="V257" s="25" t="str">
        <f aca="false">IF(AT257="","",0)</f>
        <v/>
      </c>
      <c r="W257" s="25" t="str">
        <f aca="false">IF(AT257="","","")</f>
        <v/>
      </c>
      <c r="X257" s="25" t="str">
        <f aca="false">IF(AT257="","",0)</f>
        <v/>
      </c>
      <c r="Y257" s="25" t="str">
        <f aca="false">IF(AT257="","",0)</f>
        <v/>
      </c>
      <c r="Z257" s="25" t="str">
        <f aca="false">IF(AT257="","",ROUNDDOWN(SUMIF(入力シート!$Q$5:$Q$204,INDEX(入力シート!$Q$5:$Q$204,AT257),入力シート!$P$5:$P$204)*IF(INDEX(入力シート!$L$5:$L$204,AT257)=13,0.1,IF(INDEX(入力シート!$L$5:$L$204,AT257)=30,0.08,0)),0))</f>
        <v/>
      </c>
      <c r="AA257" s="25" t="str">
        <f aca="false">IF(AT257="","","")</f>
        <v/>
      </c>
      <c r="AB257" s="25" t="str">
        <f aca="false">IF(AT257="","",0)</f>
        <v/>
      </c>
      <c r="AC257" s="25" t="str">
        <f aca="false">IF(AT257="","",0)</f>
        <v/>
      </c>
      <c r="AD257" s="25" t="str">
        <f aca="false">IF(AT257="","",0)</f>
        <v/>
      </c>
      <c r="AE257" s="25" t="str">
        <f aca="false">IF(AT257="","","")</f>
        <v/>
      </c>
      <c r="AF257" s="25" t="str">
        <f aca="false">IF(AT257="","",0)</f>
        <v/>
      </c>
      <c r="AG257" s="25" t="str">
        <f aca="false">IF(AT257="","",0)</f>
        <v/>
      </c>
      <c r="AH257" s="25" t="str">
        <f aca="false">IF(AT257="","","")</f>
        <v/>
      </c>
      <c r="AI257" s="25" t="str">
        <f aca="false">IF(AT257="","","")</f>
        <v/>
      </c>
      <c r="AJ257" s="25" t="str">
        <f aca="false">IF(AT257="","","")</f>
        <v/>
      </c>
      <c r="AK257" s="25" t="str">
        <f aca="false">IF(AT257="","",2)</f>
        <v/>
      </c>
      <c r="AL257" s="25" t="str">
        <f aca="false">IF(AT257="","","")</f>
        <v/>
      </c>
      <c r="AM257" s="25" t="str">
        <f aca="false">IF(AT257="","","")</f>
        <v/>
      </c>
      <c r="AN257" s="25" t="str">
        <f aca="false">IF(AT257="","",INDEX(入力シート!$C$5:$C$204,AT257))</f>
        <v/>
      </c>
      <c r="AO257" s="25" t="str">
        <f aca="false">IF(AT257="","","")</f>
        <v/>
      </c>
      <c r="AP257" s="25" t="str">
        <f aca="false">IF(AT257="","","")</f>
        <v/>
      </c>
      <c r="AQ257" s="25" t="str">
        <f aca="false">IF(AT257="","","")</f>
        <v/>
      </c>
      <c r="AT257" s="27" t="str">
        <f aca="false">IFERROR(MATCH(57,入力シート!$T$5:$T$204,0),"")</f>
        <v/>
      </c>
    </row>
    <row r="258" customFormat="false" ht="15" hidden="false" customHeight="true" outlineLevel="0" collapsed="false">
      <c r="A258" s="25" t="str">
        <f aca="false">IF(AT258="","",1)</f>
        <v/>
      </c>
      <c r="B258" s="25" t="str">
        <f aca="false">IF(AT258="","",1)</f>
        <v/>
      </c>
      <c r="C258" s="25" t="str">
        <f aca="false">IF(AT258="","",0)</f>
        <v/>
      </c>
      <c r="D258" s="25" t="str">
        <f aca="false">IF(AT258="","",TEXT(INDEX(入力シート!$A$5:$A$204,AT258),"YYYYMMDD"))</f>
        <v/>
      </c>
      <c r="E258" s="25" t="str">
        <f aca="false">IF(AT258="","",TEXT(INDEX(入力シート!$Q$5:$Q$204,AT258),"00000000"))</f>
        <v/>
      </c>
      <c r="F258" s="25" t="str">
        <f aca="false">IF(AT258="","",14)</f>
        <v/>
      </c>
      <c r="G258" s="25" t="str">
        <f aca="false">IF(AT258="","",1)</f>
        <v/>
      </c>
      <c r="H258" s="25" t="str">
        <f aca="false">IF(AT258="","",1)</f>
        <v/>
      </c>
      <c r="I258" s="25" t="str">
        <f aca="false">IF(AT258="","",3)</f>
        <v/>
      </c>
      <c r="J258" s="25" t="str">
        <f aca="false">IF(AT258="","",1)</f>
        <v/>
      </c>
      <c r="K258" s="25" t="str">
        <f aca="false">IF(AT258="","",INDEX(入力シート!$B$5:$B$204,AT258))</f>
        <v/>
      </c>
      <c r="L258" s="25" t="str">
        <f aca="false">IF(AT258="","","")</f>
        <v/>
      </c>
      <c r="M258" s="25" t="str">
        <f aca="false">IF(AT258="","","")</f>
        <v/>
      </c>
      <c r="N258" s="25" t="str">
        <f aca="false">IF(AT258="","",COUNTIF(入力シート!$Q$5:$Q$204,INDEX(入力シート!$Q$5:$Q$204,AT258))+1)</f>
        <v/>
      </c>
      <c r="O258" s="25" t="str">
        <f aca="false">IF(AT258="","",99)</f>
        <v/>
      </c>
      <c r="P258" s="25" t="str">
        <f aca="false">IF(AT258="","","")</f>
        <v/>
      </c>
      <c r="Q258" s="25" t="str">
        <f aca="false">IF(AT258="","","")</f>
        <v/>
      </c>
      <c r="R258" s="25" t="str">
        <f aca="false">IF(AT258="","","消費税")</f>
        <v/>
      </c>
      <c r="S258" s="25" t="str">
        <f aca="false">IF(AT258="","",0)</f>
        <v/>
      </c>
      <c r="T258" s="25" t="str">
        <f aca="false">IF(AT258="","","")</f>
        <v/>
      </c>
      <c r="U258" s="25" t="str">
        <f aca="false">IF(AT258="","",0)</f>
        <v/>
      </c>
      <c r="V258" s="25" t="str">
        <f aca="false">IF(AT258="","",0)</f>
        <v/>
      </c>
      <c r="W258" s="25" t="str">
        <f aca="false">IF(AT258="","","")</f>
        <v/>
      </c>
      <c r="X258" s="25" t="str">
        <f aca="false">IF(AT258="","",0)</f>
        <v/>
      </c>
      <c r="Y258" s="25" t="str">
        <f aca="false">IF(AT258="","",0)</f>
        <v/>
      </c>
      <c r="Z258" s="25" t="str">
        <f aca="false">IF(AT258="","",ROUNDDOWN(SUMIF(入力シート!$Q$5:$Q$204,INDEX(入力シート!$Q$5:$Q$204,AT258),入力シート!$P$5:$P$204)*IF(INDEX(入力シート!$L$5:$L$204,AT258)=13,0.1,IF(INDEX(入力シート!$L$5:$L$204,AT258)=30,0.08,0)),0))</f>
        <v/>
      </c>
      <c r="AA258" s="25" t="str">
        <f aca="false">IF(AT258="","","")</f>
        <v/>
      </c>
      <c r="AB258" s="25" t="str">
        <f aca="false">IF(AT258="","",0)</f>
        <v/>
      </c>
      <c r="AC258" s="25" t="str">
        <f aca="false">IF(AT258="","",0)</f>
        <v/>
      </c>
      <c r="AD258" s="25" t="str">
        <f aca="false">IF(AT258="","",0)</f>
        <v/>
      </c>
      <c r="AE258" s="25" t="str">
        <f aca="false">IF(AT258="","","")</f>
        <v/>
      </c>
      <c r="AF258" s="25" t="str">
        <f aca="false">IF(AT258="","",0)</f>
        <v/>
      </c>
      <c r="AG258" s="25" t="str">
        <f aca="false">IF(AT258="","",0)</f>
        <v/>
      </c>
      <c r="AH258" s="25" t="str">
        <f aca="false">IF(AT258="","","")</f>
        <v/>
      </c>
      <c r="AI258" s="25" t="str">
        <f aca="false">IF(AT258="","","")</f>
        <v/>
      </c>
      <c r="AJ258" s="25" t="str">
        <f aca="false">IF(AT258="","","")</f>
        <v/>
      </c>
      <c r="AK258" s="25" t="str">
        <f aca="false">IF(AT258="","",2)</f>
        <v/>
      </c>
      <c r="AL258" s="25" t="str">
        <f aca="false">IF(AT258="","","")</f>
        <v/>
      </c>
      <c r="AM258" s="25" t="str">
        <f aca="false">IF(AT258="","","")</f>
        <v/>
      </c>
      <c r="AN258" s="25" t="str">
        <f aca="false">IF(AT258="","",INDEX(入力シート!$C$5:$C$204,AT258))</f>
        <v/>
      </c>
      <c r="AO258" s="25" t="str">
        <f aca="false">IF(AT258="","","")</f>
        <v/>
      </c>
      <c r="AP258" s="25" t="str">
        <f aca="false">IF(AT258="","","")</f>
        <v/>
      </c>
      <c r="AQ258" s="25" t="str">
        <f aca="false">IF(AT258="","","")</f>
        <v/>
      </c>
      <c r="AT258" s="27" t="str">
        <f aca="false">IFERROR(MATCH(58,入力シート!$T$5:$T$204,0),"")</f>
        <v/>
      </c>
    </row>
    <row r="259" customFormat="false" ht="15" hidden="false" customHeight="true" outlineLevel="0" collapsed="false">
      <c r="A259" s="25" t="str">
        <f aca="false">IF(AT259="","",1)</f>
        <v/>
      </c>
      <c r="B259" s="25" t="str">
        <f aca="false">IF(AT259="","",1)</f>
        <v/>
      </c>
      <c r="C259" s="25" t="str">
        <f aca="false">IF(AT259="","",0)</f>
        <v/>
      </c>
      <c r="D259" s="25" t="str">
        <f aca="false">IF(AT259="","",TEXT(INDEX(入力シート!$A$5:$A$204,AT259),"YYYYMMDD"))</f>
        <v/>
      </c>
      <c r="E259" s="25" t="str">
        <f aca="false">IF(AT259="","",TEXT(INDEX(入力シート!$Q$5:$Q$204,AT259),"00000000"))</f>
        <v/>
      </c>
      <c r="F259" s="25" t="str">
        <f aca="false">IF(AT259="","",14)</f>
        <v/>
      </c>
      <c r="G259" s="25" t="str">
        <f aca="false">IF(AT259="","",1)</f>
        <v/>
      </c>
      <c r="H259" s="25" t="str">
        <f aca="false">IF(AT259="","",1)</f>
        <v/>
      </c>
      <c r="I259" s="25" t="str">
        <f aca="false">IF(AT259="","",3)</f>
        <v/>
      </c>
      <c r="J259" s="25" t="str">
        <f aca="false">IF(AT259="","",1)</f>
        <v/>
      </c>
      <c r="K259" s="25" t="str">
        <f aca="false">IF(AT259="","",INDEX(入力シート!$B$5:$B$204,AT259))</f>
        <v/>
      </c>
      <c r="L259" s="25" t="str">
        <f aca="false">IF(AT259="","","")</f>
        <v/>
      </c>
      <c r="M259" s="25" t="str">
        <f aca="false">IF(AT259="","","")</f>
        <v/>
      </c>
      <c r="N259" s="25" t="str">
        <f aca="false">IF(AT259="","",COUNTIF(入力シート!$Q$5:$Q$204,INDEX(入力シート!$Q$5:$Q$204,AT259))+1)</f>
        <v/>
      </c>
      <c r="O259" s="25" t="str">
        <f aca="false">IF(AT259="","",99)</f>
        <v/>
      </c>
      <c r="P259" s="25" t="str">
        <f aca="false">IF(AT259="","","")</f>
        <v/>
      </c>
      <c r="Q259" s="25" t="str">
        <f aca="false">IF(AT259="","","")</f>
        <v/>
      </c>
      <c r="R259" s="25" t="str">
        <f aca="false">IF(AT259="","","消費税")</f>
        <v/>
      </c>
      <c r="S259" s="25" t="str">
        <f aca="false">IF(AT259="","",0)</f>
        <v/>
      </c>
      <c r="T259" s="25" t="str">
        <f aca="false">IF(AT259="","","")</f>
        <v/>
      </c>
      <c r="U259" s="25" t="str">
        <f aca="false">IF(AT259="","",0)</f>
        <v/>
      </c>
      <c r="V259" s="25" t="str">
        <f aca="false">IF(AT259="","",0)</f>
        <v/>
      </c>
      <c r="W259" s="25" t="str">
        <f aca="false">IF(AT259="","","")</f>
        <v/>
      </c>
      <c r="X259" s="25" t="str">
        <f aca="false">IF(AT259="","",0)</f>
        <v/>
      </c>
      <c r="Y259" s="25" t="str">
        <f aca="false">IF(AT259="","",0)</f>
        <v/>
      </c>
      <c r="Z259" s="25" t="str">
        <f aca="false">IF(AT259="","",ROUNDDOWN(SUMIF(入力シート!$Q$5:$Q$204,INDEX(入力シート!$Q$5:$Q$204,AT259),入力シート!$P$5:$P$204)*IF(INDEX(入力シート!$L$5:$L$204,AT259)=13,0.1,IF(INDEX(入力シート!$L$5:$L$204,AT259)=30,0.08,0)),0))</f>
        <v/>
      </c>
      <c r="AA259" s="25" t="str">
        <f aca="false">IF(AT259="","","")</f>
        <v/>
      </c>
      <c r="AB259" s="25" t="str">
        <f aca="false">IF(AT259="","",0)</f>
        <v/>
      </c>
      <c r="AC259" s="25" t="str">
        <f aca="false">IF(AT259="","",0)</f>
        <v/>
      </c>
      <c r="AD259" s="25" t="str">
        <f aca="false">IF(AT259="","",0)</f>
        <v/>
      </c>
      <c r="AE259" s="25" t="str">
        <f aca="false">IF(AT259="","","")</f>
        <v/>
      </c>
      <c r="AF259" s="25" t="str">
        <f aca="false">IF(AT259="","",0)</f>
        <v/>
      </c>
      <c r="AG259" s="25" t="str">
        <f aca="false">IF(AT259="","",0)</f>
        <v/>
      </c>
      <c r="AH259" s="25" t="str">
        <f aca="false">IF(AT259="","","")</f>
        <v/>
      </c>
      <c r="AI259" s="25" t="str">
        <f aca="false">IF(AT259="","","")</f>
        <v/>
      </c>
      <c r="AJ259" s="25" t="str">
        <f aca="false">IF(AT259="","","")</f>
        <v/>
      </c>
      <c r="AK259" s="25" t="str">
        <f aca="false">IF(AT259="","",2)</f>
        <v/>
      </c>
      <c r="AL259" s="25" t="str">
        <f aca="false">IF(AT259="","","")</f>
        <v/>
      </c>
      <c r="AM259" s="25" t="str">
        <f aca="false">IF(AT259="","","")</f>
        <v/>
      </c>
      <c r="AN259" s="25" t="str">
        <f aca="false">IF(AT259="","",INDEX(入力シート!$C$5:$C$204,AT259))</f>
        <v/>
      </c>
      <c r="AO259" s="25" t="str">
        <f aca="false">IF(AT259="","","")</f>
        <v/>
      </c>
      <c r="AP259" s="25" t="str">
        <f aca="false">IF(AT259="","","")</f>
        <v/>
      </c>
      <c r="AQ259" s="25" t="str">
        <f aca="false">IF(AT259="","","")</f>
        <v/>
      </c>
      <c r="AT259" s="27" t="str">
        <f aca="false">IFERROR(MATCH(59,入力シート!$T$5:$T$204,0),"")</f>
        <v/>
      </c>
    </row>
    <row r="260" customFormat="false" ht="15" hidden="false" customHeight="true" outlineLevel="0" collapsed="false">
      <c r="A260" s="25" t="str">
        <f aca="false">IF(AT260="","",1)</f>
        <v/>
      </c>
      <c r="B260" s="25" t="str">
        <f aca="false">IF(AT260="","",1)</f>
        <v/>
      </c>
      <c r="C260" s="25" t="str">
        <f aca="false">IF(AT260="","",0)</f>
        <v/>
      </c>
      <c r="D260" s="25" t="str">
        <f aca="false">IF(AT260="","",TEXT(INDEX(入力シート!$A$5:$A$204,AT260),"YYYYMMDD"))</f>
        <v/>
      </c>
      <c r="E260" s="25" t="str">
        <f aca="false">IF(AT260="","",TEXT(INDEX(入力シート!$Q$5:$Q$204,AT260),"00000000"))</f>
        <v/>
      </c>
      <c r="F260" s="25" t="str">
        <f aca="false">IF(AT260="","",14)</f>
        <v/>
      </c>
      <c r="G260" s="25" t="str">
        <f aca="false">IF(AT260="","",1)</f>
        <v/>
      </c>
      <c r="H260" s="25" t="str">
        <f aca="false">IF(AT260="","",1)</f>
        <v/>
      </c>
      <c r="I260" s="25" t="str">
        <f aca="false">IF(AT260="","",3)</f>
        <v/>
      </c>
      <c r="J260" s="25" t="str">
        <f aca="false">IF(AT260="","",1)</f>
        <v/>
      </c>
      <c r="K260" s="25" t="str">
        <f aca="false">IF(AT260="","",INDEX(入力シート!$B$5:$B$204,AT260))</f>
        <v/>
      </c>
      <c r="L260" s="25" t="str">
        <f aca="false">IF(AT260="","","")</f>
        <v/>
      </c>
      <c r="M260" s="25" t="str">
        <f aca="false">IF(AT260="","","")</f>
        <v/>
      </c>
      <c r="N260" s="25" t="str">
        <f aca="false">IF(AT260="","",COUNTIF(入力シート!$Q$5:$Q$204,INDEX(入力シート!$Q$5:$Q$204,AT260))+1)</f>
        <v/>
      </c>
      <c r="O260" s="25" t="str">
        <f aca="false">IF(AT260="","",99)</f>
        <v/>
      </c>
      <c r="P260" s="25" t="str">
        <f aca="false">IF(AT260="","","")</f>
        <v/>
      </c>
      <c r="Q260" s="25" t="str">
        <f aca="false">IF(AT260="","","")</f>
        <v/>
      </c>
      <c r="R260" s="25" t="str">
        <f aca="false">IF(AT260="","","消費税")</f>
        <v/>
      </c>
      <c r="S260" s="25" t="str">
        <f aca="false">IF(AT260="","",0)</f>
        <v/>
      </c>
      <c r="T260" s="25" t="str">
        <f aca="false">IF(AT260="","","")</f>
        <v/>
      </c>
      <c r="U260" s="25" t="str">
        <f aca="false">IF(AT260="","",0)</f>
        <v/>
      </c>
      <c r="V260" s="25" t="str">
        <f aca="false">IF(AT260="","",0)</f>
        <v/>
      </c>
      <c r="W260" s="25" t="str">
        <f aca="false">IF(AT260="","","")</f>
        <v/>
      </c>
      <c r="X260" s="25" t="str">
        <f aca="false">IF(AT260="","",0)</f>
        <v/>
      </c>
      <c r="Y260" s="25" t="str">
        <f aca="false">IF(AT260="","",0)</f>
        <v/>
      </c>
      <c r="Z260" s="25" t="str">
        <f aca="false">IF(AT260="","",ROUNDDOWN(SUMIF(入力シート!$Q$5:$Q$204,INDEX(入力シート!$Q$5:$Q$204,AT260),入力シート!$P$5:$P$204)*IF(INDEX(入力シート!$L$5:$L$204,AT260)=13,0.1,IF(INDEX(入力シート!$L$5:$L$204,AT260)=30,0.08,0)),0))</f>
        <v/>
      </c>
      <c r="AA260" s="25" t="str">
        <f aca="false">IF(AT260="","","")</f>
        <v/>
      </c>
      <c r="AB260" s="25" t="str">
        <f aca="false">IF(AT260="","",0)</f>
        <v/>
      </c>
      <c r="AC260" s="25" t="str">
        <f aca="false">IF(AT260="","",0)</f>
        <v/>
      </c>
      <c r="AD260" s="25" t="str">
        <f aca="false">IF(AT260="","",0)</f>
        <v/>
      </c>
      <c r="AE260" s="25" t="str">
        <f aca="false">IF(AT260="","","")</f>
        <v/>
      </c>
      <c r="AF260" s="25" t="str">
        <f aca="false">IF(AT260="","",0)</f>
        <v/>
      </c>
      <c r="AG260" s="25" t="str">
        <f aca="false">IF(AT260="","",0)</f>
        <v/>
      </c>
      <c r="AH260" s="25" t="str">
        <f aca="false">IF(AT260="","","")</f>
        <v/>
      </c>
      <c r="AI260" s="25" t="str">
        <f aca="false">IF(AT260="","","")</f>
        <v/>
      </c>
      <c r="AJ260" s="25" t="str">
        <f aca="false">IF(AT260="","","")</f>
        <v/>
      </c>
      <c r="AK260" s="25" t="str">
        <f aca="false">IF(AT260="","",2)</f>
        <v/>
      </c>
      <c r="AL260" s="25" t="str">
        <f aca="false">IF(AT260="","","")</f>
        <v/>
      </c>
      <c r="AM260" s="25" t="str">
        <f aca="false">IF(AT260="","","")</f>
        <v/>
      </c>
      <c r="AN260" s="25" t="str">
        <f aca="false">IF(AT260="","",INDEX(入力シート!$C$5:$C$204,AT260))</f>
        <v/>
      </c>
      <c r="AO260" s="25" t="str">
        <f aca="false">IF(AT260="","","")</f>
        <v/>
      </c>
      <c r="AP260" s="25" t="str">
        <f aca="false">IF(AT260="","","")</f>
        <v/>
      </c>
      <c r="AQ260" s="25" t="str">
        <f aca="false">IF(AT260="","","")</f>
        <v/>
      </c>
      <c r="AT260" s="27" t="str">
        <f aca="false">IFERROR(MATCH(60,入力シート!$T$5:$T$204,0),"")</f>
        <v/>
      </c>
    </row>
    <row r="261" customFormat="false" ht="15" hidden="false" customHeight="true" outlineLevel="0" collapsed="false">
      <c r="A261" s="25" t="str">
        <f aca="false">IF(AT261="","",1)</f>
        <v/>
      </c>
      <c r="B261" s="25" t="str">
        <f aca="false">IF(AT261="","",1)</f>
        <v/>
      </c>
      <c r="C261" s="25" t="str">
        <f aca="false">IF(AT261="","",0)</f>
        <v/>
      </c>
      <c r="D261" s="25" t="str">
        <f aca="false">IF(AT261="","",TEXT(INDEX(入力シート!$A$5:$A$204,AT261),"YYYYMMDD"))</f>
        <v/>
      </c>
      <c r="E261" s="25" t="str">
        <f aca="false">IF(AT261="","",TEXT(INDEX(入力シート!$Q$5:$Q$204,AT261),"00000000"))</f>
        <v/>
      </c>
      <c r="F261" s="25" t="str">
        <f aca="false">IF(AT261="","",14)</f>
        <v/>
      </c>
      <c r="G261" s="25" t="str">
        <f aca="false">IF(AT261="","",1)</f>
        <v/>
      </c>
      <c r="H261" s="25" t="str">
        <f aca="false">IF(AT261="","",1)</f>
        <v/>
      </c>
      <c r="I261" s="25" t="str">
        <f aca="false">IF(AT261="","",3)</f>
        <v/>
      </c>
      <c r="J261" s="25" t="str">
        <f aca="false">IF(AT261="","",1)</f>
        <v/>
      </c>
      <c r="K261" s="25" t="str">
        <f aca="false">IF(AT261="","",INDEX(入力シート!$B$5:$B$204,AT261))</f>
        <v/>
      </c>
      <c r="L261" s="25" t="str">
        <f aca="false">IF(AT261="","","")</f>
        <v/>
      </c>
      <c r="M261" s="25" t="str">
        <f aca="false">IF(AT261="","","")</f>
        <v/>
      </c>
      <c r="N261" s="25" t="str">
        <f aca="false">IF(AT261="","",COUNTIF(入力シート!$Q$5:$Q$204,INDEX(入力シート!$Q$5:$Q$204,AT261))+1)</f>
        <v/>
      </c>
      <c r="O261" s="25" t="str">
        <f aca="false">IF(AT261="","",99)</f>
        <v/>
      </c>
      <c r="P261" s="25" t="str">
        <f aca="false">IF(AT261="","","")</f>
        <v/>
      </c>
      <c r="Q261" s="25" t="str">
        <f aca="false">IF(AT261="","","")</f>
        <v/>
      </c>
      <c r="R261" s="25" t="str">
        <f aca="false">IF(AT261="","","消費税")</f>
        <v/>
      </c>
      <c r="S261" s="25" t="str">
        <f aca="false">IF(AT261="","",0)</f>
        <v/>
      </c>
      <c r="T261" s="25" t="str">
        <f aca="false">IF(AT261="","","")</f>
        <v/>
      </c>
      <c r="U261" s="25" t="str">
        <f aca="false">IF(AT261="","",0)</f>
        <v/>
      </c>
      <c r="V261" s="25" t="str">
        <f aca="false">IF(AT261="","",0)</f>
        <v/>
      </c>
      <c r="W261" s="25" t="str">
        <f aca="false">IF(AT261="","","")</f>
        <v/>
      </c>
      <c r="X261" s="25" t="str">
        <f aca="false">IF(AT261="","",0)</f>
        <v/>
      </c>
      <c r="Y261" s="25" t="str">
        <f aca="false">IF(AT261="","",0)</f>
        <v/>
      </c>
      <c r="Z261" s="25" t="str">
        <f aca="false">IF(AT261="","",ROUNDDOWN(SUMIF(入力シート!$Q$5:$Q$204,INDEX(入力シート!$Q$5:$Q$204,AT261),入力シート!$P$5:$P$204)*IF(INDEX(入力シート!$L$5:$L$204,AT261)=13,0.1,IF(INDEX(入力シート!$L$5:$L$204,AT261)=30,0.08,0)),0))</f>
        <v/>
      </c>
      <c r="AA261" s="25" t="str">
        <f aca="false">IF(AT261="","","")</f>
        <v/>
      </c>
      <c r="AB261" s="25" t="str">
        <f aca="false">IF(AT261="","",0)</f>
        <v/>
      </c>
      <c r="AC261" s="25" t="str">
        <f aca="false">IF(AT261="","",0)</f>
        <v/>
      </c>
      <c r="AD261" s="25" t="str">
        <f aca="false">IF(AT261="","",0)</f>
        <v/>
      </c>
      <c r="AE261" s="25" t="str">
        <f aca="false">IF(AT261="","","")</f>
        <v/>
      </c>
      <c r="AF261" s="25" t="str">
        <f aca="false">IF(AT261="","",0)</f>
        <v/>
      </c>
      <c r="AG261" s="25" t="str">
        <f aca="false">IF(AT261="","",0)</f>
        <v/>
      </c>
      <c r="AH261" s="25" t="str">
        <f aca="false">IF(AT261="","","")</f>
        <v/>
      </c>
      <c r="AI261" s="25" t="str">
        <f aca="false">IF(AT261="","","")</f>
        <v/>
      </c>
      <c r="AJ261" s="25" t="str">
        <f aca="false">IF(AT261="","","")</f>
        <v/>
      </c>
      <c r="AK261" s="25" t="str">
        <f aca="false">IF(AT261="","",2)</f>
        <v/>
      </c>
      <c r="AL261" s="25" t="str">
        <f aca="false">IF(AT261="","","")</f>
        <v/>
      </c>
      <c r="AM261" s="25" t="str">
        <f aca="false">IF(AT261="","","")</f>
        <v/>
      </c>
      <c r="AN261" s="25" t="str">
        <f aca="false">IF(AT261="","",INDEX(入力シート!$C$5:$C$204,AT261))</f>
        <v/>
      </c>
      <c r="AO261" s="25" t="str">
        <f aca="false">IF(AT261="","","")</f>
        <v/>
      </c>
      <c r="AP261" s="25" t="str">
        <f aca="false">IF(AT261="","","")</f>
        <v/>
      </c>
      <c r="AQ261" s="25" t="str">
        <f aca="false">IF(AT261="","","")</f>
        <v/>
      </c>
      <c r="AT261" s="27" t="str">
        <f aca="false">IFERROR(MATCH(61,入力シート!$T$5:$T$204,0),"")</f>
        <v/>
      </c>
    </row>
    <row r="262" customFormat="false" ht="15" hidden="false" customHeight="true" outlineLevel="0" collapsed="false">
      <c r="A262" s="25" t="str">
        <f aca="false">IF(AT262="","",1)</f>
        <v/>
      </c>
      <c r="B262" s="25" t="str">
        <f aca="false">IF(AT262="","",1)</f>
        <v/>
      </c>
      <c r="C262" s="25" t="str">
        <f aca="false">IF(AT262="","",0)</f>
        <v/>
      </c>
      <c r="D262" s="25" t="str">
        <f aca="false">IF(AT262="","",TEXT(INDEX(入力シート!$A$5:$A$204,AT262),"YYYYMMDD"))</f>
        <v/>
      </c>
      <c r="E262" s="25" t="str">
        <f aca="false">IF(AT262="","",TEXT(INDEX(入力シート!$Q$5:$Q$204,AT262),"00000000"))</f>
        <v/>
      </c>
      <c r="F262" s="25" t="str">
        <f aca="false">IF(AT262="","",14)</f>
        <v/>
      </c>
      <c r="G262" s="25" t="str">
        <f aca="false">IF(AT262="","",1)</f>
        <v/>
      </c>
      <c r="H262" s="25" t="str">
        <f aca="false">IF(AT262="","",1)</f>
        <v/>
      </c>
      <c r="I262" s="25" t="str">
        <f aca="false">IF(AT262="","",3)</f>
        <v/>
      </c>
      <c r="J262" s="25" t="str">
        <f aca="false">IF(AT262="","",1)</f>
        <v/>
      </c>
      <c r="K262" s="25" t="str">
        <f aca="false">IF(AT262="","",INDEX(入力シート!$B$5:$B$204,AT262))</f>
        <v/>
      </c>
      <c r="L262" s="25" t="str">
        <f aca="false">IF(AT262="","","")</f>
        <v/>
      </c>
      <c r="M262" s="25" t="str">
        <f aca="false">IF(AT262="","","")</f>
        <v/>
      </c>
      <c r="N262" s="25" t="str">
        <f aca="false">IF(AT262="","",COUNTIF(入力シート!$Q$5:$Q$204,INDEX(入力シート!$Q$5:$Q$204,AT262))+1)</f>
        <v/>
      </c>
      <c r="O262" s="25" t="str">
        <f aca="false">IF(AT262="","",99)</f>
        <v/>
      </c>
      <c r="P262" s="25" t="str">
        <f aca="false">IF(AT262="","","")</f>
        <v/>
      </c>
      <c r="Q262" s="25" t="str">
        <f aca="false">IF(AT262="","","")</f>
        <v/>
      </c>
      <c r="R262" s="25" t="str">
        <f aca="false">IF(AT262="","","消費税")</f>
        <v/>
      </c>
      <c r="S262" s="25" t="str">
        <f aca="false">IF(AT262="","",0)</f>
        <v/>
      </c>
      <c r="T262" s="25" t="str">
        <f aca="false">IF(AT262="","","")</f>
        <v/>
      </c>
      <c r="U262" s="25" t="str">
        <f aca="false">IF(AT262="","",0)</f>
        <v/>
      </c>
      <c r="V262" s="25" t="str">
        <f aca="false">IF(AT262="","",0)</f>
        <v/>
      </c>
      <c r="W262" s="25" t="str">
        <f aca="false">IF(AT262="","","")</f>
        <v/>
      </c>
      <c r="X262" s="25" t="str">
        <f aca="false">IF(AT262="","",0)</f>
        <v/>
      </c>
      <c r="Y262" s="25" t="str">
        <f aca="false">IF(AT262="","",0)</f>
        <v/>
      </c>
      <c r="Z262" s="25" t="str">
        <f aca="false">IF(AT262="","",ROUNDDOWN(SUMIF(入力シート!$Q$5:$Q$204,INDEX(入力シート!$Q$5:$Q$204,AT262),入力シート!$P$5:$P$204)*IF(INDEX(入力シート!$L$5:$L$204,AT262)=13,0.1,IF(INDEX(入力シート!$L$5:$L$204,AT262)=30,0.08,0)),0))</f>
        <v/>
      </c>
      <c r="AA262" s="25" t="str">
        <f aca="false">IF(AT262="","","")</f>
        <v/>
      </c>
      <c r="AB262" s="25" t="str">
        <f aca="false">IF(AT262="","",0)</f>
        <v/>
      </c>
      <c r="AC262" s="25" t="str">
        <f aca="false">IF(AT262="","",0)</f>
        <v/>
      </c>
      <c r="AD262" s="25" t="str">
        <f aca="false">IF(AT262="","",0)</f>
        <v/>
      </c>
      <c r="AE262" s="25" t="str">
        <f aca="false">IF(AT262="","","")</f>
        <v/>
      </c>
      <c r="AF262" s="25" t="str">
        <f aca="false">IF(AT262="","",0)</f>
        <v/>
      </c>
      <c r="AG262" s="25" t="str">
        <f aca="false">IF(AT262="","",0)</f>
        <v/>
      </c>
      <c r="AH262" s="25" t="str">
        <f aca="false">IF(AT262="","","")</f>
        <v/>
      </c>
      <c r="AI262" s="25" t="str">
        <f aca="false">IF(AT262="","","")</f>
        <v/>
      </c>
      <c r="AJ262" s="25" t="str">
        <f aca="false">IF(AT262="","","")</f>
        <v/>
      </c>
      <c r="AK262" s="25" t="str">
        <f aca="false">IF(AT262="","",2)</f>
        <v/>
      </c>
      <c r="AL262" s="25" t="str">
        <f aca="false">IF(AT262="","","")</f>
        <v/>
      </c>
      <c r="AM262" s="25" t="str">
        <f aca="false">IF(AT262="","","")</f>
        <v/>
      </c>
      <c r="AN262" s="25" t="str">
        <f aca="false">IF(AT262="","",INDEX(入力シート!$C$5:$C$204,AT262))</f>
        <v/>
      </c>
      <c r="AO262" s="25" t="str">
        <f aca="false">IF(AT262="","","")</f>
        <v/>
      </c>
      <c r="AP262" s="25" t="str">
        <f aca="false">IF(AT262="","","")</f>
        <v/>
      </c>
      <c r="AQ262" s="25" t="str">
        <f aca="false">IF(AT262="","","")</f>
        <v/>
      </c>
      <c r="AT262" s="27" t="str">
        <f aca="false">IFERROR(MATCH(62,入力シート!$T$5:$T$204,0),"")</f>
        <v/>
      </c>
    </row>
    <row r="263" customFormat="false" ht="15" hidden="false" customHeight="true" outlineLevel="0" collapsed="false">
      <c r="A263" s="25" t="str">
        <f aca="false">IF(AT263="","",1)</f>
        <v/>
      </c>
      <c r="B263" s="25" t="str">
        <f aca="false">IF(AT263="","",1)</f>
        <v/>
      </c>
      <c r="C263" s="25" t="str">
        <f aca="false">IF(AT263="","",0)</f>
        <v/>
      </c>
      <c r="D263" s="25" t="str">
        <f aca="false">IF(AT263="","",TEXT(INDEX(入力シート!$A$5:$A$204,AT263),"YYYYMMDD"))</f>
        <v/>
      </c>
      <c r="E263" s="25" t="str">
        <f aca="false">IF(AT263="","",TEXT(INDEX(入力シート!$Q$5:$Q$204,AT263),"00000000"))</f>
        <v/>
      </c>
      <c r="F263" s="25" t="str">
        <f aca="false">IF(AT263="","",14)</f>
        <v/>
      </c>
      <c r="G263" s="25" t="str">
        <f aca="false">IF(AT263="","",1)</f>
        <v/>
      </c>
      <c r="H263" s="25" t="str">
        <f aca="false">IF(AT263="","",1)</f>
        <v/>
      </c>
      <c r="I263" s="25" t="str">
        <f aca="false">IF(AT263="","",3)</f>
        <v/>
      </c>
      <c r="J263" s="25" t="str">
        <f aca="false">IF(AT263="","",1)</f>
        <v/>
      </c>
      <c r="K263" s="25" t="str">
        <f aca="false">IF(AT263="","",INDEX(入力シート!$B$5:$B$204,AT263))</f>
        <v/>
      </c>
      <c r="L263" s="25" t="str">
        <f aca="false">IF(AT263="","","")</f>
        <v/>
      </c>
      <c r="M263" s="25" t="str">
        <f aca="false">IF(AT263="","","")</f>
        <v/>
      </c>
      <c r="N263" s="25" t="str">
        <f aca="false">IF(AT263="","",COUNTIF(入力シート!$Q$5:$Q$204,INDEX(入力シート!$Q$5:$Q$204,AT263))+1)</f>
        <v/>
      </c>
      <c r="O263" s="25" t="str">
        <f aca="false">IF(AT263="","",99)</f>
        <v/>
      </c>
      <c r="P263" s="25" t="str">
        <f aca="false">IF(AT263="","","")</f>
        <v/>
      </c>
      <c r="Q263" s="25" t="str">
        <f aca="false">IF(AT263="","","")</f>
        <v/>
      </c>
      <c r="R263" s="25" t="str">
        <f aca="false">IF(AT263="","","消費税")</f>
        <v/>
      </c>
      <c r="S263" s="25" t="str">
        <f aca="false">IF(AT263="","",0)</f>
        <v/>
      </c>
      <c r="T263" s="25" t="str">
        <f aca="false">IF(AT263="","","")</f>
        <v/>
      </c>
      <c r="U263" s="25" t="str">
        <f aca="false">IF(AT263="","",0)</f>
        <v/>
      </c>
      <c r="V263" s="25" t="str">
        <f aca="false">IF(AT263="","",0)</f>
        <v/>
      </c>
      <c r="W263" s="25" t="str">
        <f aca="false">IF(AT263="","","")</f>
        <v/>
      </c>
      <c r="X263" s="25" t="str">
        <f aca="false">IF(AT263="","",0)</f>
        <v/>
      </c>
      <c r="Y263" s="25" t="str">
        <f aca="false">IF(AT263="","",0)</f>
        <v/>
      </c>
      <c r="Z263" s="25" t="str">
        <f aca="false">IF(AT263="","",ROUNDDOWN(SUMIF(入力シート!$Q$5:$Q$204,INDEX(入力シート!$Q$5:$Q$204,AT263),入力シート!$P$5:$P$204)*IF(INDEX(入力シート!$L$5:$L$204,AT263)=13,0.1,IF(INDEX(入力シート!$L$5:$L$204,AT263)=30,0.08,0)),0))</f>
        <v/>
      </c>
      <c r="AA263" s="25" t="str">
        <f aca="false">IF(AT263="","","")</f>
        <v/>
      </c>
      <c r="AB263" s="25" t="str">
        <f aca="false">IF(AT263="","",0)</f>
        <v/>
      </c>
      <c r="AC263" s="25" t="str">
        <f aca="false">IF(AT263="","",0)</f>
        <v/>
      </c>
      <c r="AD263" s="25" t="str">
        <f aca="false">IF(AT263="","",0)</f>
        <v/>
      </c>
      <c r="AE263" s="25" t="str">
        <f aca="false">IF(AT263="","","")</f>
        <v/>
      </c>
      <c r="AF263" s="25" t="str">
        <f aca="false">IF(AT263="","",0)</f>
        <v/>
      </c>
      <c r="AG263" s="25" t="str">
        <f aca="false">IF(AT263="","",0)</f>
        <v/>
      </c>
      <c r="AH263" s="25" t="str">
        <f aca="false">IF(AT263="","","")</f>
        <v/>
      </c>
      <c r="AI263" s="25" t="str">
        <f aca="false">IF(AT263="","","")</f>
        <v/>
      </c>
      <c r="AJ263" s="25" t="str">
        <f aca="false">IF(AT263="","","")</f>
        <v/>
      </c>
      <c r="AK263" s="25" t="str">
        <f aca="false">IF(AT263="","",2)</f>
        <v/>
      </c>
      <c r="AL263" s="25" t="str">
        <f aca="false">IF(AT263="","","")</f>
        <v/>
      </c>
      <c r="AM263" s="25" t="str">
        <f aca="false">IF(AT263="","","")</f>
        <v/>
      </c>
      <c r="AN263" s="25" t="str">
        <f aca="false">IF(AT263="","",INDEX(入力シート!$C$5:$C$204,AT263))</f>
        <v/>
      </c>
      <c r="AO263" s="25" t="str">
        <f aca="false">IF(AT263="","","")</f>
        <v/>
      </c>
      <c r="AP263" s="25" t="str">
        <f aca="false">IF(AT263="","","")</f>
        <v/>
      </c>
      <c r="AQ263" s="25" t="str">
        <f aca="false">IF(AT263="","","")</f>
        <v/>
      </c>
      <c r="AT263" s="27" t="str">
        <f aca="false">IFERROR(MATCH(63,入力シート!$T$5:$T$204,0),"")</f>
        <v/>
      </c>
    </row>
    <row r="264" customFormat="false" ht="15" hidden="false" customHeight="true" outlineLevel="0" collapsed="false">
      <c r="A264" s="25" t="str">
        <f aca="false">IF(AT264="","",1)</f>
        <v/>
      </c>
      <c r="B264" s="25" t="str">
        <f aca="false">IF(AT264="","",1)</f>
        <v/>
      </c>
      <c r="C264" s="25" t="str">
        <f aca="false">IF(AT264="","",0)</f>
        <v/>
      </c>
      <c r="D264" s="25" t="str">
        <f aca="false">IF(AT264="","",TEXT(INDEX(入力シート!$A$5:$A$204,AT264),"YYYYMMDD"))</f>
        <v/>
      </c>
      <c r="E264" s="25" t="str">
        <f aca="false">IF(AT264="","",TEXT(INDEX(入力シート!$Q$5:$Q$204,AT264),"00000000"))</f>
        <v/>
      </c>
      <c r="F264" s="25" t="str">
        <f aca="false">IF(AT264="","",14)</f>
        <v/>
      </c>
      <c r="G264" s="25" t="str">
        <f aca="false">IF(AT264="","",1)</f>
        <v/>
      </c>
      <c r="H264" s="25" t="str">
        <f aca="false">IF(AT264="","",1)</f>
        <v/>
      </c>
      <c r="I264" s="25" t="str">
        <f aca="false">IF(AT264="","",3)</f>
        <v/>
      </c>
      <c r="J264" s="25" t="str">
        <f aca="false">IF(AT264="","",1)</f>
        <v/>
      </c>
      <c r="K264" s="25" t="str">
        <f aca="false">IF(AT264="","",INDEX(入力シート!$B$5:$B$204,AT264))</f>
        <v/>
      </c>
      <c r="L264" s="25" t="str">
        <f aca="false">IF(AT264="","","")</f>
        <v/>
      </c>
      <c r="M264" s="25" t="str">
        <f aca="false">IF(AT264="","","")</f>
        <v/>
      </c>
      <c r="N264" s="25" t="str">
        <f aca="false">IF(AT264="","",COUNTIF(入力シート!$Q$5:$Q$204,INDEX(入力シート!$Q$5:$Q$204,AT264))+1)</f>
        <v/>
      </c>
      <c r="O264" s="25" t="str">
        <f aca="false">IF(AT264="","",99)</f>
        <v/>
      </c>
      <c r="P264" s="25" t="str">
        <f aca="false">IF(AT264="","","")</f>
        <v/>
      </c>
      <c r="Q264" s="25" t="str">
        <f aca="false">IF(AT264="","","")</f>
        <v/>
      </c>
      <c r="R264" s="25" t="str">
        <f aca="false">IF(AT264="","","消費税")</f>
        <v/>
      </c>
      <c r="S264" s="25" t="str">
        <f aca="false">IF(AT264="","",0)</f>
        <v/>
      </c>
      <c r="T264" s="25" t="str">
        <f aca="false">IF(AT264="","","")</f>
        <v/>
      </c>
      <c r="U264" s="25" t="str">
        <f aca="false">IF(AT264="","",0)</f>
        <v/>
      </c>
      <c r="V264" s="25" t="str">
        <f aca="false">IF(AT264="","",0)</f>
        <v/>
      </c>
      <c r="W264" s="25" t="str">
        <f aca="false">IF(AT264="","","")</f>
        <v/>
      </c>
      <c r="X264" s="25" t="str">
        <f aca="false">IF(AT264="","",0)</f>
        <v/>
      </c>
      <c r="Y264" s="25" t="str">
        <f aca="false">IF(AT264="","",0)</f>
        <v/>
      </c>
      <c r="Z264" s="25" t="str">
        <f aca="false">IF(AT264="","",ROUNDDOWN(SUMIF(入力シート!$Q$5:$Q$204,INDEX(入力シート!$Q$5:$Q$204,AT264),入力シート!$P$5:$P$204)*IF(INDEX(入力シート!$L$5:$L$204,AT264)=13,0.1,IF(INDEX(入力シート!$L$5:$L$204,AT264)=30,0.08,0)),0))</f>
        <v/>
      </c>
      <c r="AA264" s="25" t="str">
        <f aca="false">IF(AT264="","","")</f>
        <v/>
      </c>
      <c r="AB264" s="25" t="str">
        <f aca="false">IF(AT264="","",0)</f>
        <v/>
      </c>
      <c r="AC264" s="25" t="str">
        <f aca="false">IF(AT264="","",0)</f>
        <v/>
      </c>
      <c r="AD264" s="25" t="str">
        <f aca="false">IF(AT264="","",0)</f>
        <v/>
      </c>
      <c r="AE264" s="25" t="str">
        <f aca="false">IF(AT264="","","")</f>
        <v/>
      </c>
      <c r="AF264" s="25" t="str">
        <f aca="false">IF(AT264="","",0)</f>
        <v/>
      </c>
      <c r="AG264" s="25" t="str">
        <f aca="false">IF(AT264="","",0)</f>
        <v/>
      </c>
      <c r="AH264" s="25" t="str">
        <f aca="false">IF(AT264="","","")</f>
        <v/>
      </c>
      <c r="AI264" s="25" t="str">
        <f aca="false">IF(AT264="","","")</f>
        <v/>
      </c>
      <c r="AJ264" s="25" t="str">
        <f aca="false">IF(AT264="","","")</f>
        <v/>
      </c>
      <c r="AK264" s="25" t="str">
        <f aca="false">IF(AT264="","",2)</f>
        <v/>
      </c>
      <c r="AL264" s="25" t="str">
        <f aca="false">IF(AT264="","","")</f>
        <v/>
      </c>
      <c r="AM264" s="25" t="str">
        <f aca="false">IF(AT264="","","")</f>
        <v/>
      </c>
      <c r="AN264" s="25" t="str">
        <f aca="false">IF(AT264="","",INDEX(入力シート!$C$5:$C$204,AT264))</f>
        <v/>
      </c>
      <c r="AO264" s="25" t="str">
        <f aca="false">IF(AT264="","","")</f>
        <v/>
      </c>
      <c r="AP264" s="25" t="str">
        <f aca="false">IF(AT264="","","")</f>
        <v/>
      </c>
      <c r="AQ264" s="25" t="str">
        <f aca="false">IF(AT264="","","")</f>
        <v/>
      </c>
      <c r="AT264" s="27" t="str">
        <f aca="false">IFERROR(MATCH(64,入力シート!$T$5:$T$204,0),"")</f>
        <v/>
      </c>
    </row>
    <row r="265" customFormat="false" ht="15" hidden="false" customHeight="true" outlineLevel="0" collapsed="false">
      <c r="A265" s="25" t="str">
        <f aca="false">IF(AT265="","",1)</f>
        <v/>
      </c>
      <c r="B265" s="25" t="str">
        <f aca="false">IF(AT265="","",1)</f>
        <v/>
      </c>
      <c r="C265" s="25" t="str">
        <f aca="false">IF(AT265="","",0)</f>
        <v/>
      </c>
      <c r="D265" s="25" t="str">
        <f aca="false">IF(AT265="","",TEXT(INDEX(入力シート!$A$5:$A$204,AT265),"YYYYMMDD"))</f>
        <v/>
      </c>
      <c r="E265" s="25" t="str">
        <f aca="false">IF(AT265="","",TEXT(INDEX(入力シート!$Q$5:$Q$204,AT265),"00000000"))</f>
        <v/>
      </c>
      <c r="F265" s="25" t="str">
        <f aca="false">IF(AT265="","",14)</f>
        <v/>
      </c>
      <c r="G265" s="25" t="str">
        <f aca="false">IF(AT265="","",1)</f>
        <v/>
      </c>
      <c r="H265" s="25" t="str">
        <f aca="false">IF(AT265="","",1)</f>
        <v/>
      </c>
      <c r="I265" s="25" t="str">
        <f aca="false">IF(AT265="","",3)</f>
        <v/>
      </c>
      <c r="J265" s="25" t="str">
        <f aca="false">IF(AT265="","",1)</f>
        <v/>
      </c>
      <c r="K265" s="25" t="str">
        <f aca="false">IF(AT265="","",INDEX(入力シート!$B$5:$B$204,AT265))</f>
        <v/>
      </c>
      <c r="L265" s="25" t="str">
        <f aca="false">IF(AT265="","","")</f>
        <v/>
      </c>
      <c r="M265" s="25" t="str">
        <f aca="false">IF(AT265="","","")</f>
        <v/>
      </c>
      <c r="N265" s="25" t="str">
        <f aca="false">IF(AT265="","",COUNTIF(入力シート!$Q$5:$Q$204,INDEX(入力シート!$Q$5:$Q$204,AT265))+1)</f>
        <v/>
      </c>
      <c r="O265" s="25" t="str">
        <f aca="false">IF(AT265="","",99)</f>
        <v/>
      </c>
      <c r="P265" s="25" t="str">
        <f aca="false">IF(AT265="","","")</f>
        <v/>
      </c>
      <c r="Q265" s="25" t="str">
        <f aca="false">IF(AT265="","","")</f>
        <v/>
      </c>
      <c r="R265" s="25" t="str">
        <f aca="false">IF(AT265="","","消費税")</f>
        <v/>
      </c>
      <c r="S265" s="25" t="str">
        <f aca="false">IF(AT265="","",0)</f>
        <v/>
      </c>
      <c r="T265" s="25" t="str">
        <f aca="false">IF(AT265="","","")</f>
        <v/>
      </c>
      <c r="U265" s="25" t="str">
        <f aca="false">IF(AT265="","",0)</f>
        <v/>
      </c>
      <c r="V265" s="25" t="str">
        <f aca="false">IF(AT265="","",0)</f>
        <v/>
      </c>
      <c r="W265" s="25" t="str">
        <f aca="false">IF(AT265="","","")</f>
        <v/>
      </c>
      <c r="X265" s="25" t="str">
        <f aca="false">IF(AT265="","",0)</f>
        <v/>
      </c>
      <c r="Y265" s="25" t="str">
        <f aca="false">IF(AT265="","",0)</f>
        <v/>
      </c>
      <c r="Z265" s="25" t="str">
        <f aca="false">IF(AT265="","",ROUNDDOWN(SUMIF(入力シート!$Q$5:$Q$204,INDEX(入力シート!$Q$5:$Q$204,AT265),入力シート!$P$5:$P$204)*IF(INDEX(入力シート!$L$5:$L$204,AT265)=13,0.1,IF(INDEX(入力シート!$L$5:$L$204,AT265)=30,0.08,0)),0))</f>
        <v/>
      </c>
      <c r="AA265" s="25" t="str">
        <f aca="false">IF(AT265="","","")</f>
        <v/>
      </c>
      <c r="AB265" s="25" t="str">
        <f aca="false">IF(AT265="","",0)</f>
        <v/>
      </c>
      <c r="AC265" s="25" t="str">
        <f aca="false">IF(AT265="","",0)</f>
        <v/>
      </c>
      <c r="AD265" s="25" t="str">
        <f aca="false">IF(AT265="","",0)</f>
        <v/>
      </c>
      <c r="AE265" s="25" t="str">
        <f aca="false">IF(AT265="","","")</f>
        <v/>
      </c>
      <c r="AF265" s="25" t="str">
        <f aca="false">IF(AT265="","",0)</f>
        <v/>
      </c>
      <c r="AG265" s="25" t="str">
        <f aca="false">IF(AT265="","",0)</f>
        <v/>
      </c>
      <c r="AH265" s="25" t="str">
        <f aca="false">IF(AT265="","","")</f>
        <v/>
      </c>
      <c r="AI265" s="25" t="str">
        <f aca="false">IF(AT265="","","")</f>
        <v/>
      </c>
      <c r="AJ265" s="25" t="str">
        <f aca="false">IF(AT265="","","")</f>
        <v/>
      </c>
      <c r="AK265" s="25" t="str">
        <f aca="false">IF(AT265="","",2)</f>
        <v/>
      </c>
      <c r="AL265" s="25" t="str">
        <f aca="false">IF(AT265="","","")</f>
        <v/>
      </c>
      <c r="AM265" s="25" t="str">
        <f aca="false">IF(AT265="","","")</f>
        <v/>
      </c>
      <c r="AN265" s="25" t="str">
        <f aca="false">IF(AT265="","",INDEX(入力シート!$C$5:$C$204,AT265))</f>
        <v/>
      </c>
      <c r="AO265" s="25" t="str">
        <f aca="false">IF(AT265="","","")</f>
        <v/>
      </c>
      <c r="AP265" s="25" t="str">
        <f aca="false">IF(AT265="","","")</f>
        <v/>
      </c>
      <c r="AQ265" s="25" t="str">
        <f aca="false">IF(AT265="","","")</f>
        <v/>
      </c>
      <c r="AT265" s="27" t="str">
        <f aca="false">IFERROR(MATCH(65,入力シート!$T$5:$T$204,0),"")</f>
        <v/>
      </c>
    </row>
    <row r="266" customFormat="false" ht="15" hidden="false" customHeight="true" outlineLevel="0" collapsed="false">
      <c r="A266" s="25" t="str">
        <f aca="false">IF(AT266="","",1)</f>
        <v/>
      </c>
      <c r="B266" s="25" t="str">
        <f aca="false">IF(AT266="","",1)</f>
        <v/>
      </c>
      <c r="C266" s="25" t="str">
        <f aca="false">IF(AT266="","",0)</f>
        <v/>
      </c>
      <c r="D266" s="25" t="str">
        <f aca="false">IF(AT266="","",TEXT(INDEX(入力シート!$A$5:$A$204,AT266),"YYYYMMDD"))</f>
        <v/>
      </c>
      <c r="E266" s="25" t="str">
        <f aca="false">IF(AT266="","",TEXT(INDEX(入力シート!$Q$5:$Q$204,AT266),"00000000"))</f>
        <v/>
      </c>
      <c r="F266" s="25" t="str">
        <f aca="false">IF(AT266="","",14)</f>
        <v/>
      </c>
      <c r="G266" s="25" t="str">
        <f aca="false">IF(AT266="","",1)</f>
        <v/>
      </c>
      <c r="H266" s="25" t="str">
        <f aca="false">IF(AT266="","",1)</f>
        <v/>
      </c>
      <c r="I266" s="25" t="str">
        <f aca="false">IF(AT266="","",3)</f>
        <v/>
      </c>
      <c r="J266" s="25" t="str">
        <f aca="false">IF(AT266="","",1)</f>
        <v/>
      </c>
      <c r="K266" s="25" t="str">
        <f aca="false">IF(AT266="","",INDEX(入力シート!$B$5:$B$204,AT266))</f>
        <v/>
      </c>
      <c r="L266" s="25" t="str">
        <f aca="false">IF(AT266="","","")</f>
        <v/>
      </c>
      <c r="M266" s="25" t="str">
        <f aca="false">IF(AT266="","","")</f>
        <v/>
      </c>
      <c r="N266" s="25" t="str">
        <f aca="false">IF(AT266="","",COUNTIF(入力シート!$Q$5:$Q$204,INDEX(入力シート!$Q$5:$Q$204,AT266))+1)</f>
        <v/>
      </c>
      <c r="O266" s="25" t="str">
        <f aca="false">IF(AT266="","",99)</f>
        <v/>
      </c>
      <c r="P266" s="25" t="str">
        <f aca="false">IF(AT266="","","")</f>
        <v/>
      </c>
      <c r="Q266" s="25" t="str">
        <f aca="false">IF(AT266="","","")</f>
        <v/>
      </c>
      <c r="R266" s="25" t="str">
        <f aca="false">IF(AT266="","","消費税")</f>
        <v/>
      </c>
      <c r="S266" s="25" t="str">
        <f aca="false">IF(AT266="","",0)</f>
        <v/>
      </c>
      <c r="T266" s="25" t="str">
        <f aca="false">IF(AT266="","","")</f>
        <v/>
      </c>
      <c r="U266" s="25" t="str">
        <f aca="false">IF(AT266="","",0)</f>
        <v/>
      </c>
      <c r="V266" s="25" t="str">
        <f aca="false">IF(AT266="","",0)</f>
        <v/>
      </c>
      <c r="W266" s="25" t="str">
        <f aca="false">IF(AT266="","","")</f>
        <v/>
      </c>
      <c r="X266" s="25" t="str">
        <f aca="false">IF(AT266="","",0)</f>
        <v/>
      </c>
      <c r="Y266" s="25" t="str">
        <f aca="false">IF(AT266="","",0)</f>
        <v/>
      </c>
      <c r="Z266" s="25" t="str">
        <f aca="false">IF(AT266="","",ROUNDDOWN(SUMIF(入力シート!$Q$5:$Q$204,INDEX(入力シート!$Q$5:$Q$204,AT266),入力シート!$P$5:$P$204)*IF(INDEX(入力シート!$L$5:$L$204,AT266)=13,0.1,IF(INDEX(入力シート!$L$5:$L$204,AT266)=30,0.08,0)),0))</f>
        <v/>
      </c>
      <c r="AA266" s="25" t="str">
        <f aca="false">IF(AT266="","","")</f>
        <v/>
      </c>
      <c r="AB266" s="25" t="str">
        <f aca="false">IF(AT266="","",0)</f>
        <v/>
      </c>
      <c r="AC266" s="25" t="str">
        <f aca="false">IF(AT266="","",0)</f>
        <v/>
      </c>
      <c r="AD266" s="25" t="str">
        <f aca="false">IF(AT266="","",0)</f>
        <v/>
      </c>
      <c r="AE266" s="25" t="str">
        <f aca="false">IF(AT266="","","")</f>
        <v/>
      </c>
      <c r="AF266" s="25" t="str">
        <f aca="false">IF(AT266="","",0)</f>
        <v/>
      </c>
      <c r="AG266" s="25" t="str">
        <f aca="false">IF(AT266="","",0)</f>
        <v/>
      </c>
      <c r="AH266" s="25" t="str">
        <f aca="false">IF(AT266="","","")</f>
        <v/>
      </c>
      <c r="AI266" s="25" t="str">
        <f aca="false">IF(AT266="","","")</f>
        <v/>
      </c>
      <c r="AJ266" s="25" t="str">
        <f aca="false">IF(AT266="","","")</f>
        <v/>
      </c>
      <c r="AK266" s="25" t="str">
        <f aca="false">IF(AT266="","",2)</f>
        <v/>
      </c>
      <c r="AL266" s="25" t="str">
        <f aca="false">IF(AT266="","","")</f>
        <v/>
      </c>
      <c r="AM266" s="25" t="str">
        <f aca="false">IF(AT266="","","")</f>
        <v/>
      </c>
      <c r="AN266" s="25" t="str">
        <f aca="false">IF(AT266="","",INDEX(入力シート!$C$5:$C$204,AT266))</f>
        <v/>
      </c>
      <c r="AO266" s="25" t="str">
        <f aca="false">IF(AT266="","","")</f>
        <v/>
      </c>
      <c r="AP266" s="25" t="str">
        <f aca="false">IF(AT266="","","")</f>
        <v/>
      </c>
      <c r="AQ266" s="25" t="str">
        <f aca="false">IF(AT266="","","")</f>
        <v/>
      </c>
      <c r="AT266" s="27" t="str">
        <f aca="false">IFERROR(MATCH(66,入力シート!$T$5:$T$204,0),"")</f>
        <v/>
      </c>
    </row>
    <row r="267" customFormat="false" ht="15" hidden="false" customHeight="true" outlineLevel="0" collapsed="false">
      <c r="A267" s="25" t="str">
        <f aca="false">IF(AT267="","",1)</f>
        <v/>
      </c>
      <c r="B267" s="25" t="str">
        <f aca="false">IF(AT267="","",1)</f>
        <v/>
      </c>
      <c r="C267" s="25" t="str">
        <f aca="false">IF(AT267="","",0)</f>
        <v/>
      </c>
      <c r="D267" s="25" t="str">
        <f aca="false">IF(AT267="","",TEXT(INDEX(入力シート!$A$5:$A$204,AT267),"YYYYMMDD"))</f>
        <v/>
      </c>
      <c r="E267" s="25" t="str">
        <f aca="false">IF(AT267="","",TEXT(INDEX(入力シート!$Q$5:$Q$204,AT267),"00000000"))</f>
        <v/>
      </c>
      <c r="F267" s="25" t="str">
        <f aca="false">IF(AT267="","",14)</f>
        <v/>
      </c>
      <c r="G267" s="25" t="str">
        <f aca="false">IF(AT267="","",1)</f>
        <v/>
      </c>
      <c r="H267" s="25" t="str">
        <f aca="false">IF(AT267="","",1)</f>
        <v/>
      </c>
      <c r="I267" s="25" t="str">
        <f aca="false">IF(AT267="","",3)</f>
        <v/>
      </c>
      <c r="J267" s="25" t="str">
        <f aca="false">IF(AT267="","",1)</f>
        <v/>
      </c>
      <c r="K267" s="25" t="str">
        <f aca="false">IF(AT267="","",INDEX(入力シート!$B$5:$B$204,AT267))</f>
        <v/>
      </c>
      <c r="L267" s="25" t="str">
        <f aca="false">IF(AT267="","","")</f>
        <v/>
      </c>
      <c r="M267" s="25" t="str">
        <f aca="false">IF(AT267="","","")</f>
        <v/>
      </c>
      <c r="N267" s="25" t="str">
        <f aca="false">IF(AT267="","",COUNTIF(入力シート!$Q$5:$Q$204,INDEX(入力シート!$Q$5:$Q$204,AT267))+1)</f>
        <v/>
      </c>
      <c r="O267" s="25" t="str">
        <f aca="false">IF(AT267="","",99)</f>
        <v/>
      </c>
      <c r="P267" s="25" t="str">
        <f aca="false">IF(AT267="","","")</f>
        <v/>
      </c>
      <c r="Q267" s="25" t="str">
        <f aca="false">IF(AT267="","","")</f>
        <v/>
      </c>
      <c r="R267" s="25" t="str">
        <f aca="false">IF(AT267="","","消費税")</f>
        <v/>
      </c>
      <c r="S267" s="25" t="str">
        <f aca="false">IF(AT267="","",0)</f>
        <v/>
      </c>
      <c r="T267" s="25" t="str">
        <f aca="false">IF(AT267="","","")</f>
        <v/>
      </c>
      <c r="U267" s="25" t="str">
        <f aca="false">IF(AT267="","",0)</f>
        <v/>
      </c>
      <c r="V267" s="25" t="str">
        <f aca="false">IF(AT267="","",0)</f>
        <v/>
      </c>
      <c r="W267" s="25" t="str">
        <f aca="false">IF(AT267="","","")</f>
        <v/>
      </c>
      <c r="X267" s="25" t="str">
        <f aca="false">IF(AT267="","",0)</f>
        <v/>
      </c>
      <c r="Y267" s="25" t="str">
        <f aca="false">IF(AT267="","",0)</f>
        <v/>
      </c>
      <c r="Z267" s="25" t="str">
        <f aca="false">IF(AT267="","",ROUNDDOWN(SUMIF(入力シート!$Q$5:$Q$204,INDEX(入力シート!$Q$5:$Q$204,AT267),入力シート!$P$5:$P$204)*IF(INDEX(入力シート!$L$5:$L$204,AT267)=13,0.1,IF(INDEX(入力シート!$L$5:$L$204,AT267)=30,0.08,0)),0))</f>
        <v/>
      </c>
      <c r="AA267" s="25" t="str">
        <f aca="false">IF(AT267="","","")</f>
        <v/>
      </c>
      <c r="AB267" s="25" t="str">
        <f aca="false">IF(AT267="","",0)</f>
        <v/>
      </c>
      <c r="AC267" s="25" t="str">
        <f aca="false">IF(AT267="","",0)</f>
        <v/>
      </c>
      <c r="AD267" s="25" t="str">
        <f aca="false">IF(AT267="","",0)</f>
        <v/>
      </c>
      <c r="AE267" s="25" t="str">
        <f aca="false">IF(AT267="","","")</f>
        <v/>
      </c>
      <c r="AF267" s="25" t="str">
        <f aca="false">IF(AT267="","",0)</f>
        <v/>
      </c>
      <c r="AG267" s="25" t="str">
        <f aca="false">IF(AT267="","",0)</f>
        <v/>
      </c>
      <c r="AH267" s="25" t="str">
        <f aca="false">IF(AT267="","","")</f>
        <v/>
      </c>
      <c r="AI267" s="25" t="str">
        <f aca="false">IF(AT267="","","")</f>
        <v/>
      </c>
      <c r="AJ267" s="25" t="str">
        <f aca="false">IF(AT267="","","")</f>
        <v/>
      </c>
      <c r="AK267" s="25" t="str">
        <f aca="false">IF(AT267="","",2)</f>
        <v/>
      </c>
      <c r="AL267" s="25" t="str">
        <f aca="false">IF(AT267="","","")</f>
        <v/>
      </c>
      <c r="AM267" s="25" t="str">
        <f aca="false">IF(AT267="","","")</f>
        <v/>
      </c>
      <c r="AN267" s="25" t="str">
        <f aca="false">IF(AT267="","",INDEX(入力シート!$C$5:$C$204,AT267))</f>
        <v/>
      </c>
      <c r="AO267" s="25" t="str">
        <f aca="false">IF(AT267="","","")</f>
        <v/>
      </c>
      <c r="AP267" s="25" t="str">
        <f aca="false">IF(AT267="","","")</f>
        <v/>
      </c>
      <c r="AQ267" s="25" t="str">
        <f aca="false">IF(AT267="","","")</f>
        <v/>
      </c>
      <c r="AT267" s="27" t="str">
        <f aca="false">IFERROR(MATCH(67,入力シート!$T$5:$T$204,0),"")</f>
        <v/>
      </c>
    </row>
    <row r="268" customFormat="false" ht="15" hidden="false" customHeight="true" outlineLevel="0" collapsed="false">
      <c r="A268" s="25" t="str">
        <f aca="false">IF(AT268="","",1)</f>
        <v/>
      </c>
      <c r="B268" s="25" t="str">
        <f aca="false">IF(AT268="","",1)</f>
        <v/>
      </c>
      <c r="C268" s="25" t="str">
        <f aca="false">IF(AT268="","",0)</f>
        <v/>
      </c>
      <c r="D268" s="25" t="str">
        <f aca="false">IF(AT268="","",TEXT(INDEX(入力シート!$A$5:$A$204,AT268),"YYYYMMDD"))</f>
        <v/>
      </c>
      <c r="E268" s="25" t="str">
        <f aca="false">IF(AT268="","",TEXT(INDEX(入力シート!$Q$5:$Q$204,AT268),"00000000"))</f>
        <v/>
      </c>
      <c r="F268" s="25" t="str">
        <f aca="false">IF(AT268="","",14)</f>
        <v/>
      </c>
      <c r="G268" s="25" t="str">
        <f aca="false">IF(AT268="","",1)</f>
        <v/>
      </c>
      <c r="H268" s="25" t="str">
        <f aca="false">IF(AT268="","",1)</f>
        <v/>
      </c>
      <c r="I268" s="25" t="str">
        <f aca="false">IF(AT268="","",3)</f>
        <v/>
      </c>
      <c r="J268" s="25" t="str">
        <f aca="false">IF(AT268="","",1)</f>
        <v/>
      </c>
      <c r="K268" s="25" t="str">
        <f aca="false">IF(AT268="","",INDEX(入力シート!$B$5:$B$204,AT268))</f>
        <v/>
      </c>
      <c r="L268" s="25" t="str">
        <f aca="false">IF(AT268="","","")</f>
        <v/>
      </c>
      <c r="M268" s="25" t="str">
        <f aca="false">IF(AT268="","","")</f>
        <v/>
      </c>
      <c r="N268" s="25" t="str">
        <f aca="false">IF(AT268="","",COUNTIF(入力シート!$Q$5:$Q$204,INDEX(入力シート!$Q$5:$Q$204,AT268))+1)</f>
        <v/>
      </c>
      <c r="O268" s="25" t="str">
        <f aca="false">IF(AT268="","",99)</f>
        <v/>
      </c>
      <c r="P268" s="25" t="str">
        <f aca="false">IF(AT268="","","")</f>
        <v/>
      </c>
      <c r="Q268" s="25" t="str">
        <f aca="false">IF(AT268="","","")</f>
        <v/>
      </c>
      <c r="R268" s="25" t="str">
        <f aca="false">IF(AT268="","","消費税")</f>
        <v/>
      </c>
      <c r="S268" s="25" t="str">
        <f aca="false">IF(AT268="","",0)</f>
        <v/>
      </c>
      <c r="T268" s="25" t="str">
        <f aca="false">IF(AT268="","","")</f>
        <v/>
      </c>
      <c r="U268" s="25" t="str">
        <f aca="false">IF(AT268="","",0)</f>
        <v/>
      </c>
      <c r="V268" s="25" t="str">
        <f aca="false">IF(AT268="","",0)</f>
        <v/>
      </c>
      <c r="W268" s="25" t="str">
        <f aca="false">IF(AT268="","","")</f>
        <v/>
      </c>
      <c r="X268" s="25" t="str">
        <f aca="false">IF(AT268="","",0)</f>
        <v/>
      </c>
      <c r="Y268" s="25" t="str">
        <f aca="false">IF(AT268="","",0)</f>
        <v/>
      </c>
      <c r="Z268" s="25" t="str">
        <f aca="false">IF(AT268="","",ROUNDDOWN(SUMIF(入力シート!$Q$5:$Q$204,INDEX(入力シート!$Q$5:$Q$204,AT268),入力シート!$P$5:$P$204)*IF(INDEX(入力シート!$L$5:$L$204,AT268)=13,0.1,IF(INDEX(入力シート!$L$5:$L$204,AT268)=30,0.08,0)),0))</f>
        <v/>
      </c>
      <c r="AA268" s="25" t="str">
        <f aca="false">IF(AT268="","","")</f>
        <v/>
      </c>
      <c r="AB268" s="25" t="str">
        <f aca="false">IF(AT268="","",0)</f>
        <v/>
      </c>
      <c r="AC268" s="25" t="str">
        <f aca="false">IF(AT268="","",0)</f>
        <v/>
      </c>
      <c r="AD268" s="25" t="str">
        <f aca="false">IF(AT268="","",0)</f>
        <v/>
      </c>
      <c r="AE268" s="25" t="str">
        <f aca="false">IF(AT268="","","")</f>
        <v/>
      </c>
      <c r="AF268" s="25" t="str">
        <f aca="false">IF(AT268="","",0)</f>
        <v/>
      </c>
      <c r="AG268" s="25" t="str">
        <f aca="false">IF(AT268="","",0)</f>
        <v/>
      </c>
      <c r="AH268" s="25" t="str">
        <f aca="false">IF(AT268="","","")</f>
        <v/>
      </c>
      <c r="AI268" s="25" t="str">
        <f aca="false">IF(AT268="","","")</f>
        <v/>
      </c>
      <c r="AJ268" s="25" t="str">
        <f aca="false">IF(AT268="","","")</f>
        <v/>
      </c>
      <c r="AK268" s="25" t="str">
        <f aca="false">IF(AT268="","",2)</f>
        <v/>
      </c>
      <c r="AL268" s="25" t="str">
        <f aca="false">IF(AT268="","","")</f>
        <v/>
      </c>
      <c r="AM268" s="25" t="str">
        <f aca="false">IF(AT268="","","")</f>
        <v/>
      </c>
      <c r="AN268" s="25" t="str">
        <f aca="false">IF(AT268="","",INDEX(入力シート!$C$5:$C$204,AT268))</f>
        <v/>
      </c>
      <c r="AO268" s="25" t="str">
        <f aca="false">IF(AT268="","","")</f>
        <v/>
      </c>
      <c r="AP268" s="25" t="str">
        <f aca="false">IF(AT268="","","")</f>
        <v/>
      </c>
      <c r="AQ268" s="25" t="str">
        <f aca="false">IF(AT268="","","")</f>
        <v/>
      </c>
      <c r="AT268" s="27" t="str">
        <f aca="false">IFERROR(MATCH(68,入力シート!$T$5:$T$204,0),"")</f>
        <v/>
      </c>
    </row>
    <row r="269" customFormat="false" ht="15" hidden="false" customHeight="true" outlineLevel="0" collapsed="false">
      <c r="A269" s="25" t="str">
        <f aca="false">IF(AT269="","",1)</f>
        <v/>
      </c>
      <c r="B269" s="25" t="str">
        <f aca="false">IF(AT269="","",1)</f>
        <v/>
      </c>
      <c r="C269" s="25" t="str">
        <f aca="false">IF(AT269="","",0)</f>
        <v/>
      </c>
      <c r="D269" s="25" t="str">
        <f aca="false">IF(AT269="","",TEXT(INDEX(入力シート!$A$5:$A$204,AT269),"YYYYMMDD"))</f>
        <v/>
      </c>
      <c r="E269" s="25" t="str">
        <f aca="false">IF(AT269="","",TEXT(INDEX(入力シート!$Q$5:$Q$204,AT269),"00000000"))</f>
        <v/>
      </c>
      <c r="F269" s="25" t="str">
        <f aca="false">IF(AT269="","",14)</f>
        <v/>
      </c>
      <c r="G269" s="25" t="str">
        <f aca="false">IF(AT269="","",1)</f>
        <v/>
      </c>
      <c r="H269" s="25" t="str">
        <f aca="false">IF(AT269="","",1)</f>
        <v/>
      </c>
      <c r="I269" s="25" t="str">
        <f aca="false">IF(AT269="","",3)</f>
        <v/>
      </c>
      <c r="J269" s="25" t="str">
        <f aca="false">IF(AT269="","",1)</f>
        <v/>
      </c>
      <c r="K269" s="25" t="str">
        <f aca="false">IF(AT269="","",INDEX(入力シート!$B$5:$B$204,AT269))</f>
        <v/>
      </c>
      <c r="L269" s="25" t="str">
        <f aca="false">IF(AT269="","","")</f>
        <v/>
      </c>
      <c r="M269" s="25" t="str">
        <f aca="false">IF(AT269="","","")</f>
        <v/>
      </c>
      <c r="N269" s="25" t="str">
        <f aca="false">IF(AT269="","",COUNTIF(入力シート!$Q$5:$Q$204,INDEX(入力シート!$Q$5:$Q$204,AT269))+1)</f>
        <v/>
      </c>
      <c r="O269" s="25" t="str">
        <f aca="false">IF(AT269="","",99)</f>
        <v/>
      </c>
      <c r="P269" s="25" t="str">
        <f aca="false">IF(AT269="","","")</f>
        <v/>
      </c>
      <c r="Q269" s="25" t="str">
        <f aca="false">IF(AT269="","","")</f>
        <v/>
      </c>
      <c r="R269" s="25" t="str">
        <f aca="false">IF(AT269="","","消費税")</f>
        <v/>
      </c>
      <c r="S269" s="25" t="str">
        <f aca="false">IF(AT269="","",0)</f>
        <v/>
      </c>
      <c r="T269" s="25" t="str">
        <f aca="false">IF(AT269="","","")</f>
        <v/>
      </c>
      <c r="U269" s="25" t="str">
        <f aca="false">IF(AT269="","",0)</f>
        <v/>
      </c>
      <c r="V269" s="25" t="str">
        <f aca="false">IF(AT269="","",0)</f>
        <v/>
      </c>
      <c r="W269" s="25" t="str">
        <f aca="false">IF(AT269="","","")</f>
        <v/>
      </c>
      <c r="X269" s="25" t="str">
        <f aca="false">IF(AT269="","",0)</f>
        <v/>
      </c>
      <c r="Y269" s="25" t="str">
        <f aca="false">IF(AT269="","",0)</f>
        <v/>
      </c>
      <c r="Z269" s="25" t="str">
        <f aca="false">IF(AT269="","",ROUNDDOWN(SUMIF(入力シート!$Q$5:$Q$204,INDEX(入力シート!$Q$5:$Q$204,AT269),入力シート!$P$5:$P$204)*IF(INDEX(入力シート!$L$5:$L$204,AT269)=13,0.1,IF(INDEX(入力シート!$L$5:$L$204,AT269)=30,0.08,0)),0))</f>
        <v/>
      </c>
      <c r="AA269" s="25" t="str">
        <f aca="false">IF(AT269="","","")</f>
        <v/>
      </c>
      <c r="AB269" s="25" t="str">
        <f aca="false">IF(AT269="","",0)</f>
        <v/>
      </c>
      <c r="AC269" s="25" t="str">
        <f aca="false">IF(AT269="","",0)</f>
        <v/>
      </c>
      <c r="AD269" s="25" t="str">
        <f aca="false">IF(AT269="","",0)</f>
        <v/>
      </c>
      <c r="AE269" s="25" t="str">
        <f aca="false">IF(AT269="","","")</f>
        <v/>
      </c>
      <c r="AF269" s="25" t="str">
        <f aca="false">IF(AT269="","",0)</f>
        <v/>
      </c>
      <c r="AG269" s="25" t="str">
        <f aca="false">IF(AT269="","",0)</f>
        <v/>
      </c>
      <c r="AH269" s="25" t="str">
        <f aca="false">IF(AT269="","","")</f>
        <v/>
      </c>
      <c r="AI269" s="25" t="str">
        <f aca="false">IF(AT269="","","")</f>
        <v/>
      </c>
      <c r="AJ269" s="25" t="str">
        <f aca="false">IF(AT269="","","")</f>
        <v/>
      </c>
      <c r="AK269" s="25" t="str">
        <f aca="false">IF(AT269="","",2)</f>
        <v/>
      </c>
      <c r="AL269" s="25" t="str">
        <f aca="false">IF(AT269="","","")</f>
        <v/>
      </c>
      <c r="AM269" s="25" t="str">
        <f aca="false">IF(AT269="","","")</f>
        <v/>
      </c>
      <c r="AN269" s="25" t="str">
        <f aca="false">IF(AT269="","",INDEX(入力シート!$C$5:$C$204,AT269))</f>
        <v/>
      </c>
      <c r="AO269" s="25" t="str">
        <f aca="false">IF(AT269="","","")</f>
        <v/>
      </c>
      <c r="AP269" s="25" t="str">
        <f aca="false">IF(AT269="","","")</f>
        <v/>
      </c>
      <c r="AQ269" s="25" t="str">
        <f aca="false">IF(AT269="","","")</f>
        <v/>
      </c>
      <c r="AT269" s="27" t="str">
        <f aca="false">IFERROR(MATCH(69,入力シート!$T$5:$T$204,0),"")</f>
        <v/>
      </c>
    </row>
    <row r="270" customFormat="false" ht="15" hidden="false" customHeight="true" outlineLevel="0" collapsed="false">
      <c r="A270" s="25" t="str">
        <f aca="false">IF(AT270="","",1)</f>
        <v/>
      </c>
      <c r="B270" s="25" t="str">
        <f aca="false">IF(AT270="","",1)</f>
        <v/>
      </c>
      <c r="C270" s="25" t="str">
        <f aca="false">IF(AT270="","",0)</f>
        <v/>
      </c>
      <c r="D270" s="25" t="str">
        <f aca="false">IF(AT270="","",TEXT(INDEX(入力シート!$A$5:$A$204,AT270),"YYYYMMDD"))</f>
        <v/>
      </c>
      <c r="E270" s="25" t="str">
        <f aca="false">IF(AT270="","",TEXT(INDEX(入力シート!$Q$5:$Q$204,AT270),"00000000"))</f>
        <v/>
      </c>
      <c r="F270" s="25" t="str">
        <f aca="false">IF(AT270="","",14)</f>
        <v/>
      </c>
      <c r="G270" s="25" t="str">
        <f aca="false">IF(AT270="","",1)</f>
        <v/>
      </c>
      <c r="H270" s="25" t="str">
        <f aca="false">IF(AT270="","",1)</f>
        <v/>
      </c>
      <c r="I270" s="25" t="str">
        <f aca="false">IF(AT270="","",3)</f>
        <v/>
      </c>
      <c r="J270" s="25" t="str">
        <f aca="false">IF(AT270="","",1)</f>
        <v/>
      </c>
      <c r="K270" s="25" t="str">
        <f aca="false">IF(AT270="","",INDEX(入力シート!$B$5:$B$204,AT270))</f>
        <v/>
      </c>
      <c r="L270" s="25" t="str">
        <f aca="false">IF(AT270="","","")</f>
        <v/>
      </c>
      <c r="M270" s="25" t="str">
        <f aca="false">IF(AT270="","","")</f>
        <v/>
      </c>
      <c r="N270" s="25" t="str">
        <f aca="false">IF(AT270="","",COUNTIF(入力シート!$Q$5:$Q$204,INDEX(入力シート!$Q$5:$Q$204,AT270))+1)</f>
        <v/>
      </c>
      <c r="O270" s="25" t="str">
        <f aca="false">IF(AT270="","",99)</f>
        <v/>
      </c>
      <c r="P270" s="25" t="str">
        <f aca="false">IF(AT270="","","")</f>
        <v/>
      </c>
      <c r="Q270" s="25" t="str">
        <f aca="false">IF(AT270="","","")</f>
        <v/>
      </c>
      <c r="R270" s="25" t="str">
        <f aca="false">IF(AT270="","","消費税")</f>
        <v/>
      </c>
      <c r="S270" s="25" t="str">
        <f aca="false">IF(AT270="","",0)</f>
        <v/>
      </c>
      <c r="T270" s="25" t="str">
        <f aca="false">IF(AT270="","","")</f>
        <v/>
      </c>
      <c r="U270" s="25" t="str">
        <f aca="false">IF(AT270="","",0)</f>
        <v/>
      </c>
      <c r="V270" s="25" t="str">
        <f aca="false">IF(AT270="","",0)</f>
        <v/>
      </c>
      <c r="W270" s="25" t="str">
        <f aca="false">IF(AT270="","","")</f>
        <v/>
      </c>
      <c r="X270" s="25" t="str">
        <f aca="false">IF(AT270="","",0)</f>
        <v/>
      </c>
      <c r="Y270" s="25" t="str">
        <f aca="false">IF(AT270="","",0)</f>
        <v/>
      </c>
      <c r="Z270" s="25" t="str">
        <f aca="false">IF(AT270="","",ROUNDDOWN(SUMIF(入力シート!$Q$5:$Q$204,INDEX(入力シート!$Q$5:$Q$204,AT270),入力シート!$P$5:$P$204)*IF(INDEX(入力シート!$L$5:$L$204,AT270)=13,0.1,IF(INDEX(入力シート!$L$5:$L$204,AT270)=30,0.08,0)),0))</f>
        <v/>
      </c>
      <c r="AA270" s="25" t="str">
        <f aca="false">IF(AT270="","","")</f>
        <v/>
      </c>
      <c r="AB270" s="25" t="str">
        <f aca="false">IF(AT270="","",0)</f>
        <v/>
      </c>
      <c r="AC270" s="25" t="str">
        <f aca="false">IF(AT270="","",0)</f>
        <v/>
      </c>
      <c r="AD270" s="25" t="str">
        <f aca="false">IF(AT270="","",0)</f>
        <v/>
      </c>
      <c r="AE270" s="25" t="str">
        <f aca="false">IF(AT270="","","")</f>
        <v/>
      </c>
      <c r="AF270" s="25" t="str">
        <f aca="false">IF(AT270="","",0)</f>
        <v/>
      </c>
      <c r="AG270" s="25" t="str">
        <f aca="false">IF(AT270="","",0)</f>
        <v/>
      </c>
      <c r="AH270" s="25" t="str">
        <f aca="false">IF(AT270="","","")</f>
        <v/>
      </c>
      <c r="AI270" s="25" t="str">
        <f aca="false">IF(AT270="","","")</f>
        <v/>
      </c>
      <c r="AJ270" s="25" t="str">
        <f aca="false">IF(AT270="","","")</f>
        <v/>
      </c>
      <c r="AK270" s="25" t="str">
        <f aca="false">IF(AT270="","",2)</f>
        <v/>
      </c>
      <c r="AL270" s="25" t="str">
        <f aca="false">IF(AT270="","","")</f>
        <v/>
      </c>
      <c r="AM270" s="25" t="str">
        <f aca="false">IF(AT270="","","")</f>
        <v/>
      </c>
      <c r="AN270" s="25" t="str">
        <f aca="false">IF(AT270="","",INDEX(入力シート!$C$5:$C$204,AT270))</f>
        <v/>
      </c>
      <c r="AO270" s="25" t="str">
        <f aca="false">IF(AT270="","","")</f>
        <v/>
      </c>
      <c r="AP270" s="25" t="str">
        <f aca="false">IF(AT270="","","")</f>
        <v/>
      </c>
      <c r="AQ270" s="25" t="str">
        <f aca="false">IF(AT270="","","")</f>
        <v/>
      </c>
      <c r="AT270" s="27" t="str">
        <f aca="false">IFERROR(MATCH(70,入力シート!$T$5:$T$204,0),"")</f>
        <v/>
      </c>
    </row>
    <row r="271" customFormat="false" ht="15" hidden="false" customHeight="true" outlineLevel="0" collapsed="false">
      <c r="A271" s="25" t="str">
        <f aca="false">IF(AT271="","",1)</f>
        <v/>
      </c>
      <c r="B271" s="25" t="str">
        <f aca="false">IF(AT271="","",1)</f>
        <v/>
      </c>
      <c r="C271" s="25" t="str">
        <f aca="false">IF(AT271="","",0)</f>
        <v/>
      </c>
      <c r="D271" s="25" t="str">
        <f aca="false">IF(AT271="","",TEXT(INDEX(入力シート!$A$5:$A$204,AT271),"YYYYMMDD"))</f>
        <v/>
      </c>
      <c r="E271" s="25" t="str">
        <f aca="false">IF(AT271="","",TEXT(INDEX(入力シート!$Q$5:$Q$204,AT271),"00000000"))</f>
        <v/>
      </c>
      <c r="F271" s="25" t="str">
        <f aca="false">IF(AT271="","",14)</f>
        <v/>
      </c>
      <c r="G271" s="25" t="str">
        <f aca="false">IF(AT271="","",1)</f>
        <v/>
      </c>
      <c r="H271" s="25" t="str">
        <f aca="false">IF(AT271="","",1)</f>
        <v/>
      </c>
      <c r="I271" s="25" t="str">
        <f aca="false">IF(AT271="","",3)</f>
        <v/>
      </c>
      <c r="J271" s="25" t="str">
        <f aca="false">IF(AT271="","",1)</f>
        <v/>
      </c>
      <c r="K271" s="25" t="str">
        <f aca="false">IF(AT271="","",INDEX(入力シート!$B$5:$B$204,AT271))</f>
        <v/>
      </c>
      <c r="L271" s="25" t="str">
        <f aca="false">IF(AT271="","","")</f>
        <v/>
      </c>
      <c r="M271" s="25" t="str">
        <f aca="false">IF(AT271="","","")</f>
        <v/>
      </c>
      <c r="N271" s="25" t="str">
        <f aca="false">IF(AT271="","",COUNTIF(入力シート!$Q$5:$Q$204,INDEX(入力シート!$Q$5:$Q$204,AT271))+1)</f>
        <v/>
      </c>
      <c r="O271" s="25" t="str">
        <f aca="false">IF(AT271="","",99)</f>
        <v/>
      </c>
      <c r="P271" s="25" t="str">
        <f aca="false">IF(AT271="","","")</f>
        <v/>
      </c>
      <c r="Q271" s="25" t="str">
        <f aca="false">IF(AT271="","","")</f>
        <v/>
      </c>
      <c r="R271" s="25" t="str">
        <f aca="false">IF(AT271="","","消費税")</f>
        <v/>
      </c>
      <c r="S271" s="25" t="str">
        <f aca="false">IF(AT271="","",0)</f>
        <v/>
      </c>
      <c r="T271" s="25" t="str">
        <f aca="false">IF(AT271="","","")</f>
        <v/>
      </c>
      <c r="U271" s="25" t="str">
        <f aca="false">IF(AT271="","",0)</f>
        <v/>
      </c>
      <c r="V271" s="25" t="str">
        <f aca="false">IF(AT271="","",0)</f>
        <v/>
      </c>
      <c r="W271" s="25" t="str">
        <f aca="false">IF(AT271="","","")</f>
        <v/>
      </c>
      <c r="X271" s="25" t="str">
        <f aca="false">IF(AT271="","",0)</f>
        <v/>
      </c>
      <c r="Y271" s="25" t="str">
        <f aca="false">IF(AT271="","",0)</f>
        <v/>
      </c>
      <c r="Z271" s="25" t="str">
        <f aca="false">IF(AT271="","",ROUNDDOWN(SUMIF(入力シート!$Q$5:$Q$204,INDEX(入力シート!$Q$5:$Q$204,AT271),入力シート!$P$5:$P$204)*IF(INDEX(入力シート!$L$5:$L$204,AT271)=13,0.1,IF(INDEX(入力シート!$L$5:$L$204,AT271)=30,0.08,0)),0))</f>
        <v/>
      </c>
      <c r="AA271" s="25" t="str">
        <f aca="false">IF(AT271="","","")</f>
        <v/>
      </c>
      <c r="AB271" s="25" t="str">
        <f aca="false">IF(AT271="","",0)</f>
        <v/>
      </c>
      <c r="AC271" s="25" t="str">
        <f aca="false">IF(AT271="","",0)</f>
        <v/>
      </c>
      <c r="AD271" s="25" t="str">
        <f aca="false">IF(AT271="","",0)</f>
        <v/>
      </c>
      <c r="AE271" s="25" t="str">
        <f aca="false">IF(AT271="","","")</f>
        <v/>
      </c>
      <c r="AF271" s="25" t="str">
        <f aca="false">IF(AT271="","",0)</f>
        <v/>
      </c>
      <c r="AG271" s="25" t="str">
        <f aca="false">IF(AT271="","",0)</f>
        <v/>
      </c>
      <c r="AH271" s="25" t="str">
        <f aca="false">IF(AT271="","","")</f>
        <v/>
      </c>
      <c r="AI271" s="25" t="str">
        <f aca="false">IF(AT271="","","")</f>
        <v/>
      </c>
      <c r="AJ271" s="25" t="str">
        <f aca="false">IF(AT271="","","")</f>
        <v/>
      </c>
      <c r="AK271" s="25" t="str">
        <f aca="false">IF(AT271="","",2)</f>
        <v/>
      </c>
      <c r="AL271" s="25" t="str">
        <f aca="false">IF(AT271="","","")</f>
        <v/>
      </c>
      <c r="AM271" s="25" t="str">
        <f aca="false">IF(AT271="","","")</f>
        <v/>
      </c>
      <c r="AN271" s="25" t="str">
        <f aca="false">IF(AT271="","",INDEX(入力シート!$C$5:$C$204,AT271))</f>
        <v/>
      </c>
      <c r="AO271" s="25" t="str">
        <f aca="false">IF(AT271="","","")</f>
        <v/>
      </c>
      <c r="AP271" s="25" t="str">
        <f aca="false">IF(AT271="","","")</f>
        <v/>
      </c>
      <c r="AQ271" s="25" t="str">
        <f aca="false">IF(AT271="","","")</f>
        <v/>
      </c>
      <c r="AT271" s="27" t="str">
        <f aca="false">IFERROR(MATCH(71,入力シート!$T$5:$T$204,0),"")</f>
        <v/>
      </c>
    </row>
    <row r="272" customFormat="false" ht="15" hidden="false" customHeight="true" outlineLevel="0" collapsed="false">
      <c r="A272" s="25" t="str">
        <f aca="false">IF(AT272="","",1)</f>
        <v/>
      </c>
      <c r="B272" s="25" t="str">
        <f aca="false">IF(AT272="","",1)</f>
        <v/>
      </c>
      <c r="C272" s="25" t="str">
        <f aca="false">IF(AT272="","",0)</f>
        <v/>
      </c>
      <c r="D272" s="25" t="str">
        <f aca="false">IF(AT272="","",TEXT(INDEX(入力シート!$A$5:$A$204,AT272),"YYYYMMDD"))</f>
        <v/>
      </c>
      <c r="E272" s="25" t="str">
        <f aca="false">IF(AT272="","",TEXT(INDEX(入力シート!$Q$5:$Q$204,AT272),"00000000"))</f>
        <v/>
      </c>
      <c r="F272" s="25" t="str">
        <f aca="false">IF(AT272="","",14)</f>
        <v/>
      </c>
      <c r="G272" s="25" t="str">
        <f aca="false">IF(AT272="","",1)</f>
        <v/>
      </c>
      <c r="H272" s="25" t="str">
        <f aca="false">IF(AT272="","",1)</f>
        <v/>
      </c>
      <c r="I272" s="25" t="str">
        <f aca="false">IF(AT272="","",3)</f>
        <v/>
      </c>
      <c r="J272" s="25" t="str">
        <f aca="false">IF(AT272="","",1)</f>
        <v/>
      </c>
      <c r="K272" s="25" t="str">
        <f aca="false">IF(AT272="","",INDEX(入力シート!$B$5:$B$204,AT272))</f>
        <v/>
      </c>
      <c r="L272" s="25" t="str">
        <f aca="false">IF(AT272="","","")</f>
        <v/>
      </c>
      <c r="M272" s="25" t="str">
        <f aca="false">IF(AT272="","","")</f>
        <v/>
      </c>
      <c r="N272" s="25" t="str">
        <f aca="false">IF(AT272="","",COUNTIF(入力シート!$Q$5:$Q$204,INDEX(入力シート!$Q$5:$Q$204,AT272))+1)</f>
        <v/>
      </c>
      <c r="O272" s="25" t="str">
        <f aca="false">IF(AT272="","",99)</f>
        <v/>
      </c>
      <c r="P272" s="25" t="str">
        <f aca="false">IF(AT272="","","")</f>
        <v/>
      </c>
      <c r="Q272" s="25" t="str">
        <f aca="false">IF(AT272="","","")</f>
        <v/>
      </c>
      <c r="R272" s="25" t="str">
        <f aca="false">IF(AT272="","","消費税")</f>
        <v/>
      </c>
      <c r="S272" s="25" t="str">
        <f aca="false">IF(AT272="","",0)</f>
        <v/>
      </c>
      <c r="T272" s="25" t="str">
        <f aca="false">IF(AT272="","","")</f>
        <v/>
      </c>
      <c r="U272" s="25" t="str">
        <f aca="false">IF(AT272="","",0)</f>
        <v/>
      </c>
      <c r="V272" s="25" t="str">
        <f aca="false">IF(AT272="","",0)</f>
        <v/>
      </c>
      <c r="W272" s="25" t="str">
        <f aca="false">IF(AT272="","","")</f>
        <v/>
      </c>
      <c r="X272" s="25" t="str">
        <f aca="false">IF(AT272="","",0)</f>
        <v/>
      </c>
      <c r="Y272" s="25" t="str">
        <f aca="false">IF(AT272="","",0)</f>
        <v/>
      </c>
      <c r="Z272" s="25" t="str">
        <f aca="false">IF(AT272="","",ROUNDDOWN(SUMIF(入力シート!$Q$5:$Q$204,INDEX(入力シート!$Q$5:$Q$204,AT272),入力シート!$P$5:$P$204)*IF(INDEX(入力シート!$L$5:$L$204,AT272)=13,0.1,IF(INDEX(入力シート!$L$5:$L$204,AT272)=30,0.08,0)),0))</f>
        <v/>
      </c>
      <c r="AA272" s="25" t="str">
        <f aca="false">IF(AT272="","","")</f>
        <v/>
      </c>
      <c r="AB272" s="25" t="str">
        <f aca="false">IF(AT272="","",0)</f>
        <v/>
      </c>
      <c r="AC272" s="25" t="str">
        <f aca="false">IF(AT272="","",0)</f>
        <v/>
      </c>
      <c r="AD272" s="25" t="str">
        <f aca="false">IF(AT272="","",0)</f>
        <v/>
      </c>
      <c r="AE272" s="25" t="str">
        <f aca="false">IF(AT272="","","")</f>
        <v/>
      </c>
      <c r="AF272" s="25" t="str">
        <f aca="false">IF(AT272="","",0)</f>
        <v/>
      </c>
      <c r="AG272" s="25" t="str">
        <f aca="false">IF(AT272="","",0)</f>
        <v/>
      </c>
      <c r="AH272" s="25" t="str">
        <f aca="false">IF(AT272="","","")</f>
        <v/>
      </c>
      <c r="AI272" s="25" t="str">
        <f aca="false">IF(AT272="","","")</f>
        <v/>
      </c>
      <c r="AJ272" s="25" t="str">
        <f aca="false">IF(AT272="","","")</f>
        <v/>
      </c>
      <c r="AK272" s="25" t="str">
        <f aca="false">IF(AT272="","",2)</f>
        <v/>
      </c>
      <c r="AL272" s="25" t="str">
        <f aca="false">IF(AT272="","","")</f>
        <v/>
      </c>
      <c r="AM272" s="25" t="str">
        <f aca="false">IF(AT272="","","")</f>
        <v/>
      </c>
      <c r="AN272" s="25" t="str">
        <f aca="false">IF(AT272="","",INDEX(入力シート!$C$5:$C$204,AT272))</f>
        <v/>
      </c>
      <c r="AO272" s="25" t="str">
        <f aca="false">IF(AT272="","","")</f>
        <v/>
      </c>
      <c r="AP272" s="25" t="str">
        <f aca="false">IF(AT272="","","")</f>
        <v/>
      </c>
      <c r="AQ272" s="25" t="str">
        <f aca="false">IF(AT272="","","")</f>
        <v/>
      </c>
      <c r="AT272" s="27" t="str">
        <f aca="false">IFERROR(MATCH(72,入力シート!$T$5:$T$204,0),"")</f>
        <v/>
      </c>
    </row>
    <row r="273" customFormat="false" ht="15" hidden="false" customHeight="true" outlineLevel="0" collapsed="false">
      <c r="A273" s="25" t="str">
        <f aca="false">IF(AT273="","",1)</f>
        <v/>
      </c>
      <c r="B273" s="25" t="str">
        <f aca="false">IF(AT273="","",1)</f>
        <v/>
      </c>
      <c r="C273" s="25" t="str">
        <f aca="false">IF(AT273="","",0)</f>
        <v/>
      </c>
      <c r="D273" s="25" t="str">
        <f aca="false">IF(AT273="","",TEXT(INDEX(入力シート!$A$5:$A$204,AT273),"YYYYMMDD"))</f>
        <v/>
      </c>
      <c r="E273" s="25" t="str">
        <f aca="false">IF(AT273="","",TEXT(INDEX(入力シート!$Q$5:$Q$204,AT273),"00000000"))</f>
        <v/>
      </c>
      <c r="F273" s="25" t="str">
        <f aca="false">IF(AT273="","",14)</f>
        <v/>
      </c>
      <c r="G273" s="25" t="str">
        <f aca="false">IF(AT273="","",1)</f>
        <v/>
      </c>
      <c r="H273" s="25" t="str">
        <f aca="false">IF(AT273="","",1)</f>
        <v/>
      </c>
      <c r="I273" s="25" t="str">
        <f aca="false">IF(AT273="","",3)</f>
        <v/>
      </c>
      <c r="J273" s="25" t="str">
        <f aca="false">IF(AT273="","",1)</f>
        <v/>
      </c>
      <c r="K273" s="25" t="str">
        <f aca="false">IF(AT273="","",INDEX(入力シート!$B$5:$B$204,AT273))</f>
        <v/>
      </c>
      <c r="L273" s="25" t="str">
        <f aca="false">IF(AT273="","","")</f>
        <v/>
      </c>
      <c r="M273" s="25" t="str">
        <f aca="false">IF(AT273="","","")</f>
        <v/>
      </c>
      <c r="N273" s="25" t="str">
        <f aca="false">IF(AT273="","",COUNTIF(入力シート!$Q$5:$Q$204,INDEX(入力シート!$Q$5:$Q$204,AT273))+1)</f>
        <v/>
      </c>
      <c r="O273" s="25" t="str">
        <f aca="false">IF(AT273="","",99)</f>
        <v/>
      </c>
      <c r="P273" s="25" t="str">
        <f aca="false">IF(AT273="","","")</f>
        <v/>
      </c>
      <c r="Q273" s="25" t="str">
        <f aca="false">IF(AT273="","","")</f>
        <v/>
      </c>
      <c r="R273" s="25" t="str">
        <f aca="false">IF(AT273="","","消費税")</f>
        <v/>
      </c>
      <c r="S273" s="25" t="str">
        <f aca="false">IF(AT273="","",0)</f>
        <v/>
      </c>
      <c r="T273" s="25" t="str">
        <f aca="false">IF(AT273="","","")</f>
        <v/>
      </c>
      <c r="U273" s="25" t="str">
        <f aca="false">IF(AT273="","",0)</f>
        <v/>
      </c>
      <c r="V273" s="25" t="str">
        <f aca="false">IF(AT273="","",0)</f>
        <v/>
      </c>
      <c r="W273" s="25" t="str">
        <f aca="false">IF(AT273="","","")</f>
        <v/>
      </c>
      <c r="X273" s="25" t="str">
        <f aca="false">IF(AT273="","",0)</f>
        <v/>
      </c>
      <c r="Y273" s="25" t="str">
        <f aca="false">IF(AT273="","",0)</f>
        <v/>
      </c>
      <c r="Z273" s="25" t="str">
        <f aca="false">IF(AT273="","",ROUNDDOWN(SUMIF(入力シート!$Q$5:$Q$204,INDEX(入力シート!$Q$5:$Q$204,AT273),入力シート!$P$5:$P$204)*IF(INDEX(入力シート!$L$5:$L$204,AT273)=13,0.1,IF(INDEX(入力シート!$L$5:$L$204,AT273)=30,0.08,0)),0))</f>
        <v/>
      </c>
      <c r="AA273" s="25" t="str">
        <f aca="false">IF(AT273="","","")</f>
        <v/>
      </c>
      <c r="AB273" s="25" t="str">
        <f aca="false">IF(AT273="","",0)</f>
        <v/>
      </c>
      <c r="AC273" s="25" t="str">
        <f aca="false">IF(AT273="","",0)</f>
        <v/>
      </c>
      <c r="AD273" s="25" t="str">
        <f aca="false">IF(AT273="","",0)</f>
        <v/>
      </c>
      <c r="AE273" s="25" t="str">
        <f aca="false">IF(AT273="","","")</f>
        <v/>
      </c>
      <c r="AF273" s="25" t="str">
        <f aca="false">IF(AT273="","",0)</f>
        <v/>
      </c>
      <c r="AG273" s="25" t="str">
        <f aca="false">IF(AT273="","",0)</f>
        <v/>
      </c>
      <c r="AH273" s="25" t="str">
        <f aca="false">IF(AT273="","","")</f>
        <v/>
      </c>
      <c r="AI273" s="25" t="str">
        <f aca="false">IF(AT273="","","")</f>
        <v/>
      </c>
      <c r="AJ273" s="25" t="str">
        <f aca="false">IF(AT273="","","")</f>
        <v/>
      </c>
      <c r="AK273" s="25" t="str">
        <f aca="false">IF(AT273="","",2)</f>
        <v/>
      </c>
      <c r="AL273" s="25" t="str">
        <f aca="false">IF(AT273="","","")</f>
        <v/>
      </c>
      <c r="AM273" s="25" t="str">
        <f aca="false">IF(AT273="","","")</f>
        <v/>
      </c>
      <c r="AN273" s="25" t="str">
        <f aca="false">IF(AT273="","",INDEX(入力シート!$C$5:$C$204,AT273))</f>
        <v/>
      </c>
      <c r="AO273" s="25" t="str">
        <f aca="false">IF(AT273="","","")</f>
        <v/>
      </c>
      <c r="AP273" s="25" t="str">
        <f aca="false">IF(AT273="","","")</f>
        <v/>
      </c>
      <c r="AQ273" s="25" t="str">
        <f aca="false">IF(AT273="","","")</f>
        <v/>
      </c>
      <c r="AT273" s="27" t="str">
        <f aca="false">IFERROR(MATCH(73,入力シート!$T$5:$T$204,0),"")</f>
        <v/>
      </c>
    </row>
    <row r="274" customFormat="false" ht="15" hidden="false" customHeight="true" outlineLevel="0" collapsed="false">
      <c r="A274" s="25" t="str">
        <f aca="false">IF(AT274="","",1)</f>
        <v/>
      </c>
      <c r="B274" s="25" t="str">
        <f aca="false">IF(AT274="","",1)</f>
        <v/>
      </c>
      <c r="C274" s="25" t="str">
        <f aca="false">IF(AT274="","",0)</f>
        <v/>
      </c>
      <c r="D274" s="25" t="str">
        <f aca="false">IF(AT274="","",TEXT(INDEX(入力シート!$A$5:$A$204,AT274),"YYYYMMDD"))</f>
        <v/>
      </c>
      <c r="E274" s="25" t="str">
        <f aca="false">IF(AT274="","",TEXT(INDEX(入力シート!$Q$5:$Q$204,AT274),"00000000"))</f>
        <v/>
      </c>
      <c r="F274" s="25" t="str">
        <f aca="false">IF(AT274="","",14)</f>
        <v/>
      </c>
      <c r="G274" s="25" t="str">
        <f aca="false">IF(AT274="","",1)</f>
        <v/>
      </c>
      <c r="H274" s="25" t="str">
        <f aca="false">IF(AT274="","",1)</f>
        <v/>
      </c>
      <c r="I274" s="25" t="str">
        <f aca="false">IF(AT274="","",3)</f>
        <v/>
      </c>
      <c r="J274" s="25" t="str">
        <f aca="false">IF(AT274="","",1)</f>
        <v/>
      </c>
      <c r="K274" s="25" t="str">
        <f aca="false">IF(AT274="","",INDEX(入力シート!$B$5:$B$204,AT274))</f>
        <v/>
      </c>
      <c r="L274" s="25" t="str">
        <f aca="false">IF(AT274="","","")</f>
        <v/>
      </c>
      <c r="M274" s="25" t="str">
        <f aca="false">IF(AT274="","","")</f>
        <v/>
      </c>
      <c r="N274" s="25" t="str">
        <f aca="false">IF(AT274="","",COUNTIF(入力シート!$Q$5:$Q$204,INDEX(入力シート!$Q$5:$Q$204,AT274))+1)</f>
        <v/>
      </c>
      <c r="O274" s="25" t="str">
        <f aca="false">IF(AT274="","",99)</f>
        <v/>
      </c>
      <c r="P274" s="25" t="str">
        <f aca="false">IF(AT274="","","")</f>
        <v/>
      </c>
      <c r="Q274" s="25" t="str">
        <f aca="false">IF(AT274="","","")</f>
        <v/>
      </c>
      <c r="R274" s="25" t="str">
        <f aca="false">IF(AT274="","","消費税")</f>
        <v/>
      </c>
      <c r="S274" s="25" t="str">
        <f aca="false">IF(AT274="","",0)</f>
        <v/>
      </c>
      <c r="T274" s="25" t="str">
        <f aca="false">IF(AT274="","","")</f>
        <v/>
      </c>
      <c r="U274" s="25" t="str">
        <f aca="false">IF(AT274="","",0)</f>
        <v/>
      </c>
      <c r="V274" s="25" t="str">
        <f aca="false">IF(AT274="","",0)</f>
        <v/>
      </c>
      <c r="W274" s="25" t="str">
        <f aca="false">IF(AT274="","","")</f>
        <v/>
      </c>
      <c r="X274" s="25" t="str">
        <f aca="false">IF(AT274="","",0)</f>
        <v/>
      </c>
      <c r="Y274" s="25" t="str">
        <f aca="false">IF(AT274="","",0)</f>
        <v/>
      </c>
      <c r="Z274" s="25" t="str">
        <f aca="false">IF(AT274="","",ROUNDDOWN(SUMIF(入力シート!$Q$5:$Q$204,INDEX(入力シート!$Q$5:$Q$204,AT274),入力シート!$P$5:$P$204)*IF(INDEX(入力シート!$L$5:$L$204,AT274)=13,0.1,IF(INDEX(入力シート!$L$5:$L$204,AT274)=30,0.08,0)),0))</f>
        <v/>
      </c>
      <c r="AA274" s="25" t="str">
        <f aca="false">IF(AT274="","","")</f>
        <v/>
      </c>
      <c r="AB274" s="25" t="str">
        <f aca="false">IF(AT274="","",0)</f>
        <v/>
      </c>
      <c r="AC274" s="25" t="str">
        <f aca="false">IF(AT274="","",0)</f>
        <v/>
      </c>
      <c r="AD274" s="25" t="str">
        <f aca="false">IF(AT274="","",0)</f>
        <v/>
      </c>
      <c r="AE274" s="25" t="str">
        <f aca="false">IF(AT274="","","")</f>
        <v/>
      </c>
      <c r="AF274" s="25" t="str">
        <f aca="false">IF(AT274="","",0)</f>
        <v/>
      </c>
      <c r="AG274" s="25" t="str">
        <f aca="false">IF(AT274="","",0)</f>
        <v/>
      </c>
      <c r="AH274" s="25" t="str">
        <f aca="false">IF(AT274="","","")</f>
        <v/>
      </c>
      <c r="AI274" s="25" t="str">
        <f aca="false">IF(AT274="","","")</f>
        <v/>
      </c>
      <c r="AJ274" s="25" t="str">
        <f aca="false">IF(AT274="","","")</f>
        <v/>
      </c>
      <c r="AK274" s="25" t="str">
        <f aca="false">IF(AT274="","",2)</f>
        <v/>
      </c>
      <c r="AL274" s="25" t="str">
        <f aca="false">IF(AT274="","","")</f>
        <v/>
      </c>
      <c r="AM274" s="25" t="str">
        <f aca="false">IF(AT274="","","")</f>
        <v/>
      </c>
      <c r="AN274" s="25" t="str">
        <f aca="false">IF(AT274="","",INDEX(入力シート!$C$5:$C$204,AT274))</f>
        <v/>
      </c>
      <c r="AO274" s="25" t="str">
        <f aca="false">IF(AT274="","","")</f>
        <v/>
      </c>
      <c r="AP274" s="25" t="str">
        <f aca="false">IF(AT274="","","")</f>
        <v/>
      </c>
      <c r="AQ274" s="25" t="str">
        <f aca="false">IF(AT274="","","")</f>
        <v/>
      </c>
      <c r="AT274" s="27" t="str">
        <f aca="false">IFERROR(MATCH(74,入力シート!$T$5:$T$204,0),"")</f>
        <v/>
      </c>
    </row>
    <row r="275" customFormat="false" ht="15" hidden="false" customHeight="true" outlineLevel="0" collapsed="false">
      <c r="A275" s="25" t="str">
        <f aca="false">IF(AT275="","",1)</f>
        <v/>
      </c>
      <c r="B275" s="25" t="str">
        <f aca="false">IF(AT275="","",1)</f>
        <v/>
      </c>
      <c r="C275" s="25" t="str">
        <f aca="false">IF(AT275="","",0)</f>
        <v/>
      </c>
      <c r="D275" s="25" t="str">
        <f aca="false">IF(AT275="","",TEXT(INDEX(入力シート!$A$5:$A$204,AT275),"YYYYMMDD"))</f>
        <v/>
      </c>
      <c r="E275" s="25" t="str">
        <f aca="false">IF(AT275="","",TEXT(INDEX(入力シート!$Q$5:$Q$204,AT275),"00000000"))</f>
        <v/>
      </c>
      <c r="F275" s="25" t="str">
        <f aca="false">IF(AT275="","",14)</f>
        <v/>
      </c>
      <c r="G275" s="25" t="str">
        <f aca="false">IF(AT275="","",1)</f>
        <v/>
      </c>
      <c r="H275" s="25" t="str">
        <f aca="false">IF(AT275="","",1)</f>
        <v/>
      </c>
      <c r="I275" s="25" t="str">
        <f aca="false">IF(AT275="","",3)</f>
        <v/>
      </c>
      <c r="J275" s="25" t="str">
        <f aca="false">IF(AT275="","",1)</f>
        <v/>
      </c>
      <c r="K275" s="25" t="str">
        <f aca="false">IF(AT275="","",INDEX(入力シート!$B$5:$B$204,AT275))</f>
        <v/>
      </c>
      <c r="L275" s="25" t="str">
        <f aca="false">IF(AT275="","","")</f>
        <v/>
      </c>
      <c r="M275" s="25" t="str">
        <f aca="false">IF(AT275="","","")</f>
        <v/>
      </c>
      <c r="N275" s="25" t="str">
        <f aca="false">IF(AT275="","",COUNTIF(入力シート!$Q$5:$Q$204,INDEX(入力シート!$Q$5:$Q$204,AT275))+1)</f>
        <v/>
      </c>
      <c r="O275" s="25" t="str">
        <f aca="false">IF(AT275="","",99)</f>
        <v/>
      </c>
      <c r="P275" s="25" t="str">
        <f aca="false">IF(AT275="","","")</f>
        <v/>
      </c>
      <c r="Q275" s="25" t="str">
        <f aca="false">IF(AT275="","","")</f>
        <v/>
      </c>
      <c r="R275" s="25" t="str">
        <f aca="false">IF(AT275="","","消費税")</f>
        <v/>
      </c>
      <c r="S275" s="25" t="str">
        <f aca="false">IF(AT275="","",0)</f>
        <v/>
      </c>
      <c r="T275" s="25" t="str">
        <f aca="false">IF(AT275="","","")</f>
        <v/>
      </c>
      <c r="U275" s="25" t="str">
        <f aca="false">IF(AT275="","",0)</f>
        <v/>
      </c>
      <c r="V275" s="25" t="str">
        <f aca="false">IF(AT275="","",0)</f>
        <v/>
      </c>
      <c r="W275" s="25" t="str">
        <f aca="false">IF(AT275="","","")</f>
        <v/>
      </c>
      <c r="X275" s="25" t="str">
        <f aca="false">IF(AT275="","",0)</f>
        <v/>
      </c>
      <c r="Y275" s="25" t="str">
        <f aca="false">IF(AT275="","",0)</f>
        <v/>
      </c>
      <c r="Z275" s="25" t="str">
        <f aca="false">IF(AT275="","",ROUNDDOWN(SUMIF(入力シート!$Q$5:$Q$204,INDEX(入力シート!$Q$5:$Q$204,AT275),入力シート!$P$5:$P$204)*IF(INDEX(入力シート!$L$5:$L$204,AT275)=13,0.1,IF(INDEX(入力シート!$L$5:$L$204,AT275)=30,0.08,0)),0))</f>
        <v/>
      </c>
      <c r="AA275" s="25" t="str">
        <f aca="false">IF(AT275="","","")</f>
        <v/>
      </c>
      <c r="AB275" s="25" t="str">
        <f aca="false">IF(AT275="","",0)</f>
        <v/>
      </c>
      <c r="AC275" s="25" t="str">
        <f aca="false">IF(AT275="","",0)</f>
        <v/>
      </c>
      <c r="AD275" s="25" t="str">
        <f aca="false">IF(AT275="","",0)</f>
        <v/>
      </c>
      <c r="AE275" s="25" t="str">
        <f aca="false">IF(AT275="","","")</f>
        <v/>
      </c>
      <c r="AF275" s="25" t="str">
        <f aca="false">IF(AT275="","",0)</f>
        <v/>
      </c>
      <c r="AG275" s="25" t="str">
        <f aca="false">IF(AT275="","",0)</f>
        <v/>
      </c>
      <c r="AH275" s="25" t="str">
        <f aca="false">IF(AT275="","","")</f>
        <v/>
      </c>
      <c r="AI275" s="25" t="str">
        <f aca="false">IF(AT275="","","")</f>
        <v/>
      </c>
      <c r="AJ275" s="25" t="str">
        <f aca="false">IF(AT275="","","")</f>
        <v/>
      </c>
      <c r="AK275" s="25" t="str">
        <f aca="false">IF(AT275="","",2)</f>
        <v/>
      </c>
      <c r="AL275" s="25" t="str">
        <f aca="false">IF(AT275="","","")</f>
        <v/>
      </c>
      <c r="AM275" s="25" t="str">
        <f aca="false">IF(AT275="","","")</f>
        <v/>
      </c>
      <c r="AN275" s="25" t="str">
        <f aca="false">IF(AT275="","",INDEX(入力シート!$C$5:$C$204,AT275))</f>
        <v/>
      </c>
      <c r="AO275" s="25" t="str">
        <f aca="false">IF(AT275="","","")</f>
        <v/>
      </c>
      <c r="AP275" s="25" t="str">
        <f aca="false">IF(AT275="","","")</f>
        <v/>
      </c>
      <c r="AQ275" s="25" t="str">
        <f aca="false">IF(AT275="","","")</f>
        <v/>
      </c>
      <c r="AT275" s="27" t="str">
        <f aca="false">IFERROR(MATCH(75,入力シート!$T$5:$T$204,0),"")</f>
        <v/>
      </c>
    </row>
    <row r="276" customFormat="false" ht="15" hidden="false" customHeight="true" outlineLevel="0" collapsed="false">
      <c r="A276" s="25" t="str">
        <f aca="false">IF(AT276="","",1)</f>
        <v/>
      </c>
      <c r="B276" s="25" t="str">
        <f aca="false">IF(AT276="","",1)</f>
        <v/>
      </c>
      <c r="C276" s="25" t="str">
        <f aca="false">IF(AT276="","",0)</f>
        <v/>
      </c>
      <c r="D276" s="25" t="str">
        <f aca="false">IF(AT276="","",TEXT(INDEX(入力シート!$A$5:$A$204,AT276),"YYYYMMDD"))</f>
        <v/>
      </c>
      <c r="E276" s="25" t="str">
        <f aca="false">IF(AT276="","",TEXT(INDEX(入力シート!$Q$5:$Q$204,AT276),"00000000"))</f>
        <v/>
      </c>
      <c r="F276" s="25" t="str">
        <f aca="false">IF(AT276="","",14)</f>
        <v/>
      </c>
      <c r="G276" s="25" t="str">
        <f aca="false">IF(AT276="","",1)</f>
        <v/>
      </c>
      <c r="H276" s="25" t="str">
        <f aca="false">IF(AT276="","",1)</f>
        <v/>
      </c>
      <c r="I276" s="25" t="str">
        <f aca="false">IF(AT276="","",3)</f>
        <v/>
      </c>
      <c r="J276" s="25" t="str">
        <f aca="false">IF(AT276="","",1)</f>
        <v/>
      </c>
      <c r="K276" s="25" t="str">
        <f aca="false">IF(AT276="","",INDEX(入力シート!$B$5:$B$204,AT276))</f>
        <v/>
      </c>
      <c r="L276" s="25" t="str">
        <f aca="false">IF(AT276="","","")</f>
        <v/>
      </c>
      <c r="M276" s="25" t="str">
        <f aca="false">IF(AT276="","","")</f>
        <v/>
      </c>
      <c r="N276" s="25" t="str">
        <f aca="false">IF(AT276="","",COUNTIF(入力シート!$Q$5:$Q$204,INDEX(入力シート!$Q$5:$Q$204,AT276))+1)</f>
        <v/>
      </c>
      <c r="O276" s="25" t="str">
        <f aca="false">IF(AT276="","",99)</f>
        <v/>
      </c>
      <c r="P276" s="25" t="str">
        <f aca="false">IF(AT276="","","")</f>
        <v/>
      </c>
      <c r="Q276" s="25" t="str">
        <f aca="false">IF(AT276="","","")</f>
        <v/>
      </c>
      <c r="R276" s="25" t="str">
        <f aca="false">IF(AT276="","","消費税")</f>
        <v/>
      </c>
      <c r="S276" s="25" t="str">
        <f aca="false">IF(AT276="","",0)</f>
        <v/>
      </c>
      <c r="T276" s="25" t="str">
        <f aca="false">IF(AT276="","","")</f>
        <v/>
      </c>
      <c r="U276" s="25" t="str">
        <f aca="false">IF(AT276="","",0)</f>
        <v/>
      </c>
      <c r="V276" s="25" t="str">
        <f aca="false">IF(AT276="","",0)</f>
        <v/>
      </c>
      <c r="W276" s="25" t="str">
        <f aca="false">IF(AT276="","","")</f>
        <v/>
      </c>
      <c r="X276" s="25" t="str">
        <f aca="false">IF(AT276="","",0)</f>
        <v/>
      </c>
      <c r="Y276" s="25" t="str">
        <f aca="false">IF(AT276="","",0)</f>
        <v/>
      </c>
      <c r="Z276" s="25" t="str">
        <f aca="false">IF(AT276="","",ROUNDDOWN(SUMIF(入力シート!$Q$5:$Q$204,INDEX(入力シート!$Q$5:$Q$204,AT276),入力シート!$P$5:$P$204)*IF(INDEX(入力シート!$L$5:$L$204,AT276)=13,0.1,IF(INDEX(入力シート!$L$5:$L$204,AT276)=30,0.08,0)),0))</f>
        <v/>
      </c>
      <c r="AA276" s="25" t="str">
        <f aca="false">IF(AT276="","","")</f>
        <v/>
      </c>
      <c r="AB276" s="25" t="str">
        <f aca="false">IF(AT276="","",0)</f>
        <v/>
      </c>
      <c r="AC276" s="25" t="str">
        <f aca="false">IF(AT276="","",0)</f>
        <v/>
      </c>
      <c r="AD276" s="25" t="str">
        <f aca="false">IF(AT276="","",0)</f>
        <v/>
      </c>
      <c r="AE276" s="25" t="str">
        <f aca="false">IF(AT276="","","")</f>
        <v/>
      </c>
      <c r="AF276" s="25" t="str">
        <f aca="false">IF(AT276="","",0)</f>
        <v/>
      </c>
      <c r="AG276" s="25" t="str">
        <f aca="false">IF(AT276="","",0)</f>
        <v/>
      </c>
      <c r="AH276" s="25" t="str">
        <f aca="false">IF(AT276="","","")</f>
        <v/>
      </c>
      <c r="AI276" s="25" t="str">
        <f aca="false">IF(AT276="","","")</f>
        <v/>
      </c>
      <c r="AJ276" s="25" t="str">
        <f aca="false">IF(AT276="","","")</f>
        <v/>
      </c>
      <c r="AK276" s="25" t="str">
        <f aca="false">IF(AT276="","",2)</f>
        <v/>
      </c>
      <c r="AL276" s="25" t="str">
        <f aca="false">IF(AT276="","","")</f>
        <v/>
      </c>
      <c r="AM276" s="25" t="str">
        <f aca="false">IF(AT276="","","")</f>
        <v/>
      </c>
      <c r="AN276" s="25" t="str">
        <f aca="false">IF(AT276="","",INDEX(入力シート!$C$5:$C$204,AT276))</f>
        <v/>
      </c>
      <c r="AO276" s="25" t="str">
        <f aca="false">IF(AT276="","","")</f>
        <v/>
      </c>
      <c r="AP276" s="25" t="str">
        <f aca="false">IF(AT276="","","")</f>
        <v/>
      </c>
      <c r="AQ276" s="25" t="str">
        <f aca="false">IF(AT276="","","")</f>
        <v/>
      </c>
      <c r="AT276" s="27" t="str">
        <f aca="false">IFERROR(MATCH(76,入力シート!$T$5:$T$204,0),"")</f>
        <v/>
      </c>
    </row>
    <row r="277" customFormat="false" ht="15" hidden="false" customHeight="true" outlineLevel="0" collapsed="false">
      <c r="A277" s="25" t="str">
        <f aca="false">IF(AT277="","",1)</f>
        <v/>
      </c>
      <c r="B277" s="25" t="str">
        <f aca="false">IF(AT277="","",1)</f>
        <v/>
      </c>
      <c r="C277" s="25" t="str">
        <f aca="false">IF(AT277="","",0)</f>
        <v/>
      </c>
      <c r="D277" s="25" t="str">
        <f aca="false">IF(AT277="","",TEXT(INDEX(入力シート!$A$5:$A$204,AT277),"YYYYMMDD"))</f>
        <v/>
      </c>
      <c r="E277" s="25" t="str">
        <f aca="false">IF(AT277="","",TEXT(INDEX(入力シート!$Q$5:$Q$204,AT277),"00000000"))</f>
        <v/>
      </c>
      <c r="F277" s="25" t="str">
        <f aca="false">IF(AT277="","",14)</f>
        <v/>
      </c>
      <c r="G277" s="25" t="str">
        <f aca="false">IF(AT277="","",1)</f>
        <v/>
      </c>
      <c r="H277" s="25" t="str">
        <f aca="false">IF(AT277="","",1)</f>
        <v/>
      </c>
      <c r="I277" s="25" t="str">
        <f aca="false">IF(AT277="","",3)</f>
        <v/>
      </c>
      <c r="J277" s="25" t="str">
        <f aca="false">IF(AT277="","",1)</f>
        <v/>
      </c>
      <c r="K277" s="25" t="str">
        <f aca="false">IF(AT277="","",INDEX(入力シート!$B$5:$B$204,AT277))</f>
        <v/>
      </c>
      <c r="L277" s="25" t="str">
        <f aca="false">IF(AT277="","","")</f>
        <v/>
      </c>
      <c r="M277" s="25" t="str">
        <f aca="false">IF(AT277="","","")</f>
        <v/>
      </c>
      <c r="N277" s="25" t="str">
        <f aca="false">IF(AT277="","",COUNTIF(入力シート!$Q$5:$Q$204,INDEX(入力シート!$Q$5:$Q$204,AT277))+1)</f>
        <v/>
      </c>
      <c r="O277" s="25" t="str">
        <f aca="false">IF(AT277="","",99)</f>
        <v/>
      </c>
      <c r="P277" s="25" t="str">
        <f aca="false">IF(AT277="","","")</f>
        <v/>
      </c>
      <c r="Q277" s="25" t="str">
        <f aca="false">IF(AT277="","","")</f>
        <v/>
      </c>
      <c r="R277" s="25" t="str">
        <f aca="false">IF(AT277="","","消費税")</f>
        <v/>
      </c>
      <c r="S277" s="25" t="str">
        <f aca="false">IF(AT277="","",0)</f>
        <v/>
      </c>
      <c r="T277" s="25" t="str">
        <f aca="false">IF(AT277="","","")</f>
        <v/>
      </c>
      <c r="U277" s="25" t="str">
        <f aca="false">IF(AT277="","",0)</f>
        <v/>
      </c>
      <c r="V277" s="25" t="str">
        <f aca="false">IF(AT277="","",0)</f>
        <v/>
      </c>
      <c r="W277" s="25" t="str">
        <f aca="false">IF(AT277="","","")</f>
        <v/>
      </c>
      <c r="X277" s="25" t="str">
        <f aca="false">IF(AT277="","",0)</f>
        <v/>
      </c>
      <c r="Y277" s="25" t="str">
        <f aca="false">IF(AT277="","",0)</f>
        <v/>
      </c>
      <c r="Z277" s="25" t="str">
        <f aca="false">IF(AT277="","",ROUNDDOWN(SUMIF(入力シート!$Q$5:$Q$204,INDEX(入力シート!$Q$5:$Q$204,AT277),入力シート!$P$5:$P$204)*IF(INDEX(入力シート!$L$5:$L$204,AT277)=13,0.1,IF(INDEX(入力シート!$L$5:$L$204,AT277)=30,0.08,0)),0))</f>
        <v/>
      </c>
      <c r="AA277" s="25" t="str">
        <f aca="false">IF(AT277="","","")</f>
        <v/>
      </c>
      <c r="AB277" s="25" t="str">
        <f aca="false">IF(AT277="","",0)</f>
        <v/>
      </c>
      <c r="AC277" s="25" t="str">
        <f aca="false">IF(AT277="","",0)</f>
        <v/>
      </c>
      <c r="AD277" s="25" t="str">
        <f aca="false">IF(AT277="","",0)</f>
        <v/>
      </c>
      <c r="AE277" s="25" t="str">
        <f aca="false">IF(AT277="","","")</f>
        <v/>
      </c>
      <c r="AF277" s="25" t="str">
        <f aca="false">IF(AT277="","",0)</f>
        <v/>
      </c>
      <c r="AG277" s="25" t="str">
        <f aca="false">IF(AT277="","",0)</f>
        <v/>
      </c>
      <c r="AH277" s="25" t="str">
        <f aca="false">IF(AT277="","","")</f>
        <v/>
      </c>
      <c r="AI277" s="25" t="str">
        <f aca="false">IF(AT277="","","")</f>
        <v/>
      </c>
      <c r="AJ277" s="25" t="str">
        <f aca="false">IF(AT277="","","")</f>
        <v/>
      </c>
      <c r="AK277" s="25" t="str">
        <f aca="false">IF(AT277="","",2)</f>
        <v/>
      </c>
      <c r="AL277" s="25" t="str">
        <f aca="false">IF(AT277="","","")</f>
        <v/>
      </c>
      <c r="AM277" s="25" t="str">
        <f aca="false">IF(AT277="","","")</f>
        <v/>
      </c>
      <c r="AN277" s="25" t="str">
        <f aca="false">IF(AT277="","",INDEX(入力シート!$C$5:$C$204,AT277))</f>
        <v/>
      </c>
      <c r="AO277" s="25" t="str">
        <f aca="false">IF(AT277="","","")</f>
        <v/>
      </c>
      <c r="AP277" s="25" t="str">
        <f aca="false">IF(AT277="","","")</f>
        <v/>
      </c>
      <c r="AQ277" s="25" t="str">
        <f aca="false">IF(AT277="","","")</f>
        <v/>
      </c>
      <c r="AT277" s="27" t="str">
        <f aca="false">IFERROR(MATCH(77,入力シート!$T$5:$T$204,0),"")</f>
        <v/>
      </c>
    </row>
    <row r="278" customFormat="false" ht="15" hidden="false" customHeight="true" outlineLevel="0" collapsed="false">
      <c r="A278" s="25" t="str">
        <f aca="false">IF(AT278="","",1)</f>
        <v/>
      </c>
      <c r="B278" s="25" t="str">
        <f aca="false">IF(AT278="","",1)</f>
        <v/>
      </c>
      <c r="C278" s="25" t="str">
        <f aca="false">IF(AT278="","",0)</f>
        <v/>
      </c>
      <c r="D278" s="25" t="str">
        <f aca="false">IF(AT278="","",TEXT(INDEX(入力シート!$A$5:$A$204,AT278),"YYYYMMDD"))</f>
        <v/>
      </c>
      <c r="E278" s="25" t="str">
        <f aca="false">IF(AT278="","",TEXT(INDEX(入力シート!$Q$5:$Q$204,AT278),"00000000"))</f>
        <v/>
      </c>
      <c r="F278" s="25" t="str">
        <f aca="false">IF(AT278="","",14)</f>
        <v/>
      </c>
      <c r="G278" s="25" t="str">
        <f aca="false">IF(AT278="","",1)</f>
        <v/>
      </c>
      <c r="H278" s="25" t="str">
        <f aca="false">IF(AT278="","",1)</f>
        <v/>
      </c>
      <c r="I278" s="25" t="str">
        <f aca="false">IF(AT278="","",3)</f>
        <v/>
      </c>
      <c r="J278" s="25" t="str">
        <f aca="false">IF(AT278="","",1)</f>
        <v/>
      </c>
      <c r="K278" s="25" t="str">
        <f aca="false">IF(AT278="","",INDEX(入力シート!$B$5:$B$204,AT278))</f>
        <v/>
      </c>
      <c r="L278" s="25" t="str">
        <f aca="false">IF(AT278="","","")</f>
        <v/>
      </c>
      <c r="M278" s="25" t="str">
        <f aca="false">IF(AT278="","","")</f>
        <v/>
      </c>
      <c r="N278" s="25" t="str">
        <f aca="false">IF(AT278="","",COUNTIF(入力シート!$Q$5:$Q$204,INDEX(入力シート!$Q$5:$Q$204,AT278))+1)</f>
        <v/>
      </c>
      <c r="O278" s="25" t="str">
        <f aca="false">IF(AT278="","",99)</f>
        <v/>
      </c>
      <c r="P278" s="25" t="str">
        <f aca="false">IF(AT278="","","")</f>
        <v/>
      </c>
      <c r="Q278" s="25" t="str">
        <f aca="false">IF(AT278="","","")</f>
        <v/>
      </c>
      <c r="R278" s="25" t="str">
        <f aca="false">IF(AT278="","","消費税")</f>
        <v/>
      </c>
      <c r="S278" s="25" t="str">
        <f aca="false">IF(AT278="","",0)</f>
        <v/>
      </c>
      <c r="T278" s="25" t="str">
        <f aca="false">IF(AT278="","","")</f>
        <v/>
      </c>
      <c r="U278" s="25" t="str">
        <f aca="false">IF(AT278="","",0)</f>
        <v/>
      </c>
      <c r="V278" s="25" t="str">
        <f aca="false">IF(AT278="","",0)</f>
        <v/>
      </c>
      <c r="W278" s="25" t="str">
        <f aca="false">IF(AT278="","","")</f>
        <v/>
      </c>
      <c r="X278" s="25" t="str">
        <f aca="false">IF(AT278="","",0)</f>
        <v/>
      </c>
      <c r="Y278" s="25" t="str">
        <f aca="false">IF(AT278="","",0)</f>
        <v/>
      </c>
      <c r="Z278" s="25" t="str">
        <f aca="false">IF(AT278="","",ROUNDDOWN(SUMIF(入力シート!$Q$5:$Q$204,INDEX(入力シート!$Q$5:$Q$204,AT278),入力シート!$P$5:$P$204)*IF(INDEX(入力シート!$L$5:$L$204,AT278)=13,0.1,IF(INDEX(入力シート!$L$5:$L$204,AT278)=30,0.08,0)),0))</f>
        <v/>
      </c>
      <c r="AA278" s="25" t="str">
        <f aca="false">IF(AT278="","","")</f>
        <v/>
      </c>
      <c r="AB278" s="25" t="str">
        <f aca="false">IF(AT278="","",0)</f>
        <v/>
      </c>
      <c r="AC278" s="25" t="str">
        <f aca="false">IF(AT278="","",0)</f>
        <v/>
      </c>
      <c r="AD278" s="25" t="str">
        <f aca="false">IF(AT278="","",0)</f>
        <v/>
      </c>
      <c r="AE278" s="25" t="str">
        <f aca="false">IF(AT278="","","")</f>
        <v/>
      </c>
      <c r="AF278" s="25" t="str">
        <f aca="false">IF(AT278="","",0)</f>
        <v/>
      </c>
      <c r="AG278" s="25" t="str">
        <f aca="false">IF(AT278="","",0)</f>
        <v/>
      </c>
      <c r="AH278" s="25" t="str">
        <f aca="false">IF(AT278="","","")</f>
        <v/>
      </c>
      <c r="AI278" s="25" t="str">
        <f aca="false">IF(AT278="","","")</f>
        <v/>
      </c>
      <c r="AJ278" s="25" t="str">
        <f aca="false">IF(AT278="","","")</f>
        <v/>
      </c>
      <c r="AK278" s="25" t="str">
        <f aca="false">IF(AT278="","",2)</f>
        <v/>
      </c>
      <c r="AL278" s="25" t="str">
        <f aca="false">IF(AT278="","","")</f>
        <v/>
      </c>
      <c r="AM278" s="25" t="str">
        <f aca="false">IF(AT278="","","")</f>
        <v/>
      </c>
      <c r="AN278" s="25" t="str">
        <f aca="false">IF(AT278="","",INDEX(入力シート!$C$5:$C$204,AT278))</f>
        <v/>
      </c>
      <c r="AO278" s="25" t="str">
        <f aca="false">IF(AT278="","","")</f>
        <v/>
      </c>
      <c r="AP278" s="25" t="str">
        <f aca="false">IF(AT278="","","")</f>
        <v/>
      </c>
      <c r="AQ278" s="25" t="str">
        <f aca="false">IF(AT278="","","")</f>
        <v/>
      </c>
      <c r="AT278" s="27" t="str">
        <f aca="false">IFERROR(MATCH(78,入力シート!$T$5:$T$204,0),"")</f>
        <v/>
      </c>
    </row>
    <row r="279" customFormat="false" ht="15" hidden="false" customHeight="true" outlineLevel="0" collapsed="false">
      <c r="A279" s="25" t="str">
        <f aca="false">IF(AT279="","",1)</f>
        <v/>
      </c>
      <c r="B279" s="25" t="str">
        <f aca="false">IF(AT279="","",1)</f>
        <v/>
      </c>
      <c r="C279" s="25" t="str">
        <f aca="false">IF(AT279="","",0)</f>
        <v/>
      </c>
      <c r="D279" s="25" t="str">
        <f aca="false">IF(AT279="","",TEXT(INDEX(入力シート!$A$5:$A$204,AT279),"YYYYMMDD"))</f>
        <v/>
      </c>
      <c r="E279" s="25" t="str">
        <f aca="false">IF(AT279="","",TEXT(INDEX(入力シート!$Q$5:$Q$204,AT279),"00000000"))</f>
        <v/>
      </c>
      <c r="F279" s="25" t="str">
        <f aca="false">IF(AT279="","",14)</f>
        <v/>
      </c>
      <c r="G279" s="25" t="str">
        <f aca="false">IF(AT279="","",1)</f>
        <v/>
      </c>
      <c r="H279" s="25" t="str">
        <f aca="false">IF(AT279="","",1)</f>
        <v/>
      </c>
      <c r="I279" s="25" t="str">
        <f aca="false">IF(AT279="","",3)</f>
        <v/>
      </c>
      <c r="J279" s="25" t="str">
        <f aca="false">IF(AT279="","",1)</f>
        <v/>
      </c>
      <c r="K279" s="25" t="str">
        <f aca="false">IF(AT279="","",INDEX(入力シート!$B$5:$B$204,AT279))</f>
        <v/>
      </c>
      <c r="L279" s="25" t="str">
        <f aca="false">IF(AT279="","","")</f>
        <v/>
      </c>
      <c r="M279" s="25" t="str">
        <f aca="false">IF(AT279="","","")</f>
        <v/>
      </c>
      <c r="N279" s="25" t="str">
        <f aca="false">IF(AT279="","",COUNTIF(入力シート!$Q$5:$Q$204,INDEX(入力シート!$Q$5:$Q$204,AT279))+1)</f>
        <v/>
      </c>
      <c r="O279" s="25" t="str">
        <f aca="false">IF(AT279="","",99)</f>
        <v/>
      </c>
      <c r="P279" s="25" t="str">
        <f aca="false">IF(AT279="","","")</f>
        <v/>
      </c>
      <c r="Q279" s="25" t="str">
        <f aca="false">IF(AT279="","","")</f>
        <v/>
      </c>
      <c r="R279" s="25" t="str">
        <f aca="false">IF(AT279="","","消費税")</f>
        <v/>
      </c>
      <c r="S279" s="25" t="str">
        <f aca="false">IF(AT279="","",0)</f>
        <v/>
      </c>
      <c r="T279" s="25" t="str">
        <f aca="false">IF(AT279="","","")</f>
        <v/>
      </c>
      <c r="U279" s="25" t="str">
        <f aca="false">IF(AT279="","",0)</f>
        <v/>
      </c>
      <c r="V279" s="25" t="str">
        <f aca="false">IF(AT279="","",0)</f>
        <v/>
      </c>
      <c r="W279" s="25" t="str">
        <f aca="false">IF(AT279="","","")</f>
        <v/>
      </c>
      <c r="X279" s="25" t="str">
        <f aca="false">IF(AT279="","",0)</f>
        <v/>
      </c>
      <c r="Y279" s="25" t="str">
        <f aca="false">IF(AT279="","",0)</f>
        <v/>
      </c>
      <c r="Z279" s="25" t="str">
        <f aca="false">IF(AT279="","",ROUNDDOWN(SUMIF(入力シート!$Q$5:$Q$204,INDEX(入力シート!$Q$5:$Q$204,AT279),入力シート!$P$5:$P$204)*IF(INDEX(入力シート!$L$5:$L$204,AT279)=13,0.1,IF(INDEX(入力シート!$L$5:$L$204,AT279)=30,0.08,0)),0))</f>
        <v/>
      </c>
      <c r="AA279" s="25" t="str">
        <f aca="false">IF(AT279="","","")</f>
        <v/>
      </c>
      <c r="AB279" s="25" t="str">
        <f aca="false">IF(AT279="","",0)</f>
        <v/>
      </c>
      <c r="AC279" s="25" t="str">
        <f aca="false">IF(AT279="","",0)</f>
        <v/>
      </c>
      <c r="AD279" s="25" t="str">
        <f aca="false">IF(AT279="","",0)</f>
        <v/>
      </c>
      <c r="AE279" s="25" t="str">
        <f aca="false">IF(AT279="","","")</f>
        <v/>
      </c>
      <c r="AF279" s="25" t="str">
        <f aca="false">IF(AT279="","",0)</f>
        <v/>
      </c>
      <c r="AG279" s="25" t="str">
        <f aca="false">IF(AT279="","",0)</f>
        <v/>
      </c>
      <c r="AH279" s="25" t="str">
        <f aca="false">IF(AT279="","","")</f>
        <v/>
      </c>
      <c r="AI279" s="25" t="str">
        <f aca="false">IF(AT279="","","")</f>
        <v/>
      </c>
      <c r="AJ279" s="25" t="str">
        <f aca="false">IF(AT279="","","")</f>
        <v/>
      </c>
      <c r="AK279" s="25" t="str">
        <f aca="false">IF(AT279="","",2)</f>
        <v/>
      </c>
      <c r="AL279" s="25" t="str">
        <f aca="false">IF(AT279="","","")</f>
        <v/>
      </c>
      <c r="AM279" s="25" t="str">
        <f aca="false">IF(AT279="","","")</f>
        <v/>
      </c>
      <c r="AN279" s="25" t="str">
        <f aca="false">IF(AT279="","",INDEX(入力シート!$C$5:$C$204,AT279))</f>
        <v/>
      </c>
      <c r="AO279" s="25" t="str">
        <f aca="false">IF(AT279="","","")</f>
        <v/>
      </c>
      <c r="AP279" s="25" t="str">
        <f aca="false">IF(AT279="","","")</f>
        <v/>
      </c>
      <c r="AQ279" s="25" t="str">
        <f aca="false">IF(AT279="","","")</f>
        <v/>
      </c>
      <c r="AT279" s="27" t="str">
        <f aca="false">IFERROR(MATCH(79,入力シート!$T$5:$T$204,0),"")</f>
        <v/>
      </c>
    </row>
    <row r="280" customFormat="false" ht="15" hidden="false" customHeight="true" outlineLevel="0" collapsed="false">
      <c r="A280" s="25" t="str">
        <f aca="false">IF(AT280="","",1)</f>
        <v/>
      </c>
      <c r="B280" s="25" t="str">
        <f aca="false">IF(AT280="","",1)</f>
        <v/>
      </c>
      <c r="C280" s="25" t="str">
        <f aca="false">IF(AT280="","",0)</f>
        <v/>
      </c>
      <c r="D280" s="25" t="str">
        <f aca="false">IF(AT280="","",TEXT(INDEX(入力シート!$A$5:$A$204,AT280),"YYYYMMDD"))</f>
        <v/>
      </c>
      <c r="E280" s="25" t="str">
        <f aca="false">IF(AT280="","",TEXT(INDEX(入力シート!$Q$5:$Q$204,AT280),"00000000"))</f>
        <v/>
      </c>
      <c r="F280" s="25" t="str">
        <f aca="false">IF(AT280="","",14)</f>
        <v/>
      </c>
      <c r="G280" s="25" t="str">
        <f aca="false">IF(AT280="","",1)</f>
        <v/>
      </c>
      <c r="H280" s="25" t="str">
        <f aca="false">IF(AT280="","",1)</f>
        <v/>
      </c>
      <c r="I280" s="25" t="str">
        <f aca="false">IF(AT280="","",3)</f>
        <v/>
      </c>
      <c r="J280" s="25" t="str">
        <f aca="false">IF(AT280="","",1)</f>
        <v/>
      </c>
      <c r="K280" s="25" t="str">
        <f aca="false">IF(AT280="","",INDEX(入力シート!$B$5:$B$204,AT280))</f>
        <v/>
      </c>
      <c r="L280" s="25" t="str">
        <f aca="false">IF(AT280="","","")</f>
        <v/>
      </c>
      <c r="M280" s="25" t="str">
        <f aca="false">IF(AT280="","","")</f>
        <v/>
      </c>
      <c r="N280" s="25" t="str">
        <f aca="false">IF(AT280="","",COUNTIF(入力シート!$Q$5:$Q$204,INDEX(入力シート!$Q$5:$Q$204,AT280))+1)</f>
        <v/>
      </c>
      <c r="O280" s="25" t="str">
        <f aca="false">IF(AT280="","",99)</f>
        <v/>
      </c>
      <c r="P280" s="25" t="str">
        <f aca="false">IF(AT280="","","")</f>
        <v/>
      </c>
      <c r="Q280" s="25" t="str">
        <f aca="false">IF(AT280="","","")</f>
        <v/>
      </c>
      <c r="R280" s="25" t="str">
        <f aca="false">IF(AT280="","","消費税")</f>
        <v/>
      </c>
      <c r="S280" s="25" t="str">
        <f aca="false">IF(AT280="","",0)</f>
        <v/>
      </c>
      <c r="T280" s="25" t="str">
        <f aca="false">IF(AT280="","","")</f>
        <v/>
      </c>
      <c r="U280" s="25" t="str">
        <f aca="false">IF(AT280="","",0)</f>
        <v/>
      </c>
      <c r="V280" s="25" t="str">
        <f aca="false">IF(AT280="","",0)</f>
        <v/>
      </c>
      <c r="W280" s="25" t="str">
        <f aca="false">IF(AT280="","","")</f>
        <v/>
      </c>
      <c r="X280" s="25" t="str">
        <f aca="false">IF(AT280="","",0)</f>
        <v/>
      </c>
      <c r="Y280" s="25" t="str">
        <f aca="false">IF(AT280="","",0)</f>
        <v/>
      </c>
      <c r="Z280" s="25" t="str">
        <f aca="false">IF(AT280="","",ROUNDDOWN(SUMIF(入力シート!$Q$5:$Q$204,INDEX(入力シート!$Q$5:$Q$204,AT280),入力シート!$P$5:$P$204)*IF(INDEX(入力シート!$L$5:$L$204,AT280)=13,0.1,IF(INDEX(入力シート!$L$5:$L$204,AT280)=30,0.08,0)),0))</f>
        <v/>
      </c>
      <c r="AA280" s="25" t="str">
        <f aca="false">IF(AT280="","","")</f>
        <v/>
      </c>
      <c r="AB280" s="25" t="str">
        <f aca="false">IF(AT280="","",0)</f>
        <v/>
      </c>
      <c r="AC280" s="25" t="str">
        <f aca="false">IF(AT280="","",0)</f>
        <v/>
      </c>
      <c r="AD280" s="25" t="str">
        <f aca="false">IF(AT280="","",0)</f>
        <v/>
      </c>
      <c r="AE280" s="25" t="str">
        <f aca="false">IF(AT280="","","")</f>
        <v/>
      </c>
      <c r="AF280" s="25" t="str">
        <f aca="false">IF(AT280="","",0)</f>
        <v/>
      </c>
      <c r="AG280" s="25" t="str">
        <f aca="false">IF(AT280="","",0)</f>
        <v/>
      </c>
      <c r="AH280" s="25" t="str">
        <f aca="false">IF(AT280="","","")</f>
        <v/>
      </c>
      <c r="AI280" s="25" t="str">
        <f aca="false">IF(AT280="","","")</f>
        <v/>
      </c>
      <c r="AJ280" s="25" t="str">
        <f aca="false">IF(AT280="","","")</f>
        <v/>
      </c>
      <c r="AK280" s="25" t="str">
        <f aca="false">IF(AT280="","",2)</f>
        <v/>
      </c>
      <c r="AL280" s="25" t="str">
        <f aca="false">IF(AT280="","","")</f>
        <v/>
      </c>
      <c r="AM280" s="25" t="str">
        <f aca="false">IF(AT280="","","")</f>
        <v/>
      </c>
      <c r="AN280" s="25" t="str">
        <f aca="false">IF(AT280="","",INDEX(入力シート!$C$5:$C$204,AT280))</f>
        <v/>
      </c>
      <c r="AO280" s="25" t="str">
        <f aca="false">IF(AT280="","","")</f>
        <v/>
      </c>
      <c r="AP280" s="25" t="str">
        <f aca="false">IF(AT280="","","")</f>
        <v/>
      </c>
      <c r="AQ280" s="25" t="str">
        <f aca="false">IF(AT280="","","")</f>
        <v/>
      </c>
      <c r="AT280" s="27" t="str">
        <f aca="false">IFERROR(MATCH(80,入力シート!$T$5:$T$204,0),"")</f>
        <v/>
      </c>
    </row>
    <row r="281" customFormat="false" ht="15" hidden="false" customHeight="true" outlineLevel="0" collapsed="false">
      <c r="A281" s="25" t="str">
        <f aca="false">IF(AT281="","",1)</f>
        <v/>
      </c>
      <c r="B281" s="25" t="str">
        <f aca="false">IF(AT281="","",1)</f>
        <v/>
      </c>
      <c r="C281" s="25" t="str">
        <f aca="false">IF(AT281="","",0)</f>
        <v/>
      </c>
      <c r="D281" s="25" t="str">
        <f aca="false">IF(AT281="","",TEXT(INDEX(入力シート!$A$5:$A$204,AT281),"YYYYMMDD"))</f>
        <v/>
      </c>
      <c r="E281" s="25" t="str">
        <f aca="false">IF(AT281="","",TEXT(INDEX(入力シート!$Q$5:$Q$204,AT281),"00000000"))</f>
        <v/>
      </c>
      <c r="F281" s="25" t="str">
        <f aca="false">IF(AT281="","",14)</f>
        <v/>
      </c>
      <c r="G281" s="25" t="str">
        <f aca="false">IF(AT281="","",1)</f>
        <v/>
      </c>
      <c r="H281" s="25" t="str">
        <f aca="false">IF(AT281="","",1)</f>
        <v/>
      </c>
      <c r="I281" s="25" t="str">
        <f aca="false">IF(AT281="","",3)</f>
        <v/>
      </c>
      <c r="J281" s="25" t="str">
        <f aca="false">IF(AT281="","",1)</f>
        <v/>
      </c>
      <c r="K281" s="25" t="str">
        <f aca="false">IF(AT281="","",INDEX(入力シート!$B$5:$B$204,AT281))</f>
        <v/>
      </c>
      <c r="L281" s="25" t="str">
        <f aca="false">IF(AT281="","","")</f>
        <v/>
      </c>
      <c r="M281" s="25" t="str">
        <f aca="false">IF(AT281="","","")</f>
        <v/>
      </c>
      <c r="N281" s="25" t="str">
        <f aca="false">IF(AT281="","",COUNTIF(入力シート!$Q$5:$Q$204,INDEX(入力シート!$Q$5:$Q$204,AT281))+1)</f>
        <v/>
      </c>
      <c r="O281" s="25" t="str">
        <f aca="false">IF(AT281="","",99)</f>
        <v/>
      </c>
      <c r="P281" s="25" t="str">
        <f aca="false">IF(AT281="","","")</f>
        <v/>
      </c>
      <c r="Q281" s="25" t="str">
        <f aca="false">IF(AT281="","","")</f>
        <v/>
      </c>
      <c r="R281" s="25" t="str">
        <f aca="false">IF(AT281="","","消費税")</f>
        <v/>
      </c>
      <c r="S281" s="25" t="str">
        <f aca="false">IF(AT281="","",0)</f>
        <v/>
      </c>
      <c r="T281" s="25" t="str">
        <f aca="false">IF(AT281="","","")</f>
        <v/>
      </c>
      <c r="U281" s="25" t="str">
        <f aca="false">IF(AT281="","",0)</f>
        <v/>
      </c>
      <c r="V281" s="25" t="str">
        <f aca="false">IF(AT281="","",0)</f>
        <v/>
      </c>
      <c r="W281" s="25" t="str">
        <f aca="false">IF(AT281="","","")</f>
        <v/>
      </c>
      <c r="X281" s="25" t="str">
        <f aca="false">IF(AT281="","",0)</f>
        <v/>
      </c>
      <c r="Y281" s="25" t="str">
        <f aca="false">IF(AT281="","",0)</f>
        <v/>
      </c>
      <c r="Z281" s="25" t="str">
        <f aca="false">IF(AT281="","",ROUNDDOWN(SUMIF(入力シート!$Q$5:$Q$204,INDEX(入力シート!$Q$5:$Q$204,AT281),入力シート!$P$5:$P$204)*IF(INDEX(入力シート!$L$5:$L$204,AT281)=13,0.1,IF(INDEX(入力シート!$L$5:$L$204,AT281)=30,0.08,0)),0))</f>
        <v/>
      </c>
      <c r="AA281" s="25" t="str">
        <f aca="false">IF(AT281="","","")</f>
        <v/>
      </c>
      <c r="AB281" s="25" t="str">
        <f aca="false">IF(AT281="","",0)</f>
        <v/>
      </c>
      <c r="AC281" s="25" t="str">
        <f aca="false">IF(AT281="","",0)</f>
        <v/>
      </c>
      <c r="AD281" s="25" t="str">
        <f aca="false">IF(AT281="","",0)</f>
        <v/>
      </c>
      <c r="AE281" s="25" t="str">
        <f aca="false">IF(AT281="","","")</f>
        <v/>
      </c>
      <c r="AF281" s="25" t="str">
        <f aca="false">IF(AT281="","",0)</f>
        <v/>
      </c>
      <c r="AG281" s="25" t="str">
        <f aca="false">IF(AT281="","",0)</f>
        <v/>
      </c>
      <c r="AH281" s="25" t="str">
        <f aca="false">IF(AT281="","","")</f>
        <v/>
      </c>
      <c r="AI281" s="25" t="str">
        <f aca="false">IF(AT281="","","")</f>
        <v/>
      </c>
      <c r="AJ281" s="25" t="str">
        <f aca="false">IF(AT281="","","")</f>
        <v/>
      </c>
      <c r="AK281" s="25" t="str">
        <f aca="false">IF(AT281="","",2)</f>
        <v/>
      </c>
      <c r="AL281" s="25" t="str">
        <f aca="false">IF(AT281="","","")</f>
        <v/>
      </c>
      <c r="AM281" s="25" t="str">
        <f aca="false">IF(AT281="","","")</f>
        <v/>
      </c>
      <c r="AN281" s="25" t="str">
        <f aca="false">IF(AT281="","",INDEX(入力シート!$C$5:$C$204,AT281))</f>
        <v/>
      </c>
      <c r="AO281" s="25" t="str">
        <f aca="false">IF(AT281="","","")</f>
        <v/>
      </c>
      <c r="AP281" s="25" t="str">
        <f aca="false">IF(AT281="","","")</f>
        <v/>
      </c>
      <c r="AQ281" s="25" t="str">
        <f aca="false">IF(AT281="","","")</f>
        <v/>
      </c>
      <c r="AT281" s="27" t="str">
        <f aca="false">IFERROR(MATCH(81,入力シート!$T$5:$T$204,0),"")</f>
        <v/>
      </c>
    </row>
    <row r="282" customFormat="false" ht="15" hidden="false" customHeight="true" outlineLevel="0" collapsed="false">
      <c r="A282" s="25" t="str">
        <f aca="false">IF(AT282="","",1)</f>
        <v/>
      </c>
      <c r="B282" s="25" t="str">
        <f aca="false">IF(AT282="","",1)</f>
        <v/>
      </c>
      <c r="C282" s="25" t="str">
        <f aca="false">IF(AT282="","",0)</f>
        <v/>
      </c>
      <c r="D282" s="25" t="str">
        <f aca="false">IF(AT282="","",TEXT(INDEX(入力シート!$A$5:$A$204,AT282),"YYYYMMDD"))</f>
        <v/>
      </c>
      <c r="E282" s="25" t="str">
        <f aca="false">IF(AT282="","",TEXT(INDEX(入力シート!$Q$5:$Q$204,AT282),"00000000"))</f>
        <v/>
      </c>
      <c r="F282" s="25" t="str">
        <f aca="false">IF(AT282="","",14)</f>
        <v/>
      </c>
      <c r="G282" s="25" t="str">
        <f aca="false">IF(AT282="","",1)</f>
        <v/>
      </c>
      <c r="H282" s="25" t="str">
        <f aca="false">IF(AT282="","",1)</f>
        <v/>
      </c>
      <c r="I282" s="25" t="str">
        <f aca="false">IF(AT282="","",3)</f>
        <v/>
      </c>
      <c r="J282" s="25" t="str">
        <f aca="false">IF(AT282="","",1)</f>
        <v/>
      </c>
      <c r="K282" s="25" t="str">
        <f aca="false">IF(AT282="","",INDEX(入力シート!$B$5:$B$204,AT282))</f>
        <v/>
      </c>
      <c r="L282" s="25" t="str">
        <f aca="false">IF(AT282="","","")</f>
        <v/>
      </c>
      <c r="M282" s="25" t="str">
        <f aca="false">IF(AT282="","","")</f>
        <v/>
      </c>
      <c r="N282" s="25" t="str">
        <f aca="false">IF(AT282="","",COUNTIF(入力シート!$Q$5:$Q$204,INDEX(入力シート!$Q$5:$Q$204,AT282))+1)</f>
        <v/>
      </c>
      <c r="O282" s="25" t="str">
        <f aca="false">IF(AT282="","",99)</f>
        <v/>
      </c>
      <c r="P282" s="25" t="str">
        <f aca="false">IF(AT282="","","")</f>
        <v/>
      </c>
      <c r="Q282" s="25" t="str">
        <f aca="false">IF(AT282="","","")</f>
        <v/>
      </c>
      <c r="R282" s="25" t="str">
        <f aca="false">IF(AT282="","","消費税")</f>
        <v/>
      </c>
      <c r="S282" s="25" t="str">
        <f aca="false">IF(AT282="","",0)</f>
        <v/>
      </c>
      <c r="T282" s="25" t="str">
        <f aca="false">IF(AT282="","","")</f>
        <v/>
      </c>
      <c r="U282" s="25" t="str">
        <f aca="false">IF(AT282="","",0)</f>
        <v/>
      </c>
      <c r="V282" s="25" t="str">
        <f aca="false">IF(AT282="","",0)</f>
        <v/>
      </c>
      <c r="W282" s="25" t="str">
        <f aca="false">IF(AT282="","","")</f>
        <v/>
      </c>
      <c r="X282" s="25" t="str">
        <f aca="false">IF(AT282="","",0)</f>
        <v/>
      </c>
      <c r="Y282" s="25" t="str">
        <f aca="false">IF(AT282="","",0)</f>
        <v/>
      </c>
      <c r="Z282" s="25" t="str">
        <f aca="false">IF(AT282="","",ROUNDDOWN(SUMIF(入力シート!$Q$5:$Q$204,INDEX(入力シート!$Q$5:$Q$204,AT282),入力シート!$P$5:$P$204)*IF(INDEX(入力シート!$L$5:$L$204,AT282)=13,0.1,IF(INDEX(入力シート!$L$5:$L$204,AT282)=30,0.08,0)),0))</f>
        <v/>
      </c>
      <c r="AA282" s="25" t="str">
        <f aca="false">IF(AT282="","","")</f>
        <v/>
      </c>
      <c r="AB282" s="25" t="str">
        <f aca="false">IF(AT282="","",0)</f>
        <v/>
      </c>
      <c r="AC282" s="25" t="str">
        <f aca="false">IF(AT282="","",0)</f>
        <v/>
      </c>
      <c r="AD282" s="25" t="str">
        <f aca="false">IF(AT282="","",0)</f>
        <v/>
      </c>
      <c r="AE282" s="25" t="str">
        <f aca="false">IF(AT282="","","")</f>
        <v/>
      </c>
      <c r="AF282" s="25" t="str">
        <f aca="false">IF(AT282="","",0)</f>
        <v/>
      </c>
      <c r="AG282" s="25" t="str">
        <f aca="false">IF(AT282="","",0)</f>
        <v/>
      </c>
      <c r="AH282" s="25" t="str">
        <f aca="false">IF(AT282="","","")</f>
        <v/>
      </c>
      <c r="AI282" s="25" t="str">
        <f aca="false">IF(AT282="","","")</f>
        <v/>
      </c>
      <c r="AJ282" s="25" t="str">
        <f aca="false">IF(AT282="","","")</f>
        <v/>
      </c>
      <c r="AK282" s="25" t="str">
        <f aca="false">IF(AT282="","",2)</f>
        <v/>
      </c>
      <c r="AL282" s="25" t="str">
        <f aca="false">IF(AT282="","","")</f>
        <v/>
      </c>
      <c r="AM282" s="25" t="str">
        <f aca="false">IF(AT282="","","")</f>
        <v/>
      </c>
      <c r="AN282" s="25" t="str">
        <f aca="false">IF(AT282="","",INDEX(入力シート!$C$5:$C$204,AT282))</f>
        <v/>
      </c>
      <c r="AO282" s="25" t="str">
        <f aca="false">IF(AT282="","","")</f>
        <v/>
      </c>
      <c r="AP282" s="25" t="str">
        <f aca="false">IF(AT282="","","")</f>
        <v/>
      </c>
      <c r="AQ282" s="25" t="str">
        <f aca="false">IF(AT282="","","")</f>
        <v/>
      </c>
      <c r="AT282" s="27" t="str">
        <f aca="false">IFERROR(MATCH(82,入力シート!$T$5:$T$204,0),"")</f>
        <v/>
      </c>
    </row>
    <row r="283" customFormat="false" ht="15" hidden="false" customHeight="true" outlineLevel="0" collapsed="false">
      <c r="A283" s="25" t="str">
        <f aca="false">IF(AT283="","",1)</f>
        <v/>
      </c>
      <c r="B283" s="25" t="str">
        <f aca="false">IF(AT283="","",1)</f>
        <v/>
      </c>
      <c r="C283" s="25" t="str">
        <f aca="false">IF(AT283="","",0)</f>
        <v/>
      </c>
      <c r="D283" s="25" t="str">
        <f aca="false">IF(AT283="","",TEXT(INDEX(入力シート!$A$5:$A$204,AT283),"YYYYMMDD"))</f>
        <v/>
      </c>
      <c r="E283" s="25" t="str">
        <f aca="false">IF(AT283="","",TEXT(INDEX(入力シート!$Q$5:$Q$204,AT283),"00000000"))</f>
        <v/>
      </c>
      <c r="F283" s="25" t="str">
        <f aca="false">IF(AT283="","",14)</f>
        <v/>
      </c>
      <c r="G283" s="25" t="str">
        <f aca="false">IF(AT283="","",1)</f>
        <v/>
      </c>
      <c r="H283" s="25" t="str">
        <f aca="false">IF(AT283="","",1)</f>
        <v/>
      </c>
      <c r="I283" s="25" t="str">
        <f aca="false">IF(AT283="","",3)</f>
        <v/>
      </c>
      <c r="J283" s="25" t="str">
        <f aca="false">IF(AT283="","",1)</f>
        <v/>
      </c>
      <c r="K283" s="25" t="str">
        <f aca="false">IF(AT283="","",INDEX(入力シート!$B$5:$B$204,AT283))</f>
        <v/>
      </c>
      <c r="L283" s="25" t="str">
        <f aca="false">IF(AT283="","","")</f>
        <v/>
      </c>
      <c r="M283" s="25" t="str">
        <f aca="false">IF(AT283="","","")</f>
        <v/>
      </c>
      <c r="N283" s="25" t="str">
        <f aca="false">IF(AT283="","",COUNTIF(入力シート!$Q$5:$Q$204,INDEX(入力シート!$Q$5:$Q$204,AT283))+1)</f>
        <v/>
      </c>
      <c r="O283" s="25" t="str">
        <f aca="false">IF(AT283="","",99)</f>
        <v/>
      </c>
      <c r="P283" s="25" t="str">
        <f aca="false">IF(AT283="","","")</f>
        <v/>
      </c>
      <c r="Q283" s="25" t="str">
        <f aca="false">IF(AT283="","","")</f>
        <v/>
      </c>
      <c r="R283" s="25" t="str">
        <f aca="false">IF(AT283="","","消費税")</f>
        <v/>
      </c>
      <c r="S283" s="25" t="str">
        <f aca="false">IF(AT283="","",0)</f>
        <v/>
      </c>
      <c r="T283" s="25" t="str">
        <f aca="false">IF(AT283="","","")</f>
        <v/>
      </c>
      <c r="U283" s="25" t="str">
        <f aca="false">IF(AT283="","",0)</f>
        <v/>
      </c>
      <c r="V283" s="25" t="str">
        <f aca="false">IF(AT283="","",0)</f>
        <v/>
      </c>
      <c r="W283" s="25" t="str">
        <f aca="false">IF(AT283="","","")</f>
        <v/>
      </c>
      <c r="X283" s="25" t="str">
        <f aca="false">IF(AT283="","",0)</f>
        <v/>
      </c>
      <c r="Y283" s="25" t="str">
        <f aca="false">IF(AT283="","",0)</f>
        <v/>
      </c>
      <c r="Z283" s="25" t="str">
        <f aca="false">IF(AT283="","",ROUNDDOWN(SUMIF(入力シート!$Q$5:$Q$204,INDEX(入力シート!$Q$5:$Q$204,AT283),入力シート!$P$5:$P$204)*IF(INDEX(入力シート!$L$5:$L$204,AT283)=13,0.1,IF(INDEX(入力シート!$L$5:$L$204,AT283)=30,0.08,0)),0))</f>
        <v/>
      </c>
      <c r="AA283" s="25" t="str">
        <f aca="false">IF(AT283="","","")</f>
        <v/>
      </c>
      <c r="AB283" s="25" t="str">
        <f aca="false">IF(AT283="","",0)</f>
        <v/>
      </c>
      <c r="AC283" s="25" t="str">
        <f aca="false">IF(AT283="","",0)</f>
        <v/>
      </c>
      <c r="AD283" s="25" t="str">
        <f aca="false">IF(AT283="","",0)</f>
        <v/>
      </c>
      <c r="AE283" s="25" t="str">
        <f aca="false">IF(AT283="","","")</f>
        <v/>
      </c>
      <c r="AF283" s="25" t="str">
        <f aca="false">IF(AT283="","",0)</f>
        <v/>
      </c>
      <c r="AG283" s="25" t="str">
        <f aca="false">IF(AT283="","",0)</f>
        <v/>
      </c>
      <c r="AH283" s="25" t="str">
        <f aca="false">IF(AT283="","","")</f>
        <v/>
      </c>
      <c r="AI283" s="25" t="str">
        <f aca="false">IF(AT283="","","")</f>
        <v/>
      </c>
      <c r="AJ283" s="25" t="str">
        <f aca="false">IF(AT283="","","")</f>
        <v/>
      </c>
      <c r="AK283" s="25" t="str">
        <f aca="false">IF(AT283="","",2)</f>
        <v/>
      </c>
      <c r="AL283" s="25" t="str">
        <f aca="false">IF(AT283="","","")</f>
        <v/>
      </c>
      <c r="AM283" s="25" t="str">
        <f aca="false">IF(AT283="","","")</f>
        <v/>
      </c>
      <c r="AN283" s="25" t="str">
        <f aca="false">IF(AT283="","",INDEX(入力シート!$C$5:$C$204,AT283))</f>
        <v/>
      </c>
      <c r="AO283" s="25" t="str">
        <f aca="false">IF(AT283="","","")</f>
        <v/>
      </c>
      <c r="AP283" s="25" t="str">
        <f aca="false">IF(AT283="","","")</f>
        <v/>
      </c>
      <c r="AQ283" s="25" t="str">
        <f aca="false">IF(AT283="","","")</f>
        <v/>
      </c>
      <c r="AT283" s="27" t="str">
        <f aca="false">IFERROR(MATCH(83,入力シート!$T$5:$T$204,0),"")</f>
        <v/>
      </c>
    </row>
    <row r="284" customFormat="false" ht="15" hidden="false" customHeight="true" outlineLevel="0" collapsed="false">
      <c r="A284" s="25" t="str">
        <f aca="false">IF(AT284="","",1)</f>
        <v/>
      </c>
      <c r="B284" s="25" t="str">
        <f aca="false">IF(AT284="","",1)</f>
        <v/>
      </c>
      <c r="C284" s="25" t="str">
        <f aca="false">IF(AT284="","",0)</f>
        <v/>
      </c>
      <c r="D284" s="25" t="str">
        <f aca="false">IF(AT284="","",TEXT(INDEX(入力シート!$A$5:$A$204,AT284),"YYYYMMDD"))</f>
        <v/>
      </c>
      <c r="E284" s="25" t="str">
        <f aca="false">IF(AT284="","",TEXT(INDEX(入力シート!$Q$5:$Q$204,AT284),"00000000"))</f>
        <v/>
      </c>
      <c r="F284" s="25" t="str">
        <f aca="false">IF(AT284="","",14)</f>
        <v/>
      </c>
      <c r="G284" s="25" t="str">
        <f aca="false">IF(AT284="","",1)</f>
        <v/>
      </c>
      <c r="H284" s="25" t="str">
        <f aca="false">IF(AT284="","",1)</f>
        <v/>
      </c>
      <c r="I284" s="25" t="str">
        <f aca="false">IF(AT284="","",3)</f>
        <v/>
      </c>
      <c r="J284" s="25" t="str">
        <f aca="false">IF(AT284="","",1)</f>
        <v/>
      </c>
      <c r="K284" s="25" t="str">
        <f aca="false">IF(AT284="","",INDEX(入力シート!$B$5:$B$204,AT284))</f>
        <v/>
      </c>
      <c r="L284" s="25" t="str">
        <f aca="false">IF(AT284="","","")</f>
        <v/>
      </c>
      <c r="M284" s="25" t="str">
        <f aca="false">IF(AT284="","","")</f>
        <v/>
      </c>
      <c r="N284" s="25" t="str">
        <f aca="false">IF(AT284="","",COUNTIF(入力シート!$Q$5:$Q$204,INDEX(入力シート!$Q$5:$Q$204,AT284))+1)</f>
        <v/>
      </c>
      <c r="O284" s="25" t="str">
        <f aca="false">IF(AT284="","",99)</f>
        <v/>
      </c>
      <c r="P284" s="25" t="str">
        <f aca="false">IF(AT284="","","")</f>
        <v/>
      </c>
      <c r="Q284" s="25" t="str">
        <f aca="false">IF(AT284="","","")</f>
        <v/>
      </c>
      <c r="R284" s="25" t="str">
        <f aca="false">IF(AT284="","","消費税")</f>
        <v/>
      </c>
      <c r="S284" s="25" t="str">
        <f aca="false">IF(AT284="","",0)</f>
        <v/>
      </c>
      <c r="T284" s="25" t="str">
        <f aca="false">IF(AT284="","","")</f>
        <v/>
      </c>
      <c r="U284" s="25" t="str">
        <f aca="false">IF(AT284="","",0)</f>
        <v/>
      </c>
      <c r="V284" s="25" t="str">
        <f aca="false">IF(AT284="","",0)</f>
        <v/>
      </c>
      <c r="W284" s="25" t="str">
        <f aca="false">IF(AT284="","","")</f>
        <v/>
      </c>
      <c r="X284" s="25" t="str">
        <f aca="false">IF(AT284="","",0)</f>
        <v/>
      </c>
      <c r="Y284" s="25" t="str">
        <f aca="false">IF(AT284="","",0)</f>
        <v/>
      </c>
      <c r="Z284" s="25" t="str">
        <f aca="false">IF(AT284="","",ROUNDDOWN(SUMIF(入力シート!$Q$5:$Q$204,INDEX(入力シート!$Q$5:$Q$204,AT284),入力シート!$P$5:$P$204)*IF(INDEX(入力シート!$L$5:$L$204,AT284)=13,0.1,IF(INDEX(入力シート!$L$5:$L$204,AT284)=30,0.08,0)),0))</f>
        <v/>
      </c>
      <c r="AA284" s="25" t="str">
        <f aca="false">IF(AT284="","","")</f>
        <v/>
      </c>
      <c r="AB284" s="25" t="str">
        <f aca="false">IF(AT284="","",0)</f>
        <v/>
      </c>
      <c r="AC284" s="25" t="str">
        <f aca="false">IF(AT284="","",0)</f>
        <v/>
      </c>
      <c r="AD284" s="25" t="str">
        <f aca="false">IF(AT284="","",0)</f>
        <v/>
      </c>
      <c r="AE284" s="25" t="str">
        <f aca="false">IF(AT284="","","")</f>
        <v/>
      </c>
      <c r="AF284" s="25" t="str">
        <f aca="false">IF(AT284="","",0)</f>
        <v/>
      </c>
      <c r="AG284" s="25" t="str">
        <f aca="false">IF(AT284="","",0)</f>
        <v/>
      </c>
      <c r="AH284" s="25" t="str">
        <f aca="false">IF(AT284="","","")</f>
        <v/>
      </c>
      <c r="AI284" s="25" t="str">
        <f aca="false">IF(AT284="","","")</f>
        <v/>
      </c>
      <c r="AJ284" s="25" t="str">
        <f aca="false">IF(AT284="","","")</f>
        <v/>
      </c>
      <c r="AK284" s="25" t="str">
        <f aca="false">IF(AT284="","",2)</f>
        <v/>
      </c>
      <c r="AL284" s="25" t="str">
        <f aca="false">IF(AT284="","","")</f>
        <v/>
      </c>
      <c r="AM284" s="25" t="str">
        <f aca="false">IF(AT284="","","")</f>
        <v/>
      </c>
      <c r="AN284" s="25" t="str">
        <f aca="false">IF(AT284="","",INDEX(入力シート!$C$5:$C$204,AT284))</f>
        <v/>
      </c>
      <c r="AO284" s="25" t="str">
        <f aca="false">IF(AT284="","","")</f>
        <v/>
      </c>
      <c r="AP284" s="25" t="str">
        <f aca="false">IF(AT284="","","")</f>
        <v/>
      </c>
      <c r="AQ284" s="25" t="str">
        <f aca="false">IF(AT284="","","")</f>
        <v/>
      </c>
      <c r="AT284" s="27" t="str">
        <f aca="false">IFERROR(MATCH(84,入力シート!$T$5:$T$204,0),"")</f>
        <v/>
      </c>
    </row>
    <row r="285" customFormat="false" ht="15" hidden="false" customHeight="true" outlineLevel="0" collapsed="false">
      <c r="A285" s="25" t="str">
        <f aca="false">IF(AT285="","",1)</f>
        <v/>
      </c>
      <c r="B285" s="25" t="str">
        <f aca="false">IF(AT285="","",1)</f>
        <v/>
      </c>
      <c r="C285" s="25" t="str">
        <f aca="false">IF(AT285="","",0)</f>
        <v/>
      </c>
      <c r="D285" s="25" t="str">
        <f aca="false">IF(AT285="","",TEXT(INDEX(入力シート!$A$5:$A$204,AT285),"YYYYMMDD"))</f>
        <v/>
      </c>
      <c r="E285" s="25" t="str">
        <f aca="false">IF(AT285="","",TEXT(INDEX(入力シート!$Q$5:$Q$204,AT285),"00000000"))</f>
        <v/>
      </c>
      <c r="F285" s="25" t="str">
        <f aca="false">IF(AT285="","",14)</f>
        <v/>
      </c>
      <c r="G285" s="25" t="str">
        <f aca="false">IF(AT285="","",1)</f>
        <v/>
      </c>
      <c r="H285" s="25" t="str">
        <f aca="false">IF(AT285="","",1)</f>
        <v/>
      </c>
      <c r="I285" s="25" t="str">
        <f aca="false">IF(AT285="","",3)</f>
        <v/>
      </c>
      <c r="J285" s="25" t="str">
        <f aca="false">IF(AT285="","",1)</f>
        <v/>
      </c>
      <c r="K285" s="25" t="str">
        <f aca="false">IF(AT285="","",INDEX(入力シート!$B$5:$B$204,AT285))</f>
        <v/>
      </c>
      <c r="L285" s="25" t="str">
        <f aca="false">IF(AT285="","","")</f>
        <v/>
      </c>
      <c r="M285" s="25" t="str">
        <f aca="false">IF(AT285="","","")</f>
        <v/>
      </c>
      <c r="N285" s="25" t="str">
        <f aca="false">IF(AT285="","",COUNTIF(入力シート!$Q$5:$Q$204,INDEX(入力シート!$Q$5:$Q$204,AT285))+1)</f>
        <v/>
      </c>
      <c r="O285" s="25" t="str">
        <f aca="false">IF(AT285="","",99)</f>
        <v/>
      </c>
      <c r="P285" s="25" t="str">
        <f aca="false">IF(AT285="","","")</f>
        <v/>
      </c>
      <c r="Q285" s="25" t="str">
        <f aca="false">IF(AT285="","","")</f>
        <v/>
      </c>
      <c r="R285" s="25" t="str">
        <f aca="false">IF(AT285="","","消費税")</f>
        <v/>
      </c>
      <c r="S285" s="25" t="str">
        <f aca="false">IF(AT285="","",0)</f>
        <v/>
      </c>
      <c r="T285" s="25" t="str">
        <f aca="false">IF(AT285="","","")</f>
        <v/>
      </c>
      <c r="U285" s="25" t="str">
        <f aca="false">IF(AT285="","",0)</f>
        <v/>
      </c>
      <c r="V285" s="25" t="str">
        <f aca="false">IF(AT285="","",0)</f>
        <v/>
      </c>
      <c r="W285" s="25" t="str">
        <f aca="false">IF(AT285="","","")</f>
        <v/>
      </c>
      <c r="X285" s="25" t="str">
        <f aca="false">IF(AT285="","",0)</f>
        <v/>
      </c>
      <c r="Y285" s="25" t="str">
        <f aca="false">IF(AT285="","",0)</f>
        <v/>
      </c>
      <c r="Z285" s="25" t="str">
        <f aca="false">IF(AT285="","",ROUNDDOWN(SUMIF(入力シート!$Q$5:$Q$204,INDEX(入力シート!$Q$5:$Q$204,AT285),入力シート!$P$5:$P$204)*IF(INDEX(入力シート!$L$5:$L$204,AT285)=13,0.1,IF(INDEX(入力シート!$L$5:$L$204,AT285)=30,0.08,0)),0))</f>
        <v/>
      </c>
      <c r="AA285" s="25" t="str">
        <f aca="false">IF(AT285="","","")</f>
        <v/>
      </c>
      <c r="AB285" s="25" t="str">
        <f aca="false">IF(AT285="","",0)</f>
        <v/>
      </c>
      <c r="AC285" s="25" t="str">
        <f aca="false">IF(AT285="","",0)</f>
        <v/>
      </c>
      <c r="AD285" s="25" t="str">
        <f aca="false">IF(AT285="","",0)</f>
        <v/>
      </c>
      <c r="AE285" s="25" t="str">
        <f aca="false">IF(AT285="","","")</f>
        <v/>
      </c>
      <c r="AF285" s="25" t="str">
        <f aca="false">IF(AT285="","",0)</f>
        <v/>
      </c>
      <c r="AG285" s="25" t="str">
        <f aca="false">IF(AT285="","",0)</f>
        <v/>
      </c>
      <c r="AH285" s="25" t="str">
        <f aca="false">IF(AT285="","","")</f>
        <v/>
      </c>
      <c r="AI285" s="25" t="str">
        <f aca="false">IF(AT285="","","")</f>
        <v/>
      </c>
      <c r="AJ285" s="25" t="str">
        <f aca="false">IF(AT285="","","")</f>
        <v/>
      </c>
      <c r="AK285" s="25" t="str">
        <f aca="false">IF(AT285="","",2)</f>
        <v/>
      </c>
      <c r="AL285" s="25" t="str">
        <f aca="false">IF(AT285="","","")</f>
        <v/>
      </c>
      <c r="AM285" s="25" t="str">
        <f aca="false">IF(AT285="","","")</f>
        <v/>
      </c>
      <c r="AN285" s="25" t="str">
        <f aca="false">IF(AT285="","",INDEX(入力シート!$C$5:$C$204,AT285))</f>
        <v/>
      </c>
      <c r="AO285" s="25" t="str">
        <f aca="false">IF(AT285="","","")</f>
        <v/>
      </c>
      <c r="AP285" s="25" t="str">
        <f aca="false">IF(AT285="","","")</f>
        <v/>
      </c>
      <c r="AQ285" s="25" t="str">
        <f aca="false">IF(AT285="","","")</f>
        <v/>
      </c>
      <c r="AT285" s="27" t="str">
        <f aca="false">IFERROR(MATCH(85,入力シート!$T$5:$T$204,0),"")</f>
        <v/>
      </c>
    </row>
    <row r="286" customFormat="false" ht="15" hidden="false" customHeight="true" outlineLevel="0" collapsed="false">
      <c r="A286" s="25" t="str">
        <f aca="false">IF(AT286="","",1)</f>
        <v/>
      </c>
      <c r="B286" s="25" t="str">
        <f aca="false">IF(AT286="","",1)</f>
        <v/>
      </c>
      <c r="C286" s="25" t="str">
        <f aca="false">IF(AT286="","",0)</f>
        <v/>
      </c>
      <c r="D286" s="25" t="str">
        <f aca="false">IF(AT286="","",TEXT(INDEX(入力シート!$A$5:$A$204,AT286),"YYYYMMDD"))</f>
        <v/>
      </c>
      <c r="E286" s="25" t="str">
        <f aca="false">IF(AT286="","",TEXT(INDEX(入力シート!$Q$5:$Q$204,AT286),"00000000"))</f>
        <v/>
      </c>
      <c r="F286" s="25" t="str">
        <f aca="false">IF(AT286="","",14)</f>
        <v/>
      </c>
      <c r="G286" s="25" t="str">
        <f aca="false">IF(AT286="","",1)</f>
        <v/>
      </c>
      <c r="H286" s="25" t="str">
        <f aca="false">IF(AT286="","",1)</f>
        <v/>
      </c>
      <c r="I286" s="25" t="str">
        <f aca="false">IF(AT286="","",3)</f>
        <v/>
      </c>
      <c r="J286" s="25" t="str">
        <f aca="false">IF(AT286="","",1)</f>
        <v/>
      </c>
      <c r="K286" s="25" t="str">
        <f aca="false">IF(AT286="","",INDEX(入力シート!$B$5:$B$204,AT286))</f>
        <v/>
      </c>
      <c r="L286" s="25" t="str">
        <f aca="false">IF(AT286="","","")</f>
        <v/>
      </c>
      <c r="M286" s="25" t="str">
        <f aca="false">IF(AT286="","","")</f>
        <v/>
      </c>
      <c r="N286" s="25" t="str">
        <f aca="false">IF(AT286="","",COUNTIF(入力シート!$Q$5:$Q$204,INDEX(入力シート!$Q$5:$Q$204,AT286))+1)</f>
        <v/>
      </c>
      <c r="O286" s="25" t="str">
        <f aca="false">IF(AT286="","",99)</f>
        <v/>
      </c>
      <c r="P286" s="25" t="str">
        <f aca="false">IF(AT286="","","")</f>
        <v/>
      </c>
      <c r="Q286" s="25" t="str">
        <f aca="false">IF(AT286="","","")</f>
        <v/>
      </c>
      <c r="R286" s="25" t="str">
        <f aca="false">IF(AT286="","","消費税")</f>
        <v/>
      </c>
      <c r="S286" s="25" t="str">
        <f aca="false">IF(AT286="","",0)</f>
        <v/>
      </c>
      <c r="T286" s="25" t="str">
        <f aca="false">IF(AT286="","","")</f>
        <v/>
      </c>
      <c r="U286" s="25" t="str">
        <f aca="false">IF(AT286="","",0)</f>
        <v/>
      </c>
      <c r="V286" s="25" t="str">
        <f aca="false">IF(AT286="","",0)</f>
        <v/>
      </c>
      <c r="W286" s="25" t="str">
        <f aca="false">IF(AT286="","","")</f>
        <v/>
      </c>
      <c r="X286" s="25" t="str">
        <f aca="false">IF(AT286="","",0)</f>
        <v/>
      </c>
      <c r="Y286" s="25" t="str">
        <f aca="false">IF(AT286="","",0)</f>
        <v/>
      </c>
      <c r="Z286" s="25" t="str">
        <f aca="false">IF(AT286="","",ROUNDDOWN(SUMIF(入力シート!$Q$5:$Q$204,INDEX(入力シート!$Q$5:$Q$204,AT286),入力シート!$P$5:$P$204)*IF(INDEX(入力シート!$L$5:$L$204,AT286)=13,0.1,IF(INDEX(入力シート!$L$5:$L$204,AT286)=30,0.08,0)),0))</f>
        <v/>
      </c>
      <c r="AA286" s="25" t="str">
        <f aca="false">IF(AT286="","","")</f>
        <v/>
      </c>
      <c r="AB286" s="25" t="str">
        <f aca="false">IF(AT286="","",0)</f>
        <v/>
      </c>
      <c r="AC286" s="25" t="str">
        <f aca="false">IF(AT286="","",0)</f>
        <v/>
      </c>
      <c r="AD286" s="25" t="str">
        <f aca="false">IF(AT286="","",0)</f>
        <v/>
      </c>
      <c r="AE286" s="25" t="str">
        <f aca="false">IF(AT286="","","")</f>
        <v/>
      </c>
      <c r="AF286" s="25" t="str">
        <f aca="false">IF(AT286="","",0)</f>
        <v/>
      </c>
      <c r="AG286" s="25" t="str">
        <f aca="false">IF(AT286="","",0)</f>
        <v/>
      </c>
      <c r="AH286" s="25" t="str">
        <f aca="false">IF(AT286="","","")</f>
        <v/>
      </c>
      <c r="AI286" s="25" t="str">
        <f aca="false">IF(AT286="","","")</f>
        <v/>
      </c>
      <c r="AJ286" s="25" t="str">
        <f aca="false">IF(AT286="","","")</f>
        <v/>
      </c>
      <c r="AK286" s="25" t="str">
        <f aca="false">IF(AT286="","",2)</f>
        <v/>
      </c>
      <c r="AL286" s="25" t="str">
        <f aca="false">IF(AT286="","","")</f>
        <v/>
      </c>
      <c r="AM286" s="25" t="str">
        <f aca="false">IF(AT286="","","")</f>
        <v/>
      </c>
      <c r="AN286" s="25" t="str">
        <f aca="false">IF(AT286="","",INDEX(入力シート!$C$5:$C$204,AT286))</f>
        <v/>
      </c>
      <c r="AO286" s="25" t="str">
        <f aca="false">IF(AT286="","","")</f>
        <v/>
      </c>
      <c r="AP286" s="25" t="str">
        <f aca="false">IF(AT286="","","")</f>
        <v/>
      </c>
      <c r="AQ286" s="25" t="str">
        <f aca="false">IF(AT286="","","")</f>
        <v/>
      </c>
      <c r="AT286" s="27" t="str">
        <f aca="false">IFERROR(MATCH(86,入力シート!$T$5:$T$204,0),"")</f>
        <v/>
      </c>
    </row>
    <row r="287" customFormat="false" ht="15" hidden="false" customHeight="true" outlineLevel="0" collapsed="false">
      <c r="A287" s="25" t="str">
        <f aca="false">IF(AT287="","",1)</f>
        <v/>
      </c>
      <c r="B287" s="25" t="str">
        <f aca="false">IF(AT287="","",1)</f>
        <v/>
      </c>
      <c r="C287" s="25" t="str">
        <f aca="false">IF(AT287="","",0)</f>
        <v/>
      </c>
      <c r="D287" s="25" t="str">
        <f aca="false">IF(AT287="","",TEXT(INDEX(入力シート!$A$5:$A$204,AT287),"YYYYMMDD"))</f>
        <v/>
      </c>
      <c r="E287" s="25" t="str">
        <f aca="false">IF(AT287="","",TEXT(INDEX(入力シート!$Q$5:$Q$204,AT287),"00000000"))</f>
        <v/>
      </c>
      <c r="F287" s="25" t="str">
        <f aca="false">IF(AT287="","",14)</f>
        <v/>
      </c>
      <c r="G287" s="25" t="str">
        <f aca="false">IF(AT287="","",1)</f>
        <v/>
      </c>
      <c r="H287" s="25" t="str">
        <f aca="false">IF(AT287="","",1)</f>
        <v/>
      </c>
      <c r="I287" s="25" t="str">
        <f aca="false">IF(AT287="","",3)</f>
        <v/>
      </c>
      <c r="J287" s="25" t="str">
        <f aca="false">IF(AT287="","",1)</f>
        <v/>
      </c>
      <c r="K287" s="25" t="str">
        <f aca="false">IF(AT287="","",INDEX(入力シート!$B$5:$B$204,AT287))</f>
        <v/>
      </c>
      <c r="L287" s="25" t="str">
        <f aca="false">IF(AT287="","","")</f>
        <v/>
      </c>
      <c r="M287" s="25" t="str">
        <f aca="false">IF(AT287="","","")</f>
        <v/>
      </c>
      <c r="N287" s="25" t="str">
        <f aca="false">IF(AT287="","",COUNTIF(入力シート!$Q$5:$Q$204,INDEX(入力シート!$Q$5:$Q$204,AT287))+1)</f>
        <v/>
      </c>
      <c r="O287" s="25" t="str">
        <f aca="false">IF(AT287="","",99)</f>
        <v/>
      </c>
      <c r="P287" s="25" t="str">
        <f aca="false">IF(AT287="","","")</f>
        <v/>
      </c>
      <c r="Q287" s="25" t="str">
        <f aca="false">IF(AT287="","","")</f>
        <v/>
      </c>
      <c r="R287" s="25" t="str">
        <f aca="false">IF(AT287="","","消費税")</f>
        <v/>
      </c>
      <c r="S287" s="25" t="str">
        <f aca="false">IF(AT287="","",0)</f>
        <v/>
      </c>
      <c r="T287" s="25" t="str">
        <f aca="false">IF(AT287="","","")</f>
        <v/>
      </c>
      <c r="U287" s="25" t="str">
        <f aca="false">IF(AT287="","",0)</f>
        <v/>
      </c>
      <c r="V287" s="25" t="str">
        <f aca="false">IF(AT287="","",0)</f>
        <v/>
      </c>
      <c r="W287" s="25" t="str">
        <f aca="false">IF(AT287="","","")</f>
        <v/>
      </c>
      <c r="X287" s="25" t="str">
        <f aca="false">IF(AT287="","",0)</f>
        <v/>
      </c>
      <c r="Y287" s="25" t="str">
        <f aca="false">IF(AT287="","",0)</f>
        <v/>
      </c>
      <c r="Z287" s="25" t="str">
        <f aca="false">IF(AT287="","",ROUNDDOWN(SUMIF(入力シート!$Q$5:$Q$204,INDEX(入力シート!$Q$5:$Q$204,AT287),入力シート!$P$5:$P$204)*IF(INDEX(入力シート!$L$5:$L$204,AT287)=13,0.1,IF(INDEX(入力シート!$L$5:$L$204,AT287)=30,0.08,0)),0))</f>
        <v/>
      </c>
      <c r="AA287" s="25" t="str">
        <f aca="false">IF(AT287="","","")</f>
        <v/>
      </c>
      <c r="AB287" s="25" t="str">
        <f aca="false">IF(AT287="","",0)</f>
        <v/>
      </c>
      <c r="AC287" s="25" t="str">
        <f aca="false">IF(AT287="","",0)</f>
        <v/>
      </c>
      <c r="AD287" s="25" t="str">
        <f aca="false">IF(AT287="","",0)</f>
        <v/>
      </c>
      <c r="AE287" s="25" t="str">
        <f aca="false">IF(AT287="","","")</f>
        <v/>
      </c>
      <c r="AF287" s="25" t="str">
        <f aca="false">IF(AT287="","",0)</f>
        <v/>
      </c>
      <c r="AG287" s="25" t="str">
        <f aca="false">IF(AT287="","",0)</f>
        <v/>
      </c>
      <c r="AH287" s="25" t="str">
        <f aca="false">IF(AT287="","","")</f>
        <v/>
      </c>
      <c r="AI287" s="25" t="str">
        <f aca="false">IF(AT287="","","")</f>
        <v/>
      </c>
      <c r="AJ287" s="25" t="str">
        <f aca="false">IF(AT287="","","")</f>
        <v/>
      </c>
      <c r="AK287" s="25" t="str">
        <f aca="false">IF(AT287="","",2)</f>
        <v/>
      </c>
      <c r="AL287" s="25" t="str">
        <f aca="false">IF(AT287="","","")</f>
        <v/>
      </c>
      <c r="AM287" s="25" t="str">
        <f aca="false">IF(AT287="","","")</f>
        <v/>
      </c>
      <c r="AN287" s="25" t="str">
        <f aca="false">IF(AT287="","",INDEX(入力シート!$C$5:$C$204,AT287))</f>
        <v/>
      </c>
      <c r="AO287" s="25" t="str">
        <f aca="false">IF(AT287="","","")</f>
        <v/>
      </c>
      <c r="AP287" s="25" t="str">
        <f aca="false">IF(AT287="","","")</f>
        <v/>
      </c>
      <c r="AQ287" s="25" t="str">
        <f aca="false">IF(AT287="","","")</f>
        <v/>
      </c>
      <c r="AT287" s="27" t="str">
        <f aca="false">IFERROR(MATCH(87,入力シート!$T$5:$T$204,0),"")</f>
        <v/>
      </c>
    </row>
    <row r="288" customFormat="false" ht="15" hidden="false" customHeight="true" outlineLevel="0" collapsed="false">
      <c r="A288" s="25" t="str">
        <f aca="false">IF(AT288="","",1)</f>
        <v/>
      </c>
      <c r="B288" s="25" t="str">
        <f aca="false">IF(AT288="","",1)</f>
        <v/>
      </c>
      <c r="C288" s="25" t="str">
        <f aca="false">IF(AT288="","",0)</f>
        <v/>
      </c>
      <c r="D288" s="25" t="str">
        <f aca="false">IF(AT288="","",TEXT(INDEX(入力シート!$A$5:$A$204,AT288),"YYYYMMDD"))</f>
        <v/>
      </c>
      <c r="E288" s="25" t="str">
        <f aca="false">IF(AT288="","",TEXT(INDEX(入力シート!$Q$5:$Q$204,AT288),"00000000"))</f>
        <v/>
      </c>
      <c r="F288" s="25" t="str">
        <f aca="false">IF(AT288="","",14)</f>
        <v/>
      </c>
      <c r="G288" s="25" t="str">
        <f aca="false">IF(AT288="","",1)</f>
        <v/>
      </c>
      <c r="H288" s="25" t="str">
        <f aca="false">IF(AT288="","",1)</f>
        <v/>
      </c>
      <c r="I288" s="25" t="str">
        <f aca="false">IF(AT288="","",3)</f>
        <v/>
      </c>
      <c r="J288" s="25" t="str">
        <f aca="false">IF(AT288="","",1)</f>
        <v/>
      </c>
      <c r="K288" s="25" t="str">
        <f aca="false">IF(AT288="","",INDEX(入力シート!$B$5:$B$204,AT288))</f>
        <v/>
      </c>
      <c r="L288" s="25" t="str">
        <f aca="false">IF(AT288="","","")</f>
        <v/>
      </c>
      <c r="M288" s="25" t="str">
        <f aca="false">IF(AT288="","","")</f>
        <v/>
      </c>
      <c r="N288" s="25" t="str">
        <f aca="false">IF(AT288="","",COUNTIF(入力シート!$Q$5:$Q$204,INDEX(入力シート!$Q$5:$Q$204,AT288))+1)</f>
        <v/>
      </c>
      <c r="O288" s="25" t="str">
        <f aca="false">IF(AT288="","",99)</f>
        <v/>
      </c>
      <c r="P288" s="25" t="str">
        <f aca="false">IF(AT288="","","")</f>
        <v/>
      </c>
      <c r="Q288" s="25" t="str">
        <f aca="false">IF(AT288="","","")</f>
        <v/>
      </c>
      <c r="R288" s="25" t="str">
        <f aca="false">IF(AT288="","","消費税")</f>
        <v/>
      </c>
      <c r="S288" s="25" t="str">
        <f aca="false">IF(AT288="","",0)</f>
        <v/>
      </c>
      <c r="T288" s="25" t="str">
        <f aca="false">IF(AT288="","","")</f>
        <v/>
      </c>
      <c r="U288" s="25" t="str">
        <f aca="false">IF(AT288="","",0)</f>
        <v/>
      </c>
      <c r="V288" s="25" t="str">
        <f aca="false">IF(AT288="","",0)</f>
        <v/>
      </c>
      <c r="W288" s="25" t="str">
        <f aca="false">IF(AT288="","","")</f>
        <v/>
      </c>
      <c r="X288" s="25" t="str">
        <f aca="false">IF(AT288="","",0)</f>
        <v/>
      </c>
      <c r="Y288" s="25" t="str">
        <f aca="false">IF(AT288="","",0)</f>
        <v/>
      </c>
      <c r="Z288" s="25" t="str">
        <f aca="false">IF(AT288="","",ROUNDDOWN(SUMIF(入力シート!$Q$5:$Q$204,INDEX(入力シート!$Q$5:$Q$204,AT288),入力シート!$P$5:$P$204)*IF(INDEX(入力シート!$L$5:$L$204,AT288)=13,0.1,IF(INDEX(入力シート!$L$5:$L$204,AT288)=30,0.08,0)),0))</f>
        <v/>
      </c>
      <c r="AA288" s="25" t="str">
        <f aca="false">IF(AT288="","","")</f>
        <v/>
      </c>
      <c r="AB288" s="25" t="str">
        <f aca="false">IF(AT288="","",0)</f>
        <v/>
      </c>
      <c r="AC288" s="25" t="str">
        <f aca="false">IF(AT288="","",0)</f>
        <v/>
      </c>
      <c r="AD288" s="25" t="str">
        <f aca="false">IF(AT288="","",0)</f>
        <v/>
      </c>
      <c r="AE288" s="25" t="str">
        <f aca="false">IF(AT288="","","")</f>
        <v/>
      </c>
      <c r="AF288" s="25" t="str">
        <f aca="false">IF(AT288="","",0)</f>
        <v/>
      </c>
      <c r="AG288" s="25" t="str">
        <f aca="false">IF(AT288="","",0)</f>
        <v/>
      </c>
      <c r="AH288" s="25" t="str">
        <f aca="false">IF(AT288="","","")</f>
        <v/>
      </c>
      <c r="AI288" s="25" t="str">
        <f aca="false">IF(AT288="","","")</f>
        <v/>
      </c>
      <c r="AJ288" s="25" t="str">
        <f aca="false">IF(AT288="","","")</f>
        <v/>
      </c>
      <c r="AK288" s="25" t="str">
        <f aca="false">IF(AT288="","",2)</f>
        <v/>
      </c>
      <c r="AL288" s="25" t="str">
        <f aca="false">IF(AT288="","","")</f>
        <v/>
      </c>
      <c r="AM288" s="25" t="str">
        <f aca="false">IF(AT288="","","")</f>
        <v/>
      </c>
      <c r="AN288" s="25" t="str">
        <f aca="false">IF(AT288="","",INDEX(入力シート!$C$5:$C$204,AT288))</f>
        <v/>
      </c>
      <c r="AO288" s="25" t="str">
        <f aca="false">IF(AT288="","","")</f>
        <v/>
      </c>
      <c r="AP288" s="25" t="str">
        <f aca="false">IF(AT288="","","")</f>
        <v/>
      </c>
      <c r="AQ288" s="25" t="str">
        <f aca="false">IF(AT288="","","")</f>
        <v/>
      </c>
      <c r="AT288" s="27" t="str">
        <f aca="false">IFERROR(MATCH(88,入力シート!$T$5:$T$204,0),"")</f>
        <v/>
      </c>
    </row>
    <row r="289" customFormat="false" ht="15" hidden="false" customHeight="true" outlineLevel="0" collapsed="false">
      <c r="A289" s="25" t="str">
        <f aca="false">IF(AT289="","",1)</f>
        <v/>
      </c>
      <c r="B289" s="25" t="str">
        <f aca="false">IF(AT289="","",1)</f>
        <v/>
      </c>
      <c r="C289" s="25" t="str">
        <f aca="false">IF(AT289="","",0)</f>
        <v/>
      </c>
      <c r="D289" s="25" t="str">
        <f aca="false">IF(AT289="","",TEXT(INDEX(入力シート!$A$5:$A$204,AT289),"YYYYMMDD"))</f>
        <v/>
      </c>
      <c r="E289" s="25" t="str">
        <f aca="false">IF(AT289="","",TEXT(INDEX(入力シート!$Q$5:$Q$204,AT289),"00000000"))</f>
        <v/>
      </c>
      <c r="F289" s="25" t="str">
        <f aca="false">IF(AT289="","",14)</f>
        <v/>
      </c>
      <c r="G289" s="25" t="str">
        <f aca="false">IF(AT289="","",1)</f>
        <v/>
      </c>
      <c r="H289" s="25" t="str">
        <f aca="false">IF(AT289="","",1)</f>
        <v/>
      </c>
      <c r="I289" s="25" t="str">
        <f aca="false">IF(AT289="","",3)</f>
        <v/>
      </c>
      <c r="J289" s="25" t="str">
        <f aca="false">IF(AT289="","",1)</f>
        <v/>
      </c>
      <c r="K289" s="25" t="str">
        <f aca="false">IF(AT289="","",INDEX(入力シート!$B$5:$B$204,AT289))</f>
        <v/>
      </c>
      <c r="L289" s="25" t="str">
        <f aca="false">IF(AT289="","","")</f>
        <v/>
      </c>
      <c r="M289" s="25" t="str">
        <f aca="false">IF(AT289="","","")</f>
        <v/>
      </c>
      <c r="N289" s="25" t="str">
        <f aca="false">IF(AT289="","",COUNTIF(入力シート!$Q$5:$Q$204,INDEX(入力シート!$Q$5:$Q$204,AT289))+1)</f>
        <v/>
      </c>
      <c r="O289" s="25" t="str">
        <f aca="false">IF(AT289="","",99)</f>
        <v/>
      </c>
      <c r="P289" s="25" t="str">
        <f aca="false">IF(AT289="","","")</f>
        <v/>
      </c>
      <c r="Q289" s="25" t="str">
        <f aca="false">IF(AT289="","","")</f>
        <v/>
      </c>
      <c r="R289" s="25" t="str">
        <f aca="false">IF(AT289="","","消費税")</f>
        <v/>
      </c>
      <c r="S289" s="25" t="str">
        <f aca="false">IF(AT289="","",0)</f>
        <v/>
      </c>
      <c r="T289" s="25" t="str">
        <f aca="false">IF(AT289="","","")</f>
        <v/>
      </c>
      <c r="U289" s="25" t="str">
        <f aca="false">IF(AT289="","",0)</f>
        <v/>
      </c>
      <c r="V289" s="25" t="str">
        <f aca="false">IF(AT289="","",0)</f>
        <v/>
      </c>
      <c r="W289" s="25" t="str">
        <f aca="false">IF(AT289="","","")</f>
        <v/>
      </c>
      <c r="X289" s="25" t="str">
        <f aca="false">IF(AT289="","",0)</f>
        <v/>
      </c>
      <c r="Y289" s="25" t="str">
        <f aca="false">IF(AT289="","",0)</f>
        <v/>
      </c>
      <c r="Z289" s="25" t="str">
        <f aca="false">IF(AT289="","",ROUNDDOWN(SUMIF(入力シート!$Q$5:$Q$204,INDEX(入力シート!$Q$5:$Q$204,AT289),入力シート!$P$5:$P$204)*IF(INDEX(入力シート!$L$5:$L$204,AT289)=13,0.1,IF(INDEX(入力シート!$L$5:$L$204,AT289)=30,0.08,0)),0))</f>
        <v/>
      </c>
      <c r="AA289" s="25" t="str">
        <f aca="false">IF(AT289="","","")</f>
        <v/>
      </c>
      <c r="AB289" s="25" t="str">
        <f aca="false">IF(AT289="","",0)</f>
        <v/>
      </c>
      <c r="AC289" s="25" t="str">
        <f aca="false">IF(AT289="","",0)</f>
        <v/>
      </c>
      <c r="AD289" s="25" t="str">
        <f aca="false">IF(AT289="","",0)</f>
        <v/>
      </c>
      <c r="AE289" s="25" t="str">
        <f aca="false">IF(AT289="","","")</f>
        <v/>
      </c>
      <c r="AF289" s="25" t="str">
        <f aca="false">IF(AT289="","",0)</f>
        <v/>
      </c>
      <c r="AG289" s="25" t="str">
        <f aca="false">IF(AT289="","",0)</f>
        <v/>
      </c>
      <c r="AH289" s="25" t="str">
        <f aca="false">IF(AT289="","","")</f>
        <v/>
      </c>
      <c r="AI289" s="25" t="str">
        <f aca="false">IF(AT289="","","")</f>
        <v/>
      </c>
      <c r="AJ289" s="25" t="str">
        <f aca="false">IF(AT289="","","")</f>
        <v/>
      </c>
      <c r="AK289" s="25" t="str">
        <f aca="false">IF(AT289="","",2)</f>
        <v/>
      </c>
      <c r="AL289" s="25" t="str">
        <f aca="false">IF(AT289="","","")</f>
        <v/>
      </c>
      <c r="AM289" s="25" t="str">
        <f aca="false">IF(AT289="","","")</f>
        <v/>
      </c>
      <c r="AN289" s="25" t="str">
        <f aca="false">IF(AT289="","",INDEX(入力シート!$C$5:$C$204,AT289))</f>
        <v/>
      </c>
      <c r="AO289" s="25" t="str">
        <f aca="false">IF(AT289="","","")</f>
        <v/>
      </c>
      <c r="AP289" s="25" t="str">
        <f aca="false">IF(AT289="","","")</f>
        <v/>
      </c>
      <c r="AQ289" s="25" t="str">
        <f aca="false">IF(AT289="","","")</f>
        <v/>
      </c>
      <c r="AT289" s="27" t="str">
        <f aca="false">IFERROR(MATCH(89,入力シート!$T$5:$T$204,0),"")</f>
        <v/>
      </c>
    </row>
    <row r="290" customFormat="false" ht="15" hidden="false" customHeight="true" outlineLevel="0" collapsed="false">
      <c r="A290" s="25" t="str">
        <f aca="false">IF(AT290="","",1)</f>
        <v/>
      </c>
      <c r="B290" s="25" t="str">
        <f aca="false">IF(AT290="","",1)</f>
        <v/>
      </c>
      <c r="C290" s="25" t="str">
        <f aca="false">IF(AT290="","",0)</f>
        <v/>
      </c>
      <c r="D290" s="25" t="str">
        <f aca="false">IF(AT290="","",TEXT(INDEX(入力シート!$A$5:$A$204,AT290),"YYYYMMDD"))</f>
        <v/>
      </c>
      <c r="E290" s="25" t="str">
        <f aca="false">IF(AT290="","",TEXT(INDEX(入力シート!$Q$5:$Q$204,AT290),"00000000"))</f>
        <v/>
      </c>
      <c r="F290" s="25" t="str">
        <f aca="false">IF(AT290="","",14)</f>
        <v/>
      </c>
      <c r="G290" s="25" t="str">
        <f aca="false">IF(AT290="","",1)</f>
        <v/>
      </c>
      <c r="H290" s="25" t="str">
        <f aca="false">IF(AT290="","",1)</f>
        <v/>
      </c>
      <c r="I290" s="25" t="str">
        <f aca="false">IF(AT290="","",3)</f>
        <v/>
      </c>
      <c r="J290" s="25" t="str">
        <f aca="false">IF(AT290="","",1)</f>
        <v/>
      </c>
      <c r="K290" s="25" t="str">
        <f aca="false">IF(AT290="","",INDEX(入力シート!$B$5:$B$204,AT290))</f>
        <v/>
      </c>
      <c r="L290" s="25" t="str">
        <f aca="false">IF(AT290="","","")</f>
        <v/>
      </c>
      <c r="M290" s="25" t="str">
        <f aca="false">IF(AT290="","","")</f>
        <v/>
      </c>
      <c r="N290" s="25" t="str">
        <f aca="false">IF(AT290="","",COUNTIF(入力シート!$Q$5:$Q$204,INDEX(入力シート!$Q$5:$Q$204,AT290))+1)</f>
        <v/>
      </c>
      <c r="O290" s="25" t="str">
        <f aca="false">IF(AT290="","",99)</f>
        <v/>
      </c>
      <c r="P290" s="25" t="str">
        <f aca="false">IF(AT290="","","")</f>
        <v/>
      </c>
      <c r="Q290" s="25" t="str">
        <f aca="false">IF(AT290="","","")</f>
        <v/>
      </c>
      <c r="R290" s="25" t="str">
        <f aca="false">IF(AT290="","","消費税")</f>
        <v/>
      </c>
      <c r="S290" s="25" t="str">
        <f aca="false">IF(AT290="","",0)</f>
        <v/>
      </c>
      <c r="T290" s="25" t="str">
        <f aca="false">IF(AT290="","","")</f>
        <v/>
      </c>
      <c r="U290" s="25" t="str">
        <f aca="false">IF(AT290="","",0)</f>
        <v/>
      </c>
      <c r="V290" s="25" t="str">
        <f aca="false">IF(AT290="","",0)</f>
        <v/>
      </c>
      <c r="W290" s="25" t="str">
        <f aca="false">IF(AT290="","","")</f>
        <v/>
      </c>
      <c r="X290" s="25" t="str">
        <f aca="false">IF(AT290="","",0)</f>
        <v/>
      </c>
      <c r="Y290" s="25" t="str">
        <f aca="false">IF(AT290="","",0)</f>
        <v/>
      </c>
      <c r="Z290" s="25" t="str">
        <f aca="false">IF(AT290="","",ROUNDDOWN(SUMIF(入力シート!$Q$5:$Q$204,INDEX(入力シート!$Q$5:$Q$204,AT290),入力シート!$P$5:$P$204)*IF(INDEX(入力シート!$L$5:$L$204,AT290)=13,0.1,IF(INDEX(入力シート!$L$5:$L$204,AT290)=30,0.08,0)),0))</f>
        <v/>
      </c>
      <c r="AA290" s="25" t="str">
        <f aca="false">IF(AT290="","","")</f>
        <v/>
      </c>
      <c r="AB290" s="25" t="str">
        <f aca="false">IF(AT290="","",0)</f>
        <v/>
      </c>
      <c r="AC290" s="25" t="str">
        <f aca="false">IF(AT290="","",0)</f>
        <v/>
      </c>
      <c r="AD290" s="25" t="str">
        <f aca="false">IF(AT290="","",0)</f>
        <v/>
      </c>
      <c r="AE290" s="25" t="str">
        <f aca="false">IF(AT290="","","")</f>
        <v/>
      </c>
      <c r="AF290" s="25" t="str">
        <f aca="false">IF(AT290="","",0)</f>
        <v/>
      </c>
      <c r="AG290" s="25" t="str">
        <f aca="false">IF(AT290="","",0)</f>
        <v/>
      </c>
      <c r="AH290" s="25" t="str">
        <f aca="false">IF(AT290="","","")</f>
        <v/>
      </c>
      <c r="AI290" s="25" t="str">
        <f aca="false">IF(AT290="","","")</f>
        <v/>
      </c>
      <c r="AJ290" s="25" t="str">
        <f aca="false">IF(AT290="","","")</f>
        <v/>
      </c>
      <c r="AK290" s="25" t="str">
        <f aca="false">IF(AT290="","",2)</f>
        <v/>
      </c>
      <c r="AL290" s="25" t="str">
        <f aca="false">IF(AT290="","","")</f>
        <v/>
      </c>
      <c r="AM290" s="25" t="str">
        <f aca="false">IF(AT290="","","")</f>
        <v/>
      </c>
      <c r="AN290" s="25" t="str">
        <f aca="false">IF(AT290="","",INDEX(入力シート!$C$5:$C$204,AT290))</f>
        <v/>
      </c>
      <c r="AO290" s="25" t="str">
        <f aca="false">IF(AT290="","","")</f>
        <v/>
      </c>
      <c r="AP290" s="25" t="str">
        <f aca="false">IF(AT290="","","")</f>
        <v/>
      </c>
      <c r="AQ290" s="25" t="str">
        <f aca="false">IF(AT290="","","")</f>
        <v/>
      </c>
      <c r="AT290" s="27" t="str">
        <f aca="false">IFERROR(MATCH(90,入力シート!$T$5:$T$204,0),"")</f>
        <v/>
      </c>
    </row>
    <row r="291" customFormat="false" ht="15" hidden="false" customHeight="true" outlineLevel="0" collapsed="false">
      <c r="A291" s="25" t="str">
        <f aca="false">IF(AT291="","",1)</f>
        <v/>
      </c>
      <c r="B291" s="25" t="str">
        <f aca="false">IF(AT291="","",1)</f>
        <v/>
      </c>
      <c r="C291" s="25" t="str">
        <f aca="false">IF(AT291="","",0)</f>
        <v/>
      </c>
      <c r="D291" s="25" t="str">
        <f aca="false">IF(AT291="","",TEXT(INDEX(入力シート!$A$5:$A$204,AT291),"YYYYMMDD"))</f>
        <v/>
      </c>
      <c r="E291" s="25" t="str">
        <f aca="false">IF(AT291="","",TEXT(INDEX(入力シート!$Q$5:$Q$204,AT291),"00000000"))</f>
        <v/>
      </c>
      <c r="F291" s="25" t="str">
        <f aca="false">IF(AT291="","",14)</f>
        <v/>
      </c>
      <c r="G291" s="25" t="str">
        <f aca="false">IF(AT291="","",1)</f>
        <v/>
      </c>
      <c r="H291" s="25" t="str">
        <f aca="false">IF(AT291="","",1)</f>
        <v/>
      </c>
      <c r="I291" s="25" t="str">
        <f aca="false">IF(AT291="","",3)</f>
        <v/>
      </c>
      <c r="J291" s="25" t="str">
        <f aca="false">IF(AT291="","",1)</f>
        <v/>
      </c>
      <c r="K291" s="25" t="str">
        <f aca="false">IF(AT291="","",INDEX(入力シート!$B$5:$B$204,AT291))</f>
        <v/>
      </c>
      <c r="L291" s="25" t="str">
        <f aca="false">IF(AT291="","","")</f>
        <v/>
      </c>
      <c r="M291" s="25" t="str">
        <f aca="false">IF(AT291="","","")</f>
        <v/>
      </c>
      <c r="N291" s="25" t="str">
        <f aca="false">IF(AT291="","",COUNTIF(入力シート!$Q$5:$Q$204,INDEX(入力シート!$Q$5:$Q$204,AT291))+1)</f>
        <v/>
      </c>
      <c r="O291" s="25" t="str">
        <f aca="false">IF(AT291="","",99)</f>
        <v/>
      </c>
      <c r="P291" s="25" t="str">
        <f aca="false">IF(AT291="","","")</f>
        <v/>
      </c>
      <c r="Q291" s="25" t="str">
        <f aca="false">IF(AT291="","","")</f>
        <v/>
      </c>
      <c r="R291" s="25" t="str">
        <f aca="false">IF(AT291="","","消費税")</f>
        <v/>
      </c>
      <c r="S291" s="25" t="str">
        <f aca="false">IF(AT291="","",0)</f>
        <v/>
      </c>
      <c r="T291" s="25" t="str">
        <f aca="false">IF(AT291="","","")</f>
        <v/>
      </c>
      <c r="U291" s="25" t="str">
        <f aca="false">IF(AT291="","",0)</f>
        <v/>
      </c>
      <c r="V291" s="25" t="str">
        <f aca="false">IF(AT291="","",0)</f>
        <v/>
      </c>
      <c r="W291" s="25" t="str">
        <f aca="false">IF(AT291="","","")</f>
        <v/>
      </c>
      <c r="X291" s="25" t="str">
        <f aca="false">IF(AT291="","",0)</f>
        <v/>
      </c>
      <c r="Y291" s="25" t="str">
        <f aca="false">IF(AT291="","",0)</f>
        <v/>
      </c>
      <c r="Z291" s="25" t="str">
        <f aca="false">IF(AT291="","",ROUNDDOWN(SUMIF(入力シート!$Q$5:$Q$204,INDEX(入力シート!$Q$5:$Q$204,AT291),入力シート!$P$5:$P$204)*IF(INDEX(入力シート!$L$5:$L$204,AT291)=13,0.1,IF(INDEX(入力シート!$L$5:$L$204,AT291)=30,0.08,0)),0))</f>
        <v/>
      </c>
      <c r="AA291" s="25" t="str">
        <f aca="false">IF(AT291="","","")</f>
        <v/>
      </c>
      <c r="AB291" s="25" t="str">
        <f aca="false">IF(AT291="","",0)</f>
        <v/>
      </c>
      <c r="AC291" s="25" t="str">
        <f aca="false">IF(AT291="","",0)</f>
        <v/>
      </c>
      <c r="AD291" s="25" t="str">
        <f aca="false">IF(AT291="","",0)</f>
        <v/>
      </c>
      <c r="AE291" s="25" t="str">
        <f aca="false">IF(AT291="","","")</f>
        <v/>
      </c>
      <c r="AF291" s="25" t="str">
        <f aca="false">IF(AT291="","",0)</f>
        <v/>
      </c>
      <c r="AG291" s="25" t="str">
        <f aca="false">IF(AT291="","",0)</f>
        <v/>
      </c>
      <c r="AH291" s="25" t="str">
        <f aca="false">IF(AT291="","","")</f>
        <v/>
      </c>
      <c r="AI291" s="25" t="str">
        <f aca="false">IF(AT291="","","")</f>
        <v/>
      </c>
      <c r="AJ291" s="25" t="str">
        <f aca="false">IF(AT291="","","")</f>
        <v/>
      </c>
      <c r="AK291" s="25" t="str">
        <f aca="false">IF(AT291="","",2)</f>
        <v/>
      </c>
      <c r="AL291" s="25" t="str">
        <f aca="false">IF(AT291="","","")</f>
        <v/>
      </c>
      <c r="AM291" s="25" t="str">
        <f aca="false">IF(AT291="","","")</f>
        <v/>
      </c>
      <c r="AN291" s="25" t="str">
        <f aca="false">IF(AT291="","",INDEX(入力シート!$C$5:$C$204,AT291))</f>
        <v/>
      </c>
      <c r="AO291" s="25" t="str">
        <f aca="false">IF(AT291="","","")</f>
        <v/>
      </c>
      <c r="AP291" s="25" t="str">
        <f aca="false">IF(AT291="","","")</f>
        <v/>
      </c>
      <c r="AQ291" s="25" t="str">
        <f aca="false">IF(AT291="","","")</f>
        <v/>
      </c>
      <c r="AT291" s="27" t="str">
        <f aca="false">IFERROR(MATCH(91,入力シート!$T$5:$T$204,0),"")</f>
        <v/>
      </c>
    </row>
    <row r="292" customFormat="false" ht="15" hidden="false" customHeight="true" outlineLevel="0" collapsed="false">
      <c r="A292" s="25" t="str">
        <f aca="false">IF(AT292="","",1)</f>
        <v/>
      </c>
      <c r="B292" s="25" t="str">
        <f aca="false">IF(AT292="","",1)</f>
        <v/>
      </c>
      <c r="C292" s="25" t="str">
        <f aca="false">IF(AT292="","",0)</f>
        <v/>
      </c>
      <c r="D292" s="25" t="str">
        <f aca="false">IF(AT292="","",TEXT(INDEX(入力シート!$A$5:$A$204,AT292),"YYYYMMDD"))</f>
        <v/>
      </c>
      <c r="E292" s="25" t="str">
        <f aca="false">IF(AT292="","",TEXT(INDEX(入力シート!$Q$5:$Q$204,AT292),"00000000"))</f>
        <v/>
      </c>
      <c r="F292" s="25" t="str">
        <f aca="false">IF(AT292="","",14)</f>
        <v/>
      </c>
      <c r="G292" s="25" t="str">
        <f aca="false">IF(AT292="","",1)</f>
        <v/>
      </c>
      <c r="H292" s="25" t="str">
        <f aca="false">IF(AT292="","",1)</f>
        <v/>
      </c>
      <c r="I292" s="25" t="str">
        <f aca="false">IF(AT292="","",3)</f>
        <v/>
      </c>
      <c r="J292" s="25" t="str">
        <f aca="false">IF(AT292="","",1)</f>
        <v/>
      </c>
      <c r="K292" s="25" t="str">
        <f aca="false">IF(AT292="","",INDEX(入力シート!$B$5:$B$204,AT292))</f>
        <v/>
      </c>
      <c r="L292" s="25" t="str">
        <f aca="false">IF(AT292="","","")</f>
        <v/>
      </c>
      <c r="M292" s="25" t="str">
        <f aca="false">IF(AT292="","","")</f>
        <v/>
      </c>
      <c r="N292" s="25" t="str">
        <f aca="false">IF(AT292="","",COUNTIF(入力シート!$Q$5:$Q$204,INDEX(入力シート!$Q$5:$Q$204,AT292))+1)</f>
        <v/>
      </c>
      <c r="O292" s="25" t="str">
        <f aca="false">IF(AT292="","",99)</f>
        <v/>
      </c>
      <c r="P292" s="25" t="str">
        <f aca="false">IF(AT292="","","")</f>
        <v/>
      </c>
      <c r="Q292" s="25" t="str">
        <f aca="false">IF(AT292="","","")</f>
        <v/>
      </c>
      <c r="R292" s="25" t="str">
        <f aca="false">IF(AT292="","","消費税")</f>
        <v/>
      </c>
      <c r="S292" s="25" t="str">
        <f aca="false">IF(AT292="","",0)</f>
        <v/>
      </c>
      <c r="T292" s="25" t="str">
        <f aca="false">IF(AT292="","","")</f>
        <v/>
      </c>
      <c r="U292" s="25" t="str">
        <f aca="false">IF(AT292="","",0)</f>
        <v/>
      </c>
      <c r="V292" s="25" t="str">
        <f aca="false">IF(AT292="","",0)</f>
        <v/>
      </c>
      <c r="W292" s="25" t="str">
        <f aca="false">IF(AT292="","","")</f>
        <v/>
      </c>
      <c r="X292" s="25" t="str">
        <f aca="false">IF(AT292="","",0)</f>
        <v/>
      </c>
      <c r="Y292" s="25" t="str">
        <f aca="false">IF(AT292="","",0)</f>
        <v/>
      </c>
      <c r="Z292" s="25" t="str">
        <f aca="false">IF(AT292="","",ROUNDDOWN(SUMIF(入力シート!$Q$5:$Q$204,INDEX(入力シート!$Q$5:$Q$204,AT292),入力シート!$P$5:$P$204)*IF(INDEX(入力シート!$L$5:$L$204,AT292)=13,0.1,IF(INDEX(入力シート!$L$5:$L$204,AT292)=30,0.08,0)),0))</f>
        <v/>
      </c>
      <c r="AA292" s="25" t="str">
        <f aca="false">IF(AT292="","","")</f>
        <v/>
      </c>
      <c r="AB292" s="25" t="str">
        <f aca="false">IF(AT292="","",0)</f>
        <v/>
      </c>
      <c r="AC292" s="25" t="str">
        <f aca="false">IF(AT292="","",0)</f>
        <v/>
      </c>
      <c r="AD292" s="25" t="str">
        <f aca="false">IF(AT292="","",0)</f>
        <v/>
      </c>
      <c r="AE292" s="25" t="str">
        <f aca="false">IF(AT292="","","")</f>
        <v/>
      </c>
      <c r="AF292" s="25" t="str">
        <f aca="false">IF(AT292="","",0)</f>
        <v/>
      </c>
      <c r="AG292" s="25" t="str">
        <f aca="false">IF(AT292="","",0)</f>
        <v/>
      </c>
      <c r="AH292" s="25" t="str">
        <f aca="false">IF(AT292="","","")</f>
        <v/>
      </c>
      <c r="AI292" s="25" t="str">
        <f aca="false">IF(AT292="","","")</f>
        <v/>
      </c>
      <c r="AJ292" s="25" t="str">
        <f aca="false">IF(AT292="","","")</f>
        <v/>
      </c>
      <c r="AK292" s="25" t="str">
        <f aca="false">IF(AT292="","",2)</f>
        <v/>
      </c>
      <c r="AL292" s="25" t="str">
        <f aca="false">IF(AT292="","","")</f>
        <v/>
      </c>
      <c r="AM292" s="25" t="str">
        <f aca="false">IF(AT292="","","")</f>
        <v/>
      </c>
      <c r="AN292" s="25" t="str">
        <f aca="false">IF(AT292="","",INDEX(入力シート!$C$5:$C$204,AT292))</f>
        <v/>
      </c>
      <c r="AO292" s="25" t="str">
        <f aca="false">IF(AT292="","","")</f>
        <v/>
      </c>
      <c r="AP292" s="25" t="str">
        <f aca="false">IF(AT292="","","")</f>
        <v/>
      </c>
      <c r="AQ292" s="25" t="str">
        <f aca="false">IF(AT292="","","")</f>
        <v/>
      </c>
      <c r="AT292" s="27" t="str">
        <f aca="false">IFERROR(MATCH(92,入力シート!$T$5:$T$204,0),"")</f>
        <v/>
      </c>
    </row>
    <row r="293" customFormat="false" ht="15" hidden="false" customHeight="true" outlineLevel="0" collapsed="false">
      <c r="A293" s="25" t="str">
        <f aca="false">IF(AT293="","",1)</f>
        <v/>
      </c>
      <c r="B293" s="25" t="str">
        <f aca="false">IF(AT293="","",1)</f>
        <v/>
      </c>
      <c r="C293" s="25" t="str">
        <f aca="false">IF(AT293="","",0)</f>
        <v/>
      </c>
      <c r="D293" s="25" t="str">
        <f aca="false">IF(AT293="","",TEXT(INDEX(入力シート!$A$5:$A$204,AT293),"YYYYMMDD"))</f>
        <v/>
      </c>
      <c r="E293" s="25" t="str">
        <f aca="false">IF(AT293="","",TEXT(INDEX(入力シート!$Q$5:$Q$204,AT293),"00000000"))</f>
        <v/>
      </c>
      <c r="F293" s="25" t="str">
        <f aca="false">IF(AT293="","",14)</f>
        <v/>
      </c>
      <c r="G293" s="25" t="str">
        <f aca="false">IF(AT293="","",1)</f>
        <v/>
      </c>
      <c r="H293" s="25" t="str">
        <f aca="false">IF(AT293="","",1)</f>
        <v/>
      </c>
      <c r="I293" s="25" t="str">
        <f aca="false">IF(AT293="","",3)</f>
        <v/>
      </c>
      <c r="J293" s="25" t="str">
        <f aca="false">IF(AT293="","",1)</f>
        <v/>
      </c>
      <c r="K293" s="25" t="str">
        <f aca="false">IF(AT293="","",INDEX(入力シート!$B$5:$B$204,AT293))</f>
        <v/>
      </c>
      <c r="L293" s="25" t="str">
        <f aca="false">IF(AT293="","","")</f>
        <v/>
      </c>
      <c r="M293" s="25" t="str">
        <f aca="false">IF(AT293="","","")</f>
        <v/>
      </c>
      <c r="N293" s="25" t="str">
        <f aca="false">IF(AT293="","",COUNTIF(入力シート!$Q$5:$Q$204,INDEX(入力シート!$Q$5:$Q$204,AT293))+1)</f>
        <v/>
      </c>
      <c r="O293" s="25" t="str">
        <f aca="false">IF(AT293="","",99)</f>
        <v/>
      </c>
      <c r="P293" s="25" t="str">
        <f aca="false">IF(AT293="","","")</f>
        <v/>
      </c>
      <c r="Q293" s="25" t="str">
        <f aca="false">IF(AT293="","","")</f>
        <v/>
      </c>
      <c r="R293" s="25" t="str">
        <f aca="false">IF(AT293="","","消費税")</f>
        <v/>
      </c>
      <c r="S293" s="25" t="str">
        <f aca="false">IF(AT293="","",0)</f>
        <v/>
      </c>
      <c r="T293" s="25" t="str">
        <f aca="false">IF(AT293="","","")</f>
        <v/>
      </c>
      <c r="U293" s="25" t="str">
        <f aca="false">IF(AT293="","",0)</f>
        <v/>
      </c>
      <c r="V293" s="25" t="str">
        <f aca="false">IF(AT293="","",0)</f>
        <v/>
      </c>
      <c r="W293" s="25" t="str">
        <f aca="false">IF(AT293="","","")</f>
        <v/>
      </c>
      <c r="X293" s="25" t="str">
        <f aca="false">IF(AT293="","",0)</f>
        <v/>
      </c>
      <c r="Y293" s="25" t="str">
        <f aca="false">IF(AT293="","",0)</f>
        <v/>
      </c>
      <c r="Z293" s="25" t="str">
        <f aca="false">IF(AT293="","",ROUNDDOWN(SUMIF(入力シート!$Q$5:$Q$204,INDEX(入力シート!$Q$5:$Q$204,AT293),入力シート!$P$5:$P$204)*IF(INDEX(入力シート!$L$5:$L$204,AT293)=13,0.1,IF(INDEX(入力シート!$L$5:$L$204,AT293)=30,0.08,0)),0))</f>
        <v/>
      </c>
      <c r="AA293" s="25" t="str">
        <f aca="false">IF(AT293="","","")</f>
        <v/>
      </c>
      <c r="AB293" s="25" t="str">
        <f aca="false">IF(AT293="","",0)</f>
        <v/>
      </c>
      <c r="AC293" s="25" t="str">
        <f aca="false">IF(AT293="","",0)</f>
        <v/>
      </c>
      <c r="AD293" s="25" t="str">
        <f aca="false">IF(AT293="","",0)</f>
        <v/>
      </c>
      <c r="AE293" s="25" t="str">
        <f aca="false">IF(AT293="","","")</f>
        <v/>
      </c>
      <c r="AF293" s="25" t="str">
        <f aca="false">IF(AT293="","",0)</f>
        <v/>
      </c>
      <c r="AG293" s="25" t="str">
        <f aca="false">IF(AT293="","",0)</f>
        <v/>
      </c>
      <c r="AH293" s="25" t="str">
        <f aca="false">IF(AT293="","","")</f>
        <v/>
      </c>
      <c r="AI293" s="25" t="str">
        <f aca="false">IF(AT293="","","")</f>
        <v/>
      </c>
      <c r="AJ293" s="25" t="str">
        <f aca="false">IF(AT293="","","")</f>
        <v/>
      </c>
      <c r="AK293" s="25" t="str">
        <f aca="false">IF(AT293="","",2)</f>
        <v/>
      </c>
      <c r="AL293" s="25" t="str">
        <f aca="false">IF(AT293="","","")</f>
        <v/>
      </c>
      <c r="AM293" s="25" t="str">
        <f aca="false">IF(AT293="","","")</f>
        <v/>
      </c>
      <c r="AN293" s="25" t="str">
        <f aca="false">IF(AT293="","",INDEX(入力シート!$C$5:$C$204,AT293))</f>
        <v/>
      </c>
      <c r="AO293" s="25" t="str">
        <f aca="false">IF(AT293="","","")</f>
        <v/>
      </c>
      <c r="AP293" s="25" t="str">
        <f aca="false">IF(AT293="","","")</f>
        <v/>
      </c>
      <c r="AQ293" s="25" t="str">
        <f aca="false">IF(AT293="","","")</f>
        <v/>
      </c>
      <c r="AT293" s="27" t="str">
        <f aca="false">IFERROR(MATCH(93,入力シート!$T$5:$T$204,0),"")</f>
        <v/>
      </c>
    </row>
    <row r="294" customFormat="false" ht="15" hidden="false" customHeight="true" outlineLevel="0" collapsed="false">
      <c r="A294" s="25" t="str">
        <f aca="false">IF(AT294="","",1)</f>
        <v/>
      </c>
      <c r="B294" s="25" t="str">
        <f aca="false">IF(AT294="","",1)</f>
        <v/>
      </c>
      <c r="C294" s="25" t="str">
        <f aca="false">IF(AT294="","",0)</f>
        <v/>
      </c>
      <c r="D294" s="25" t="str">
        <f aca="false">IF(AT294="","",TEXT(INDEX(入力シート!$A$5:$A$204,AT294),"YYYYMMDD"))</f>
        <v/>
      </c>
      <c r="E294" s="25" t="str">
        <f aca="false">IF(AT294="","",TEXT(INDEX(入力シート!$Q$5:$Q$204,AT294),"00000000"))</f>
        <v/>
      </c>
      <c r="F294" s="25" t="str">
        <f aca="false">IF(AT294="","",14)</f>
        <v/>
      </c>
      <c r="G294" s="25" t="str">
        <f aca="false">IF(AT294="","",1)</f>
        <v/>
      </c>
      <c r="H294" s="25" t="str">
        <f aca="false">IF(AT294="","",1)</f>
        <v/>
      </c>
      <c r="I294" s="25" t="str">
        <f aca="false">IF(AT294="","",3)</f>
        <v/>
      </c>
      <c r="J294" s="25" t="str">
        <f aca="false">IF(AT294="","",1)</f>
        <v/>
      </c>
      <c r="K294" s="25" t="str">
        <f aca="false">IF(AT294="","",INDEX(入力シート!$B$5:$B$204,AT294))</f>
        <v/>
      </c>
      <c r="L294" s="25" t="str">
        <f aca="false">IF(AT294="","","")</f>
        <v/>
      </c>
      <c r="M294" s="25" t="str">
        <f aca="false">IF(AT294="","","")</f>
        <v/>
      </c>
      <c r="N294" s="25" t="str">
        <f aca="false">IF(AT294="","",COUNTIF(入力シート!$Q$5:$Q$204,INDEX(入力シート!$Q$5:$Q$204,AT294))+1)</f>
        <v/>
      </c>
      <c r="O294" s="25" t="str">
        <f aca="false">IF(AT294="","",99)</f>
        <v/>
      </c>
      <c r="P294" s="25" t="str">
        <f aca="false">IF(AT294="","","")</f>
        <v/>
      </c>
      <c r="Q294" s="25" t="str">
        <f aca="false">IF(AT294="","","")</f>
        <v/>
      </c>
      <c r="R294" s="25" t="str">
        <f aca="false">IF(AT294="","","消費税")</f>
        <v/>
      </c>
      <c r="S294" s="25" t="str">
        <f aca="false">IF(AT294="","",0)</f>
        <v/>
      </c>
      <c r="T294" s="25" t="str">
        <f aca="false">IF(AT294="","","")</f>
        <v/>
      </c>
      <c r="U294" s="25" t="str">
        <f aca="false">IF(AT294="","",0)</f>
        <v/>
      </c>
      <c r="V294" s="25" t="str">
        <f aca="false">IF(AT294="","",0)</f>
        <v/>
      </c>
      <c r="W294" s="25" t="str">
        <f aca="false">IF(AT294="","","")</f>
        <v/>
      </c>
      <c r="X294" s="25" t="str">
        <f aca="false">IF(AT294="","",0)</f>
        <v/>
      </c>
      <c r="Y294" s="25" t="str">
        <f aca="false">IF(AT294="","",0)</f>
        <v/>
      </c>
      <c r="Z294" s="25" t="str">
        <f aca="false">IF(AT294="","",ROUNDDOWN(SUMIF(入力シート!$Q$5:$Q$204,INDEX(入力シート!$Q$5:$Q$204,AT294),入力シート!$P$5:$P$204)*IF(INDEX(入力シート!$L$5:$L$204,AT294)=13,0.1,IF(INDEX(入力シート!$L$5:$L$204,AT294)=30,0.08,0)),0))</f>
        <v/>
      </c>
      <c r="AA294" s="25" t="str">
        <f aca="false">IF(AT294="","","")</f>
        <v/>
      </c>
      <c r="AB294" s="25" t="str">
        <f aca="false">IF(AT294="","",0)</f>
        <v/>
      </c>
      <c r="AC294" s="25" t="str">
        <f aca="false">IF(AT294="","",0)</f>
        <v/>
      </c>
      <c r="AD294" s="25" t="str">
        <f aca="false">IF(AT294="","",0)</f>
        <v/>
      </c>
      <c r="AE294" s="25" t="str">
        <f aca="false">IF(AT294="","","")</f>
        <v/>
      </c>
      <c r="AF294" s="25" t="str">
        <f aca="false">IF(AT294="","",0)</f>
        <v/>
      </c>
      <c r="AG294" s="25" t="str">
        <f aca="false">IF(AT294="","",0)</f>
        <v/>
      </c>
      <c r="AH294" s="25" t="str">
        <f aca="false">IF(AT294="","","")</f>
        <v/>
      </c>
      <c r="AI294" s="25" t="str">
        <f aca="false">IF(AT294="","","")</f>
        <v/>
      </c>
      <c r="AJ294" s="25" t="str">
        <f aca="false">IF(AT294="","","")</f>
        <v/>
      </c>
      <c r="AK294" s="25" t="str">
        <f aca="false">IF(AT294="","",2)</f>
        <v/>
      </c>
      <c r="AL294" s="25" t="str">
        <f aca="false">IF(AT294="","","")</f>
        <v/>
      </c>
      <c r="AM294" s="25" t="str">
        <f aca="false">IF(AT294="","","")</f>
        <v/>
      </c>
      <c r="AN294" s="25" t="str">
        <f aca="false">IF(AT294="","",INDEX(入力シート!$C$5:$C$204,AT294))</f>
        <v/>
      </c>
      <c r="AO294" s="25" t="str">
        <f aca="false">IF(AT294="","","")</f>
        <v/>
      </c>
      <c r="AP294" s="25" t="str">
        <f aca="false">IF(AT294="","","")</f>
        <v/>
      </c>
      <c r="AQ294" s="25" t="str">
        <f aca="false">IF(AT294="","","")</f>
        <v/>
      </c>
      <c r="AT294" s="27" t="str">
        <f aca="false">IFERROR(MATCH(94,入力シート!$T$5:$T$204,0),"")</f>
        <v/>
      </c>
    </row>
    <row r="295" customFormat="false" ht="15" hidden="false" customHeight="true" outlineLevel="0" collapsed="false">
      <c r="A295" s="25" t="str">
        <f aca="false">IF(AT295="","",1)</f>
        <v/>
      </c>
      <c r="B295" s="25" t="str">
        <f aca="false">IF(AT295="","",1)</f>
        <v/>
      </c>
      <c r="C295" s="25" t="str">
        <f aca="false">IF(AT295="","",0)</f>
        <v/>
      </c>
      <c r="D295" s="25" t="str">
        <f aca="false">IF(AT295="","",TEXT(INDEX(入力シート!$A$5:$A$204,AT295),"YYYYMMDD"))</f>
        <v/>
      </c>
      <c r="E295" s="25" t="str">
        <f aca="false">IF(AT295="","",TEXT(INDEX(入力シート!$Q$5:$Q$204,AT295),"00000000"))</f>
        <v/>
      </c>
      <c r="F295" s="25" t="str">
        <f aca="false">IF(AT295="","",14)</f>
        <v/>
      </c>
      <c r="G295" s="25" t="str">
        <f aca="false">IF(AT295="","",1)</f>
        <v/>
      </c>
      <c r="H295" s="25" t="str">
        <f aca="false">IF(AT295="","",1)</f>
        <v/>
      </c>
      <c r="I295" s="25" t="str">
        <f aca="false">IF(AT295="","",3)</f>
        <v/>
      </c>
      <c r="J295" s="25" t="str">
        <f aca="false">IF(AT295="","",1)</f>
        <v/>
      </c>
      <c r="K295" s="25" t="str">
        <f aca="false">IF(AT295="","",INDEX(入力シート!$B$5:$B$204,AT295))</f>
        <v/>
      </c>
      <c r="L295" s="25" t="str">
        <f aca="false">IF(AT295="","","")</f>
        <v/>
      </c>
      <c r="M295" s="25" t="str">
        <f aca="false">IF(AT295="","","")</f>
        <v/>
      </c>
      <c r="N295" s="25" t="str">
        <f aca="false">IF(AT295="","",COUNTIF(入力シート!$Q$5:$Q$204,INDEX(入力シート!$Q$5:$Q$204,AT295))+1)</f>
        <v/>
      </c>
      <c r="O295" s="25" t="str">
        <f aca="false">IF(AT295="","",99)</f>
        <v/>
      </c>
      <c r="P295" s="25" t="str">
        <f aca="false">IF(AT295="","","")</f>
        <v/>
      </c>
      <c r="Q295" s="25" t="str">
        <f aca="false">IF(AT295="","","")</f>
        <v/>
      </c>
      <c r="R295" s="25" t="str">
        <f aca="false">IF(AT295="","","消費税")</f>
        <v/>
      </c>
      <c r="S295" s="25" t="str">
        <f aca="false">IF(AT295="","",0)</f>
        <v/>
      </c>
      <c r="T295" s="25" t="str">
        <f aca="false">IF(AT295="","","")</f>
        <v/>
      </c>
      <c r="U295" s="25" t="str">
        <f aca="false">IF(AT295="","",0)</f>
        <v/>
      </c>
      <c r="V295" s="25" t="str">
        <f aca="false">IF(AT295="","",0)</f>
        <v/>
      </c>
      <c r="W295" s="25" t="str">
        <f aca="false">IF(AT295="","","")</f>
        <v/>
      </c>
      <c r="X295" s="25" t="str">
        <f aca="false">IF(AT295="","",0)</f>
        <v/>
      </c>
      <c r="Y295" s="25" t="str">
        <f aca="false">IF(AT295="","",0)</f>
        <v/>
      </c>
      <c r="Z295" s="25" t="str">
        <f aca="false">IF(AT295="","",ROUNDDOWN(SUMIF(入力シート!$Q$5:$Q$204,INDEX(入力シート!$Q$5:$Q$204,AT295),入力シート!$P$5:$P$204)*IF(INDEX(入力シート!$L$5:$L$204,AT295)=13,0.1,IF(INDEX(入力シート!$L$5:$L$204,AT295)=30,0.08,0)),0))</f>
        <v/>
      </c>
      <c r="AA295" s="25" t="str">
        <f aca="false">IF(AT295="","","")</f>
        <v/>
      </c>
      <c r="AB295" s="25" t="str">
        <f aca="false">IF(AT295="","",0)</f>
        <v/>
      </c>
      <c r="AC295" s="25" t="str">
        <f aca="false">IF(AT295="","",0)</f>
        <v/>
      </c>
      <c r="AD295" s="25" t="str">
        <f aca="false">IF(AT295="","",0)</f>
        <v/>
      </c>
      <c r="AE295" s="25" t="str">
        <f aca="false">IF(AT295="","","")</f>
        <v/>
      </c>
      <c r="AF295" s="25" t="str">
        <f aca="false">IF(AT295="","",0)</f>
        <v/>
      </c>
      <c r="AG295" s="25" t="str">
        <f aca="false">IF(AT295="","",0)</f>
        <v/>
      </c>
      <c r="AH295" s="25" t="str">
        <f aca="false">IF(AT295="","","")</f>
        <v/>
      </c>
      <c r="AI295" s="25" t="str">
        <f aca="false">IF(AT295="","","")</f>
        <v/>
      </c>
      <c r="AJ295" s="25" t="str">
        <f aca="false">IF(AT295="","","")</f>
        <v/>
      </c>
      <c r="AK295" s="25" t="str">
        <f aca="false">IF(AT295="","",2)</f>
        <v/>
      </c>
      <c r="AL295" s="25" t="str">
        <f aca="false">IF(AT295="","","")</f>
        <v/>
      </c>
      <c r="AM295" s="25" t="str">
        <f aca="false">IF(AT295="","","")</f>
        <v/>
      </c>
      <c r="AN295" s="25" t="str">
        <f aca="false">IF(AT295="","",INDEX(入力シート!$C$5:$C$204,AT295))</f>
        <v/>
      </c>
      <c r="AO295" s="25" t="str">
        <f aca="false">IF(AT295="","","")</f>
        <v/>
      </c>
      <c r="AP295" s="25" t="str">
        <f aca="false">IF(AT295="","","")</f>
        <v/>
      </c>
      <c r="AQ295" s="25" t="str">
        <f aca="false">IF(AT295="","","")</f>
        <v/>
      </c>
      <c r="AT295" s="27" t="str">
        <f aca="false">IFERROR(MATCH(95,入力シート!$T$5:$T$204,0),"")</f>
        <v/>
      </c>
    </row>
    <row r="296" customFormat="false" ht="15" hidden="false" customHeight="true" outlineLevel="0" collapsed="false">
      <c r="A296" s="25" t="str">
        <f aca="false">IF(AT296="","",1)</f>
        <v/>
      </c>
      <c r="B296" s="25" t="str">
        <f aca="false">IF(AT296="","",1)</f>
        <v/>
      </c>
      <c r="C296" s="25" t="str">
        <f aca="false">IF(AT296="","",0)</f>
        <v/>
      </c>
      <c r="D296" s="25" t="str">
        <f aca="false">IF(AT296="","",TEXT(INDEX(入力シート!$A$5:$A$204,AT296),"YYYYMMDD"))</f>
        <v/>
      </c>
      <c r="E296" s="25" t="str">
        <f aca="false">IF(AT296="","",TEXT(INDEX(入力シート!$Q$5:$Q$204,AT296),"00000000"))</f>
        <v/>
      </c>
      <c r="F296" s="25" t="str">
        <f aca="false">IF(AT296="","",14)</f>
        <v/>
      </c>
      <c r="G296" s="25" t="str">
        <f aca="false">IF(AT296="","",1)</f>
        <v/>
      </c>
      <c r="H296" s="25" t="str">
        <f aca="false">IF(AT296="","",1)</f>
        <v/>
      </c>
      <c r="I296" s="25" t="str">
        <f aca="false">IF(AT296="","",3)</f>
        <v/>
      </c>
      <c r="J296" s="25" t="str">
        <f aca="false">IF(AT296="","",1)</f>
        <v/>
      </c>
      <c r="K296" s="25" t="str">
        <f aca="false">IF(AT296="","",INDEX(入力シート!$B$5:$B$204,AT296))</f>
        <v/>
      </c>
      <c r="L296" s="25" t="str">
        <f aca="false">IF(AT296="","","")</f>
        <v/>
      </c>
      <c r="M296" s="25" t="str">
        <f aca="false">IF(AT296="","","")</f>
        <v/>
      </c>
      <c r="N296" s="25" t="str">
        <f aca="false">IF(AT296="","",COUNTIF(入力シート!$Q$5:$Q$204,INDEX(入力シート!$Q$5:$Q$204,AT296))+1)</f>
        <v/>
      </c>
      <c r="O296" s="25" t="str">
        <f aca="false">IF(AT296="","",99)</f>
        <v/>
      </c>
      <c r="P296" s="25" t="str">
        <f aca="false">IF(AT296="","","")</f>
        <v/>
      </c>
      <c r="Q296" s="25" t="str">
        <f aca="false">IF(AT296="","","")</f>
        <v/>
      </c>
      <c r="R296" s="25" t="str">
        <f aca="false">IF(AT296="","","消費税")</f>
        <v/>
      </c>
      <c r="S296" s="25" t="str">
        <f aca="false">IF(AT296="","",0)</f>
        <v/>
      </c>
      <c r="T296" s="25" t="str">
        <f aca="false">IF(AT296="","","")</f>
        <v/>
      </c>
      <c r="U296" s="25" t="str">
        <f aca="false">IF(AT296="","",0)</f>
        <v/>
      </c>
      <c r="V296" s="25" t="str">
        <f aca="false">IF(AT296="","",0)</f>
        <v/>
      </c>
      <c r="W296" s="25" t="str">
        <f aca="false">IF(AT296="","","")</f>
        <v/>
      </c>
      <c r="X296" s="25" t="str">
        <f aca="false">IF(AT296="","",0)</f>
        <v/>
      </c>
      <c r="Y296" s="25" t="str">
        <f aca="false">IF(AT296="","",0)</f>
        <v/>
      </c>
      <c r="Z296" s="25" t="str">
        <f aca="false">IF(AT296="","",ROUNDDOWN(SUMIF(入力シート!$Q$5:$Q$204,INDEX(入力シート!$Q$5:$Q$204,AT296),入力シート!$P$5:$P$204)*IF(INDEX(入力シート!$L$5:$L$204,AT296)=13,0.1,IF(INDEX(入力シート!$L$5:$L$204,AT296)=30,0.08,0)),0))</f>
        <v/>
      </c>
      <c r="AA296" s="25" t="str">
        <f aca="false">IF(AT296="","","")</f>
        <v/>
      </c>
      <c r="AB296" s="25" t="str">
        <f aca="false">IF(AT296="","",0)</f>
        <v/>
      </c>
      <c r="AC296" s="25" t="str">
        <f aca="false">IF(AT296="","",0)</f>
        <v/>
      </c>
      <c r="AD296" s="25" t="str">
        <f aca="false">IF(AT296="","",0)</f>
        <v/>
      </c>
      <c r="AE296" s="25" t="str">
        <f aca="false">IF(AT296="","","")</f>
        <v/>
      </c>
      <c r="AF296" s="25" t="str">
        <f aca="false">IF(AT296="","",0)</f>
        <v/>
      </c>
      <c r="AG296" s="25" t="str">
        <f aca="false">IF(AT296="","",0)</f>
        <v/>
      </c>
      <c r="AH296" s="25" t="str">
        <f aca="false">IF(AT296="","","")</f>
        <v/>
      </c>
      <c r="AI296" s="25" t="str">
        <f aca="false">IF(AT296="","","")</f>
        <v/>
      </c>
      <c r="AJ296" s="25" t="str">
        <f aca="false">IF(AT296="","","")</f>
        <v/>
      </c>
      <c r="AK296" s="25" t="str">
        <f aca="false">IF(AT296="","",2)</f>
        <v/>
      </c>
      <c r="AL296" s="25" t="str">
        <f aca="false">IF(AT296="","","")</f>
        <v/>
      </c>
      <c r="AM296" s="25" t="str">
        <f aca="false">IF(AT296="","","")</f>
        <v/>
      </c>
      <c r="AN296" s="25" t="str">
        <f aca="false">IF(AT296="","",INDEX(入力シート!$C$5:$C$204,AT296))</f>
        <v/>
      </c>
      <c r="AO296" s="25" t="str">
        <f aca="false">IF(AT296="","","")</f>
        <v/>
      </c>
      <c r="AP296" s="25" t="str">
        <f aca="false">IF(AT296="","","")</f>
        <v/>
      </c>
      <c r="AQ296" s="25" t="str">
        <f aca="false">IF(AT296="","","")</f>
        <v/>
      </c>
      <c r="AT296" s="27" t="str">
        <f aca="false">IFERROR(MATCH(96,入力シート!$T$5:$T$204,0),"")</f>
        <v/>
      </c>
    </row>
    <row r="297" customFormat="false" ht="15" hidden="false" customHeight="true" outlineLevel="0" collapsed="false">
      <c r="A297" s="25" t="str">
        <f aca="false">IF(AT297="","",1)</f>
        <v/>
      </c>
      <c r="B297" s="25" t="str">
        <f aca="false">IF(AT297="","",1)</f>
        <v/>
      </c>
      <c r="C297" s="25" t="str">
        <f aca="false">IF(AT297="","",0)</f>
        <v/>
      </c>
      <c r="D297" s="25" t="str">
        <f aca="false">IF(AT297="","",TEXT(INDEX(入力シート!$A$5:$A$204,AT297),"YYYYMMDD"))</f>
        <v/>
      </c>
      <c r="E297" s="25" t="str">
        <f aca="false">IF(AT297="","",TEXT(INDEX(入力シート!$Q$5:$Q$204,AT297),"00000000"))</f>
        <v/>
      </c>
      <c r="F297" s="25" t="str">
        <f aca="false">IF(AT297="","",14)</f>
        <v/>
      </c>
      <c r="G297" s="25" t="str">
        <f aca="false">IF(AT297="","",1)</f>
        <v/>
      </c>
      <c r="H297" s="25" t="str">
        <f aca="false">IF(AT297="","",1)</f>
        <v/>
      </c>
      <c r="I297" s="25" t="str">
        <f aca="false">IF(AT297="","",3)</f>
        <v/>
      </c>
      <c r="J297" s="25" t="str">
        <f aca="false">IF(AT297="","",1)</f>
        <v/>
      </c>
      <c r="K297" s="25" t="str">
        <f aca="false">IF(AT297="","",INDEX(入力シート!$B$5:$B$204,AT297))</f>
        <v/>
      </c>
      <c r="L297" s="25" t="str">
        <f aca="false">IF(AT297="","","")</f>
        <v/>
      </c>
      <c r="M297" s="25" t="str">
        <f aca="false">IF(AT297="","","")</f>
        <v/>
      </c>
      <c r="N297" s="25" t="str">
        <f aca="false">IF(AT297="","",COUNTIF(入力シート!$Q$5:$Q$204,INDEX(入力シート!$Q$5:$Q$204,AT297))+1)</f>
        <v/>
      </c>
      <c r="O297" s="25" t="str">
        <f aca="false">IF(AT297="","",99)</f>
        <v/>
      </c>
      <c r="P297" s="25" t="str">
        <f aca="false">IF(AT297="","","")</f>
        <v/>
      </c>
      <c r="Q297" s="25" t="str">
        <f aca="false">IF(AT297="","","")</f>
        <v/>
      </c>
      <c r="R297" s="25" t="str">
        <f aca="false">IF(AT297="","","消費税")</f>
        <v/>
      </c>
      <c r="S297" s="25" t="str">
        <f aca="false">IF(AT297="","",0)</f>
        <v/>
      </c>
      <c r="T297" s="25" t="str">
        <f aca="false">IF(AT297="","","")</f>
        <v/>
      </c>
      <c r="U297" s="25" t="str">
        <f aca="false">IF(AT297="","",0)</f>
        <v/>
      </c>
      <c r="V297" s="25" t="str">
        <f aca="false">IF(AT297="","",0)</f>
        <v/>
      </c>
      <c r="W297" s="25" t="str">
        <f aca="false">IF(AT297="","","")</f>
        <v/>
      </c>
      <c r="X297" s="25" t="str">
        <f aca="false">IF(AT297="","",0)</f>
        <v/>
      </c>
      <c r="Y297" s="25" t="str">
        <f aca="false">IF(AT297="","",0)</f>
        <v/>
      </c>
      <c r="Z297" s="25" t="str">
        <f aca="false">IF(AT297="","",ROUNDDOWN(SUMIF(入力シート!$Q$5:$Q$204,INDEX(入力シート!$Q$5:$Q$204,AT297),入力シート!$P$5:$P$204)*IF(INDEX(入力シート!$L$5:$L$204,AT297)=13,0.1,IF(INDEX(入力シート!$L$5:$L$204,AT297)=30,0.08,0)),0))</f>
        <v/>
      </c>
      <c r="AA297" s="25" t="str">
        <f aca="false">IF(AT297="","","")</f>
        <v/>
      </c>
      <c r="AB297" s="25" t="str">
        <f aca="false">IF(AT297="","",0)</f>
        <v/>
      </c>
      <c r="AC297" s="25" t="str">
        <f aca="false">IF(AT297="","",0)</f>
        <v/>
      </c>
      <c r="AD297" s="25" t="str">
        <f aca="false">IF(AT297="","",0)</f>
        <v/>
      </c>
      <c r="AE297" s="25" t="str">
        <f aca="false">IF(AT297="","","")</f>
        <v/>
      </c>
      <c r="AF297" s="25" t="str">
        <f aca="false">IF(AT297="","",0)</f>
        <v/>
      </c>
      <c r="AG297" s="25" t="str">
        <f aca="false">IF(AT297="","",0)</f>
        <v/>
      </c>
      <c r="AH297" s="25" t="str">
        <f aca="false">IF(AT297="","","")</f>
        <v/>
      </c>
      <c r="AI297" s="25" t="str">
        <f aca="false">IF(AT297="","","")</f>
        <v/>
      </c>
      <c r="AJ297" s="25" t="str">
        <f aca="false">IF(AT297="","","")</f>
        <v/>
      </c>
      <c r="AK297" s="25" t="str">
        <f aca="false">IF(AT297="","",2)</f>
        <v/>
      </c>
      <c r="AL297" s="25" t="str">
        <f aca="false">IF(AT297="","","")</f>
        <v/>
      </c>
      <c r="AM297" s="25" t="str">
        <f aca="false">IF(AT297="","","")</f>
        <v/>
      </c>
      <c r="AN297" s="25" t="str">
        <f aca="false">IF(AT297="","",INDEX(入力シート!$C$5:$C$204,AT297))</f>
        <v/>
      </c>
      <c r="AO297" s="25" t="str">
        <f aca="false">IF(AT297="","","")</f>
        <v/>
      </c>
      <c r="AP297" s="25" t="str">
        <f aca="false">IF(AT297="","","")</f>
        <v/>
      </c>
      <c r="AQ297" s="25" t="str">
        <f aca="false">IF(AT297="","","")</f>
        <v/>
      </c>
      <c r="AT297" s="27" t="str">
        <f aca="false">IFERROR(MATCH(97,入力シート!$T$5:$T$204,0),"")</f>
        <v/>
      </c>
    </row>
    <row r="298" customFormat="false" ht="15" hidden="false" customHeight="true" outlineLevel="0" collapsed="false">
      <c r="A298" s="25" t="str">
        <f aca="false">IF(AT298="","",1)</f>
        <v/>
      </c>
      <c r="B298" s="25" t="str">
        <f aca="false">IF(AT298="","",1)</f>
        <v/>
      </c>
      <c r="C298" s="25" t="str">
        <f aca="false">IF(AT298="","",0)</f>
        <v/>
      </c>
      <c r="D298" s="25" t="str">
        <f aca="false">IF(AT298="","",TEXT(INDEX(入力シート!$A$5:$A$204,AT298),"YYYYMMDD"))</f>
        <v/>
      </c>
      <c r="E298" s="25" t="str">
        <f aca="false">IF(AT298="","",TEXT(INDEX(入力シート!$Q$5:$Q$204,AT298),"00000000"))</f>
        <v/>
      </c>
      <c r="F298" s="25" t="str">
        <f aca="false">IF(AT298="","",14)</f>
        <v/>
      </c>
      <c r="G298" s="25" t="str">
        <f aca="false">IF(AT298="","",1)</f>
        <v/>
      </c>
      <c r="H298" s="25" t="str">
        <f aca="false">IF(AT298="","",1)</f>
        <v/>
      </c>
      <c r="I298" s="25" t="str">
        <f aca="false">IF(AT298="","",3)</f>
        <v/>
      </c>
      <c r="J298" s="25" t="str">
        <f aca="false">IF(AT298="","",1)</f>
        <v/>
      </c>
      <c r="K298" s="25" t="str">
        <f aca="false">IF(AT298="","",INDEX(入力シート!$B$5:$B$204,AT298))</f>
        <v/>
      </c>
      <c r="L298" s="25" t="str">
        <f aca="false">IF(AT298="","","")</f>
        <v/>
      </c>
      <c r="M298" s="25" t="str">
        <f aca="false">IF(AT298="","","")</f>
        <v/>
      </c>
      <c r="N298" s="25" t="str">
        <f aca="false">IF(AT298="","",COUNTIF(入力シート!$Q$5:$Q$204,INDEX(入力シート!$Q$5:$Q$204,AT298))+1)</f>
        <v/>
      </c>
      <c r="O298" s="25" t="str">
        <f aca="false">IF(AT298="","",99)</f>
        <v/>
      </c>
      <c r="P298" s="25" t="str">
        <f aca="false">IF(AT298="","","")</f>
        <v/>
      </c>
      <c r="Q298" s="25" t="str">
        <f aca="false">IF(AT298="","","")</f>
        <v/>
      </c>
      <c r="R298" s="25" t="str">
        <f aca="false">IF(AT298="","","消費税")</f>
        <v/>
      </c>
      <c r="S298" s="25" t="str">
        <f aca="false">IF(AT298="","",0)</f>
        <v/>
      </c>
      <c r="T298" s="25" t="str">
        <f aca="false">IF(AT298="","","")</f>
        <v/>
      </c>
      <c r="U298" s="25" t="str">
        <f aca="false">IF(AT298="","",0)</f>
        <v/>
      </c>
      <c r="V298" s="25" t="str">
        <f aca="false">IF(AT298="","",0)</f>
        <v/>
      </c>
      <c r="W298" s="25" t="str">
        <f aca="false">IF(AT298="","","")</f>
        <v/>
      </c>
      <c r="X298" s="25" t="str">
        <f aca="false">IF(AT298="","",0)</f>
        <v/>
      </c>
      <c r="Y298" s="25" t="str">
        <f aca="false">IF(AT298="","",0)</f>
        <v/>
      </c>
      <c r="Z298" s="25" t="str">
        <f aca="false">IF(AT298="","",ROUNDDOWN(SUMIF(入力シート!$Q$5:$Q$204,INDEX(入力シート!$Q$5:$Q$204,AT298),入力シート!$P$5:$P$204)*IF(INDEX(入力シート!$L$5:$L$204,AT298)=13,0.1,IF(INDEX(入力シート!$L$5:$L$204,AT298)=30,0.08,0)),0))</f>
        <v/>
      </c>
      <c r="AA298" s="25" t="str">
        <f aca="false">IF(AT298="","","")</f>
        <v/>
      </c>
      <c r="AB298" s="25" t="str">
        <f aca="false">IF(AT298="","",0)</f>
        <v/>
      </c>
      <c r="AC298" s="25" t="str">
        <f aca="false">IF(AT298="","",0)</f>
        <v/>
      </c>
      <c r="AD298" s="25" t="str">
        <f aca="false">IF(AT298="","",0)</f>
        <v/>
      </c>
      <c r="AE298" s="25" t="str">
        <f aca="false">IF(AT298="","","")</f>
        <v/>
      </c>
      <c r="AF298" s="25" t="str">
        <f aca="false">IF(AT298="","",0)</f>
        <v/>
      </c>
      <c r="AG298" s="25" t="str">
        <f aca="false">IF(AT298="","",0)</f>
        <v/>
      </c>
      <c r="AH298" s="25" t="str">
        <f aca="false">IF(AT298="","","")</f>
        <v/>
      </c>
      <c r="AI298" s="25" t="str">
        <f aca="false">IF(AT298="","","")</f>
        <v/>
      </c>
      <c r="AJ298" s="25" t="str">
        <f aca="false">IF(AT298="","","")</f>
        <v/>
      </c>
      <c r="AK298" s="25" t="str">
        <f aca="false">IF(AT298="","",2)</f>
        <v/>
      </c>
      <c r="AL298" s="25" t="str">
        <f aca="false">IF(AT298="","","")</f>
        <v/>
      </c>
      <c r="AM298" s="25" t="str">
        <f aca="false">IF(AT298="","","")</f>
        <v/>
      </c>
      <c r="AN298" s="25" t="str">
        <f aca="false">IF(AT298="","",INDEX(入力シート!$C$5:$C$204,AT298))</f>
        <v/>
      </c>
      <c r="AO298" s="25" t="str">
        <f aca="false">IF(AT298="","","")</f>
        <v/>
      </c>
      <c r="AP298" s="25" t="str">
        <f aca="false">IF(AT298="","","")</f>
        <v/>
      </c>
      <c r="AQ298" s="25" t="str">
        <f aca="false">IF(AT298="","","")</f>
        <v/>
      </c>
      <c r="AT298" s="27" t="str">
        <f aca="false">IFERROR(MATCH(98,入力シート!$T$5:$T$204,0),"")</f>
        <v/>
      </c>
    </row>
    <row r="299" customFormat="false" ht="15" hidden="false" customHeight="true" outlineLevel="0" collapsed="false">
      <c r="A299" s="25" t="str">
        <f aca="false">IF(AT299="","",1)</f>
        <v/>
      </c>
      <c r="B299" s="25" t="str">
        <f aca="false">IF(AT299="","",1)</f>
        <v/>
      </c>
      <c r="C299" s="25" t="str">
        <f aca="false">IF(AT299="","",0)</f>
        <v/>
      </c>
      <c r="D299" s="25" t="str">
        <f aca="false">IF(AT299="","",TEXT(INDEX(入力シート!$A$5:$A$204,AT299),"YYYYMMDD"))</f>
        <v/>
      </c>
      <c r="E299" s="25" t="str">
        <f aca="false">IF(AT299="","",TEXT(INDEX(入力シート!$Q$5:$Q$204,AT299),"00000000"))</f>
        <v/>
      </c>
      <c r="F299" s="25" t="str">
        <f aca="false">IF(AT299="","",14)</f>
        <v/>
      </c>
      <c r="G299" s="25" t="str">
        <f aca="false">IF(AT299="","",1)</f>
        <v/>
      </c>
      <c r="H299" s="25" t="str">
        <f aca="false">IF(AT299="","",1)</f>
        <v/>
      </c>
      <c r="I299" s="25" t="str">
        <f aca="false">IF(AT299="","",3)</f>
        <v/>
      </c>
      <c r="J299" s="25" t="str">
        <f aca="false">IF(AT299="","",1)</f>
        <v/>
      </c>
      <c r="K299" s="25" t="str">
        <f aca="false">IF(AT299="","",INDEX(入力シート!$B$5:$B$204,AT299))</f>
        <v/>
      </c>
      <c r="L299" s="25" t="str">
        <f aca="false">IF(AT299="","","")</f>
        <v/>
      </c>
      <c r="M299" s="25" t="str">
        <f aca="false">IF(AT299="","","")</f>
        <v/>
      </c>
      <c r="N299" s="25" t="str">
        <f aca="false">IF(AT299="","",COUNTIF(入力シート!$Q$5:$Q$204,INDEX(入力シート!$Q$5:$Q$204,AT299))+1)</f>
        <v/>
      </c>
      <c r="O299" s="25" t="str">
        <f aca="false">IF(AT299="","",99)</f>
        <v/>
      </c>
      <c r="P299" s="25" t="str">
        <f aca="false">IF(AT299="","","")</f>
        <v/>
      </c>
      <c r="Q299" s="25" t="str">
        <f aca="false">IF(AT299="","","")</f>
        <v/>
      </c>
      <c r="R299" s="25" t="str">
        <f aca="false">IF(AT299="","","消費税")</f>
        <v/>
      </c>
      <c r="S299" s="25" t="str">
        <f aca="false">IF(AT299="","",0)</f>
        <v/>
      </c>
      <c r="T299" s="25" t="str">
        <f aca="false">IF(AT299="","","")</f>
        <v/>
      </c>
      <c r="U299" s="25" t="str">
        <f aca="false">IF(AT299="","",0)</f>
        <v/>
      </c>
      <c r="V299" s="25" t="str">
        <f aca="false">IF(AT299="","",0)</f>
        <v/>
      </c>
      <c r="W299" s="25" t="str">
        <f aca="false">IF(AT299="","","")</f>
        <v/>
      </c>
      <c r="X299" s="25" t="str">
        <f aca="false">IF(AT299="","",0)</f>
        <v/>
      </c>
      <c r="Y299" s="25" t="str">
        <f aca="false">IF(AT299="","",0)</f>
        <v/>
      </c>
      <c r="Z299" s="25" t="str">
        <f aca="false">IF(AT299="","",ROUNDDOWN(SUMIF(入力シート!$Q$5:$Q$204,INDEX(入力シート!$Q$5:$Q$204,AT299),入力シート!$P$5:$P$204)*IF(INDEX(入力シート!$L$5:$L$204,AT299)=13,0.1,IF(INDEX(入力シート!$L$5:$L$204,AT299)=30,0.08,0)),0))</f>
        <v/>
      </c>
      <c r="AA299" s="25" t="str">
        <f aca="false">IF(AT299="","","")</f>
        <v/>
      </c>
      <c r="AB299" s="25" t="str">
        <f aca="false">IF(AT299="","",0)</f>
        <v/>
      </c>
      <c r="AC299" s="25" t="str">
        <f aca="false">IF(AT299="","",0)</f>
        <v/>
      </c>
      <c r="AD299" s="25" t="str">
        <f aca="false">IF(AT299="","",0)</f>
        <v/>
      </c>
      <c r="AE299" s="25" t="str">
        <f aca="false">IF(AT299="","","")</f>
        <v/>
      </c>
      <c r="AF299" s="25" t="str">
        <f aca="false">IF(AT299="","",0)</f>
        <v/>
      </c>
      <c r="AG299" s="25" t="str">
        <f aca="false">IF(AT299="","",0)</f>
        <v/>
      </c>
      <c r="AH299" s="25" t="str">
        <f aca="false">IF(AT299="","","")</f>
        <v/>
      </c>
      <c r="AI299" s="25" t="str">
        <f aca="false">IF(AT299="","","")</f>
        <v/>
      </c>
      <c r="AJ299" s="25" t="str">
        <f aca="false">IF(AT299="","","")</f>
        <v/>
      </c>
      <c r="AK299" s="25" t="str">
        <f aca="false">IF(AT299="","",2)</f>
        <v/>
      </c>
      <c r="AL299" s="25" t="str">
        <f aca="false">IF(AT299="","","")</f>
        <v/>
      </c>
      <c r="AM299" s="25" t="str">
        <f aca="false">IF(AT299="","","")</f>
        <v/>
      </c>
      <c r="AN299" s="25" t="str">
        <f aca="false">IF(AT299="","",INDEX(入力シート!$C$5:$C$204,AT299))</f>
        <v/>
      </c>
      <c r="AO299" s="25" t="str">
        <f aca="false">IF(AT299="","","")</f>
        <v/>
      </c>
      <c r="AP299" s="25" t="str">
        <f aca="false">IF(AT299="","","")</f>
        <v/>
      </c>
      <c r="AQ299" s="25" t="str">
        <f aca="false">IF(AT299="","","")</f>
        <v/>
      </c>
      <c r="AT299" s="27" t="str">
        <f aca="false">IFERROR(MATCH(99,入力シート!$T$5:$T$204,0),"")</f>
        <v/>
      </c>
    </row>
    <row r="300" customFormat="false" ht="15" hidden="false" customHeight="true" outlineLevel="0" collapsed="false">
      <c r="A300" s="25" t="str">
        <f aca="false">IF(AT300="","",1)</f>
        <v/>
      </c>
      <c r="B300" s="25" t="str">
        <f aca="false">IF(AT300="","",1)</f>
        <v/>
      </c>
      <c r="C300" s="25" t="str">
        <f aca="false">IF(AT300="","",0)</f>
        <v/>
      </c>
      <c r="D300" s="25" t="str">
        <f aca="false">IF(AT300="","",TEXT(INDEX(入力シート!$A$5:$A$204,AT300),"YYYYMMDD"))</f>
        <v/>
      </c>
      <c r="E300" s="25" t="str">
        <f aca="false">IF(AT300="","",TEXT(INDEX(入力シート!$Q$5:$Q$204,AT300),"00000000"))</f>
        <v/>
      </c>
      <c r="F300" s="25" t="str">
        <f aca="false">IF(AT300="","",14)</f>
        <v/>
      </c>
      <c r="G300" s="25" t="str">
        <f aca="false">IF(AT300="","",1)</f>
        <v/>
      </c>
      <c r="H300" s="25" t="str">
        <f aca="false">IF(AT300="","",1)</f>
        <v/>
      </c>
      <c r="I300" s="25" t="str">
        <f aca="false">IF(AT300="","",3)</f>
        <v/>
      </c>
      <c r="J300" s="25" t="str">
        <f aca="false">IF(AT300="","",1)</f>
        <v/>
      </c>
      <c r="K300" s="25" t="str">
        <f aca="false">IF(AT300="","",INDEX(入力シート!$B$5:$B$204,AT300))</f>
        <v/>
      </c>
      <c r="L300" s="25" t="str">
        <f aca="false">IF(AT300="","","")</f>
        <v/>
      </c>
      <c r="M300" s="25" t="str">
        <f aca="false">IF(AT300="","","")</f>
        <v/>
      </c>
      <c r="N300" s="25" t="str">
        <f aca="false">IF(AT300="","",COUNTIF(入力シート!$Q$5:$Q$204,INDEX(入力シート!$Q$5:$Q$204,AT300))+1)</f>
        <v/>
      </c>
      <c r="O300" s="25" t="str">
        <f aca="false">IF(AT300="","",99)</f>
        <v/>
      </c>
      <c r="P300" s="25" t="str">
        <f aca="false">IF(AT300="","","")</f>
        <v/>
      </c>
      <c r="Q300" s="25" t="str">
        <f aca="false">IF(AT300="","","")</f>
        <v/>
      </c>
      <c r="R300" s="25" t="str">
        <f aca="false">IF(AT300="","","消費税")</f>
        <v/>
      </c>
      <c r="S300" s="25" t="str">
        <f aca="false">IF(AT300="","",0)</f>
        <v/>
      </c>
      <c r="T300" s="25" t="str">
        <f aca="false">IF(AT300="","","")</f>
        <v/>
      </c>
      <c r="U300" s="25" t="str">
        <f aca="false">IF(AT300="","",0)</f>
        <v/>
      </c>
      <c r="V300" s="25" t="str">
        <f aca="false">IF(AT300="","",0)</f>
        <v/>
      </c>
      <c r="W300" s="25" t="str">
        <f aca="false">IF(AT300="","","")</f>
        <v/>
      </c>
      <c r="X300" s="25" t="str">
        <f aca="false">IF(AT300="","",0)</f>
        <v/>
      </c>
      <c r="Y300" s="25" t="str">
        <f aca="false">IF(AT300="","",0)</f>
        <v/>
      </c>
      <c r="Z300" s="25" t="str">
        <f aca="false">IF(AT300="","",ROUNDDOWN(SUMIF(入力シート!$Q$5:$Q$204,INDEX(入力シート!$Q$5:$Q$204,AT300),入力シート!$P$5:$P$204)*IF(INDEX(入力シート!$L$5:$L$204,AT300)=13,0.1,IF(INDEX(入力シート!$L$5:$L$204,AT300)=30,0.08,0)),0))</f>
        <v/>
      </c>
      <c r="AA300" s="25" t="str">
        <f aca="false">IF(AT300="","","")</f>
        <v/>
      </c>
      <c r="AB300" s="25" t="str">
        <f aca="false">IF(AT300="","",0)</f>
        <v/>
      </c>
      <c r="AC300" s="25" t="str">
        <f aca="false">IF(AT300="","",0)</f>
        <v/>
      </c>
      <c r="AD300" s="25" t="str">
        <f aca="false">IF(AT300="","",0)</f>
        <v/>
      </c>
      <c r="AE300" s="25" t="str">
        <f aca="false">IF(AT300="","","")</f>
        <v/>
      </c>
      <c r="AF300" s="25" t="str">
        <f aca="false">IF(AT300="","",0)</f>
        <v/>
      </c>
      <c r="AG300" s="25" t="str">
        <f aca="false">IF(AT300="","",0)</f>
        <v/>
      </c>
      <c r="AH300" s="25" t="str">
        <f aca="false">IF(AT300="","","")</f>
        <v/>
      </c>
      <c r="AI300" s="25" t="str">
        <f aca="false">IF(AT300="","","")</f>
        <v/>
      </c>
      <c r="AJ300" s="25" t="str">
        <f aca="false">IF(AT300="","","")</f>
        <v/>
      </c>
      <c r="AK300" s="25" t="str">
        <f aca="false">IF(AT300="","",2)</f>
        <v/>
      </c>
      <c r="AL300" s="25" t="str">
        <f aca="false">IF(AT300="","","")</f>
        <v/>
      </c>
      <c r="AM300" s="25" t="str">
        <f aca="false">IF(AT300="","","")</f>
        <v/>
      </c>
      <c r="AN300" s="25" t="str">
        <f aca="false">IF(AT300="","",INDEX(入力シート!$C$5:$C$204,AT300))</f>
        <v/>
      </c>
      <c r="AO300" s="25" t="str">
        <f aca="false">IF(AT300="","","")</f>
        <v/>
      </c>
      <c r="AP300" s="25" t="str">
        <f aca="false">IF(AT300="","","")</f>
        <v/>
      </c>
      <c r="AQ300" s="25" t="str">
        <f aca="false">IF(AT300="","","")</f>
        <v/>
      </c>
      <c r="AT300" s="27" t="str">
        <f aca="false">IFERROR(MATCH(100,入力シート!$T$5:$T$204,0),"")</f>
        <v/>
      </c>
    </row>
    <row r="301" customFormat="false" ht="15" hidden="false" customHeight="true" outlineLevel="0" collapsed="false">
      <c r="A301" s="25" t="str">
        <f aca="false">IF(AT301="","",1)</f>
        <v/>
      </c>
      <c r="B301" s="25" t="str">
        <f aca="false">IF(AT301="","",1)</f>
        <v/>
      </c>
      <c r="C301" s="25" t="str">
        <f aca="false">IF(AT301="","",0)</f>
        <v/>
      </c>
      <c r="D301" s="25" t="str">
        <f aca="false">IF(AT301="","",TEXT(INDEX(入力シート!$A$5:$A$204,AT301),"YYYYMMDD"))</f>
        <v/>
      </c>
      <c r="E301" s="25" t="str">
        <f aca="false">IF(AT301="","",TEXT(INDEX(入力シート!$Q$5:$Q$204,AT301),"00000000"))</f>
        <v/>
      </c>
      <c r="F301" s="25" t="str">
        <f aca="false">IF(AT301="","",14)</f>
        <v/>
      </c>
      <c r="G301" s="25" t="str">
        <f aca="false">IF(AT301="","",1)</f>
        <v/>
      </c>
      <c r="H301" s="25" t="str">
        <f aca="false">IF(AT301="","",1)</f>
        <v/>
      </c>
      <c r="I301" s="25" t="str">
        <f aca="false">IF(AT301="","",3)</f>
        <v/>
      </c>
      <c r="J301" s="25" t="str">
        <f aca="false">IF(AT301="","",1)</f>
        <v/>
      </c>
      <c r="K301" s="25" t="str">
        <f aca="false">IF(AT301="","",INDEX(入力シート!$B$5:$B$204,AT301))</f>
        <v/>
      </c>
      <c r="L301" s="25" t="str">
        <f aca="false">IF(AT301="","","")</f>
        <v/>
      </c>
      <c r="M301" s="25" t="str">
        <f aca="false">IF(AT301="","","")</f>
        <v/>
      </c>
      <c r="N301" s="25" t="str">
        <f aca="false">IF(AT301="","",COUNTIF(入力シート!$Q$5:$Q$204,INDEX(入力シート!$Q$5:$Q$204,AT301))+1)</f>
        <v/>
      </c>
      <c r="O301" s="25" t="str">
        <f aca="false">IF(AT301="","",99)</f>
        <v/>
      </c>
      <c r="P301" s="25" t="str">
        <f aca="false">IF(AT301="","","")</f>
        <v/>
      </c>
      <c r="Q301" s="25" t="str">
        <f aca="false">IF(AT301="","","")</f>
        <v/>
      </c>
      <c r="R301" s="25" t="str">
        <f aca="false">IF(AT301="","","消費税")</f>
        <v/>
      </c>
      <c r="S301" s="25" t="str">
        <f aca="false">IF(AT301="","",0)</f>
        <v/>
      </c>
      <c r="T301" s="25" t="str">
        <f aca="false">IF(AT301="","","")</f>
        <v/>
      </c>
      <c r="U301" s="25" t="str">
        <f aca="false">IF(AT301="","",0)</f>
        <v/>
      </c>
      <c r="V301" s="25" t="str">
        <f aca="false">IF(AT301="","",0)</f>
        <v/>
      </c>
      <c r="W301" s="25" t="str">
        <f aca="false">IF(AT301="","","")</f>
        <v/>
      </c>
      <c r="X301" s="25" t="str">
        <f aca="false">IF(AT301="","",0)</f>
        <v/>
      </c>
      <c r="Y301" s="25" t="str">
        <f aca="false">IF(AT301="","",0)</f>
        <v/>
      </c>
      <c r="Z301" s="25" t="str">
        <f aca="false">IF(AT301="","",ROUNDDOWN(SUMIF(入力シート!$Q$5:$Q$204,INDEX(入力シート!$Q$5:$Q$204,AT301),入力シート!$P$5:$P$204)*IF(INDEX(入力シート!$L$5:$L$204,AT301)=13,0.1,IF(INDEX(入力シート!$L$5:$L$204,AT301)=30,0.08,0)),0))</f>
        <v/>
      </c>
      <c r="AA301" s="25" t="str">
        <f aca="false">IF(AT301="","","")</f>
        <v/>
      </c>
      <c r="AB301" s="25" t="str">
        <f aca="false">IF(AT301="","",0)</f>
        <v/>
      </c>
      <c r="AC301" s="25" t="str">
        <f aca="false">IF(AT301="","",0)</f>
        <v/>
      </c>
      <c r="AD301" s="25" t="str">
        <f aca="false">IF(AT301="","",0)</f>
        <v/>
      </c>
      <c r="AE301" s="25" t="str">
        <f aca="false">IF(AT301="","","")</f>
        <v/>
      </c>
      <c r="AF301" s="25" t="str">
        <f aca="false">IF(AT301="","",0)</f>
        <v/>
      </c>
      <c r="AG301" s="25" t="str">
        <f aca="false">IF(AT301="","",0)</f>
        <v/>
      </c>
      <c r="AH301" s="25" t="str">
        <f aca="false">IF(AT301="","","")</f>
        <v/>
      </c>
      <c r="AI301" s="25" t="str">
        <f aca="false">IF(AT301="","","")</f>
        <v/>
      </c>
      <c r="AJ301" s="25" t="str">
        <f aca="false">IF(AT301="","","")</f>
        <v/>
      </c>
      <c r="AK301" s="25" t="str">
        <f aca="false">IF(AT301="","",2)</f>
        <v/>
      </c>
      <c r="AL301" s="25" t="str">
        <f aca="false">IF(AT301="","","")</f>
        <v/>
      </c>
      <c r="AM301" s="25" t="str">
        <f aca="false">IF(AT301="","","")</f>
        <v/>
      </c>
      <c r="AN301" s="25" t="str">
        <f aca="false">IF(AT301="","",INDEX(入力シート!$C$5:$C$204,AT301))</f>
        <v/>
      </c>
      <c r="AO301" s="25" t="str">
        <f aca="false">IF(AT301="","","")</f>
        <v/>
      </c>
      <c r="AP301" s="25" t="str">
        <f aca="false">IF(AT301="","","")</f>
        <v/>
      </c>
      <c r="AQ301" s="25" t="str">
        <f aca="false">IF(AT301="","","")</f>
        <v/>
      </c>
      <c r="AT301" s="27" t="str">
        <f aca="false">IFERROR(MATCH(101,入力シート!$T$5:$T$204,0),"")</f>
        <v/>
      </c>
    </row>
    <row r="302" customFormat="false" ht="15" hidden="false" customHeight="true" outlineLevel="0" collapsed="false">
      <c r="A302" s="25" t="str">
        <f aca="false">IF(AT302="","",1)</f>
        <v/>
      </c>
      <c r="B302" s="25" t="str">
        <f aca="false">IF(AT302="","",1)</f>
        <v/>
      </c>
      <c r="C302" s="25" t="str">
        <f aca="false">IF(AT302="","",0)</f>
        <v/>
      </c>
      <c r="D302" s="25" t="str">
        <f aca="false">IF(AT302="","",TEXT(INDEX(入力シート!$A$5:$A$204,AT302),"YYYYMMDD"))</f>
        <v/>
      </c>
      <c r="E302" s="25" t="str">
        <f aca="false">IF(AT302="","",TEXT(INDEX(入力シート!$Q$5:$Q$204,AT302),"00000000"))</f>
        <v/>
      </c>
      <c r="F302" s="25" t="str">
        <f aca="false">IF(AT302="","",14)</f>
        <v/>
      </c>
      <c r="G302" s="25" t="str">
        <f aca="false">IF(AT302="","",1)</f>
        <v/>
      </c>
      <c r="H302" s="25" t="str">
        <f aca="false">IF(AT302="","",1)</f>
        <v/>
      </c>
      <c r="I302" s="25" t="str">
        <f aca="false">IF(AT302="","",3)</f>
        <v/>
      </c>
      <c r="J302" s="25" t="str">
        <f aca="false">IF(AT302="","",1)</f>
        <v/>
      </c>
      <c r="K302" s="25" t="str">
        <f aca="false">IF(AT302="","",INDEX(入力シート!$B$5:$B$204,AT302))</f>
        <v/>
      </c>
      <c r="L302" s="25" t="str">
        <f aca="false">IF(AT302="","","")</f>
        <v/>
      </c>
      <c r="M302" s="25" t="str">
        <f aca="false">IF(AT302="","","")</f>
        <v/>
      </c>
      <c r="N302" s="25" t="str">
        <f aca="false">IF(AT302="","",COUNTIF(入力シート!$Q$5:$Q$204,INDEX(入力シート!$Q$5:$Q$204,AT302))+1)</f>
        <v/>
      </c>
      <c r="O302" s="25" t="str">
        <f aca="false">IF(AT302="","",99)</f>
        <v/>
      </c>
      <c r="P302" s="25" t="str">
        <f aca="false">IF(AT302="","","")</f>
        <v/>
      </c>
      <c r="Q302" s="25" t="str">
        <f aca="false">IF(AT302="","","")</f>
        <v/>
      </c>
      <c r="R302" s="25" t="str">
        <f aca="false">IF(AT302="","","消費税")</f>
        <v/>
      </c>
      <c r="S302" s="25" t="str">
        <f aca="false">IF(AT302="","",0)</f>
        <v/>
      </c>
      <c r="T302" s="25" t="str">
        <f aca="false">IF(AT302="","","")</f>
        <v/>
      </c>
      <c r="U302" s="25" t="str">
        <f aca="false">IF(AT302="","",0)</f>
        <v/>
      </c>
      <c r="V302" s="25" t="str">
        <f aca="false">IF(AT302="","",0)</f>
        <v/>
      </c>
      <c r="W302" s="25" t="str">
        <f aca="false">IF(AT302="","","")</f>
        <v/>
      </c>
      <c r="X302" s="25" t="str">
        <f aca="false">IF(AT302="","",0)</f>
        <v/>
      </c>
      <c r="Y302" s="25" t="str">
        <f aca="false">IF(AT302="","",0)</f>
        <v/>
      </c>
      <c r="Z302" s="25" t="str">
        <f aca="false">IF(AT302="","",ROUNDDOWN(SUMIF(入力シート!$Q$5:$Q$204,INDEX(入力シート!$Q$5:$Q$204,AT302),入力シート!$P$5:$P$204)*IF(INDEX(入力シート!$L$5:$L$204,AT302)=13,0.1,IF(INDEX(入力シート!$L$5:$L$204,AT302)=30,0.08,0)),0))</f>
        <v/>
      </c>
      <c r="AA302" s="25" t="str">
        <f aca="false">IF(AT302="","","")</f>
        <v/>
      </c>
      <c r="AB302" s="25" t="str">
        <f aca="false">IF(AT302="","",0)</f>
        <v/>
      </c>
      <c r="AC302" s="25" t="str">
        <f aca="false">IF(AT302="","",0)</f>
        <v/>
      </c>
      <c r="AD302" s="25" t="str">
        <f aca="false">IF(AT302="","",0)</f>
        <v/>
      </c>
      <c r="AE302" s="25" t="str">
        <f aca="false">IF(AT302="","","")</f>
        <v/>
      </c>
      <c r="AF302" s="25" t="str">
        <f aca="false">IF(AT302="","",0)</f>
        <v/>
      </c>
      <c r="AG302" s="25" t="str">
        <f aca="false">IF(AT302="","",0)</f>
        <v/>
      </c>
      <c r="AH302" s="25" t="str">
        <f aca="false">IF(AT302="","","")</f>
        <v/>
      </c>
      <c r="AI302" s="25" t="str">
        <f aca="false">IF(AT302="","","")</f>
        <v/>
      </c>
      <c r="AJ302" s="25" t="str">
        <f aca="false">IF(AT302="","","")</f>
        <v/>
      </c>
      <c r="AK302" s="25" t="str">
        <f aca="false">IF(AT302="","",2)</f>
        <v/>
      </c>
      <c r="AL302" s="25" t="str">
        <f aca="false">IF(AT302="","","")</f>
        <v/>
      </c>
      <c r="AM302" s="25" t="str">
        <f aca="false">IF(AT302="","","")</f>
        <v/>
      </c>
      <c r="AN302" s="25" t="str">
        <f aca="false">IF(AT302="","",INDEX(入力シート!$C$5:$C$204,AT302))</f>
        <v/>
      </c>
      <c r="AO302" s="25" t="str">
        <f aca="false">IF(AT302="","","")</f>
        <v/>
      </c>
      <c r="AP302" s="25" t="str">
        <f aca="false">IF(AT302="","","")</f>
        <v/>
      </c>
      <c r="AQ302" s="25" t="str">
        <f aca="false">IF(AT302="","","")</f>
        <v/>
      </c>
      <c r="AT302" s="27" t="str">
        <f aca="false">IFERROR(MATCH(102,入力シート!$T$5:$T$204,0),"")</f>
        <v/>
      </c>
    </row>
    <row r="303" customFormat="false" ht="15" hidden="false" customHeight="true" outlineLevel="0" collapsed="false">
      <c r="A303" s="25" t="str">
        <f aca="false">IF(AT303="","",1)</f>
        <v/>
      </c>
      <c r="B303" s="25" t="str">
        <f aca="false">IF(AT303="","",1)</f>
        <v/>
      </c>
      <c r="C303" s="25" t="str">
        <f aca="false">IF(AT303="","",0)</f>
        <v/>
      </c>
      <c r="D303" s="25" t="str">
        <f aca="false">IF(AT303="","",TEXT(INDEX(入力シート!$A$5:$A$204,AT303),"YYYYMMDD"))</f>
        <v/>
      </c>
      <c r="E303" s="25" t="str">
        <f aca="false">IF(AT303="","",TEXT(INDEX(入力シート!$Q$5:$Q$204,AT303),"00000000"))</f>
        <v/>
      </c>
      <c r="F303" s="25" t="str">
        <f aca="false">IF(AT303="","",14)</f>
        <v/>
      </c>
      <c r="G303" s="25" t="str">
        <f aca="false">IF(AT303="","",1)</f>
        <v/>
      </c>
      <c r="H303" s="25" t="str">
        <f aca="false">IF(AT303="","",1)</f>
        <v/>
      </c>
      <c r="I303" s="25" t="str">
        <f aca="false">IF(AT303="","",3)</f>
        <v/>
      </c>
      <c r="J303" s="25" t="str">
        <f aca="false">IF(AT303="","",1)</f>
        <v/>
      </c>
      <c r="K303" s="25" t="str">
        <f aca="false">IF(AT303="","",INDEX(入力シート!$B$5:$B$204,AT303))</f>
        <v/>
      </c>
      <c r="L303" s="25" t="str">
        <f aca="false">IF(AT303="","","")</f>
        <v/>
      </c>
      <c r="M303" s="25" t="str">
        <f aca="false">IF(AT303="","","")</f>
        <v/>
      </c>
      <c r="N303" s="25" t="str">
        <f aca="false">IF(AT303="","",COUNTIF(入力シート!$Q$5:$Q$204,INDEX(入力シート!$Q$5:$Q$204,AT303))+1)</f>
        <v/>
      </c>
      <c r="O303" s="25" t="str">
        <f aca="false">IF(AT303="","",99)</f>
        <v/>
      </c>
      <c r="P303" s="25" t="str">
        <f aca="false">IF(AT303="","","")</f>
        <v/>
      </c>
      <c r="Q303" s="25" t="str">
        <f aca="false">IF(AT303="","","")</f>
        <v/>
      </c>
      <c r="R303" s="25" t="str">
        <f aca="false">IF(AT303="","","消費税")</f>
        <v/>
      </c>
      <c r="S303" s="25" t="str">
        <f aca="false">IF(AT303="","",0)</f>
        <v/>
      </c>
      <c r="T303" s="25" t="str">
        <f aca="false">IF(AT303="","","")</f>
        <v/>
      </c>
      <c r="U303" s="25" t="str">
        <f aca="false">IF(AT303="","",0)</f>
        <v/>
      </c>
      <c r="V303" s="25" t="str">
        <f aca="false">IF(AT303="","",0)</f>
        <v/>
      </c>
      <c r="W303" s="25" t="str">
        <f aca="false">IF(AT303="","","")</f>
        <v/>
      </c>
      <c r="X303" s="25" t="str">
        <f aca="false">IF(AT303="","",0)</f>
        <v/>
      </c>
      <c r="Y303" s="25" t="str">
        <f aca="false">IF(AT303="","",0)</f>
        <v/>
      </c>
      <c r="Z303" s="25" t="str">
        <f aca="false">IF(AT303="","",ROUNDDOWN(SUMIF(入力シート!$Q$5:$Q$204,INDEX(入力シート!$Q$5:$Q$204,AT303),入力シート!$P$5:$P$204)*IF(INDEX(入力シート!$L$5:$L$204,AT303)=13,0.1,IF(INDEX(入力シート!$L$5:$L$204,AT303)=30,0.08,0)),0))</f>
        <v/>
      </c>
      <c r="AA303" s="25" t="str">
        <f aca="false">IF(AT303="","","")</f>
        <v/>
      </c>
      <c r="AB303" s="25" t="str">
        <f aca="false">IF(AT303="","",0)</f>
        <v/>
      </c>
      <c r="AC303" s="25" t="str">
        <f aca="false">IF(AT303="","",0)</f>
        <v/>
      </c>
      <c r="AD303" s="25" t="str">
        <f aca="false">IF(AT303="","",0)</f>
        <v/>
      </c>
      <c r="AE303" s="25" t="str">
        <f aca="false">IF(AT303="","","")</f>
        <v/>
      </c>
      <c r="AF303" s="25" t="str">
        <f aca="false">IF(AT303="","",0)</f>
        <v/>
      </c>
      <c r="AG303" s="25" t="str">
        <f aca="false">IF(AT303="","",0)</f>
        <v/>
      </c>
      <c r="AH303" s="25" t="str">
        <f aca="false">IF(AT303="","","")</f>
        <v/>
      </c>
      <c r="AI303" s="25" t="str">
        <f aca="false">IF(AT303="","","")</f>
        <v/>
      </c>
      <c r="AJ303" s="25" t="str">
        <f aca="false">IF(AT303="","","")</f>
        <v/>
      </c>
      <c r="AK303" s="25" t="str">
        <f aca="false">IF(AT303="","",2)</f>
        <v/>
      </c>
      <c r="AL303" s="25" t="str">
        <f aca="false">IF(AT303="","","")</f>
        <v/>
      </c>
      <c r="AM303" s="25" t="str">
        <f aca="false">IF(AT303="","","")</f>
        <v/>
      </c>
      <c r="AN303" s="25" t="str">
        <f aca="false">IF(AT303="","",INDEX(入力シート!$C$5:$C$204,AT303))</f>
        <v/>
      </c>
      <c r="AO303" s="25" t="str">
        <f aca="false">IF(AT303="","","")</f>
        <v/>
      </c>
      <c r="AP303" s="25" t="str">
        <f aca="false">IF(AT303="","","")</f>
        <v/>
      </c>
      <c r="AQ303" s="25" t="str">
        <f aca="false">IF(AT303="","","")</f>
        <v/>
      </c>
      <c r="AT303" s="27" t="str">
        <f aca="false">IFERROR(MATCH(103,入力シート!$T$5:$T$204,0),"")</f>
        <v/>
      </c>
    </row>
    <row r="304" customFormat="false" ht="15" hidden="false" customHeight="true" outlineLevel="0" collapsed="false">
      <c r="A304" s="25" t="str">
        <f aca="false">IF(AT304="","",1)</f>
        <v/>
      </c>
      <c r="B304" s="25" t="str">
        <f aca="false">IF(AT304="","",1)</f>
        <v/>
      </c>
      <c r="C304" s="25" t="str">
        <f aca="false">IF(AT304="","",0)</f>
        <v/>
      </c>
      <c r="D304" s="25" t="str">
        <f aca="false">IF(AT304="","",TEXT(INDEX(入力シート!$A$5:$A$204,AT304),"YYYYMMDD"))</f>
        <v/>
      </c>
      <c r="E304" s="25" t="str">
        <f aca="false">IF(AT304="","",TEXT(INDEX(入力シート!$Q$5:$Q$204,AT304),"00000000"))</f>
        <v/>
      </c>
      <c r="F304" s="25" t="str">
        <f aca="false">IF(AT304="","",14)</f>
        <v/>
      </c>
      <c r="G304" s="25" t="str">
        <f aca="false">IF(AT304="","",1)</f>
        <v/>
      </c>
      <c r="H304" s="25" t="str">
        <f aca="false">IF(AT304="","",1)</f>
        <v/>
      </c>
      <c r="I304" s="25" t="str">
        <f aca="false">IF(AT304="","",3)</f>
        <v/>
      </c>
      <c r="J304" s="25" t="str">
        <f aca="false">IF(AT304="","",1)</f>
        <v/>
      </c>
      <c r="K304" s="25" t="str">
        <f aca="false">IF(AT304="","",INDEX(入力シート!$B$5:$B$204,AT304))</f>
        <v/>
      </c>
      <c r="L304" s="25" t="str">
        <f aca="false">IF(AT304="","","")</f>
        <v/>
      </c>
      <c r="M304" s="25" t="str">
        <f aca="false">IF(AT304="","","")</f>
        <v/>
      </c>
      <c r="N304" s="25" t="str">
        <f aca="false">IF(AT304="","",COUNTIF(入力シート!$Q$5:$Q$204,INDEX(入力シート!$Q$5:$Q$204,AT304))+1)</f>
        <v/>
      </c>
      <c r="O304" s="25" t="str">
        <f aca="false">IF(AT304="","",99)</f>
        <v/>
      </c>
      <c r="P304" s="25" t="str">
        <f aca="false">IF(AT304="","","")</f>
        <v/>
      </c>
      <c r="Q304" s="25" t="str">
        <f aca="false">IF(AT304="","","")</f>
        <v/>
      </c>
      <c r="R304" s="25" t="str">
        <f aca="false">IF(AT304="","","消費税")</f>
        <v/>
      </c>
      <c r="S304" s="25" t="str">
        <f aca="false">IF(AT304="","",0)</f>
        <v/>
      </c>
      <c r="T304" s="25" t="str">
        <f aca="false">IF(AT304="","","")</f>
        <v/>
      </c>
      <c r="U304" s="25" t="str">
        <f aca="false">IF(AT304="","",0)</f>
        <v/>
      </c>
      <c r="V304" s="25" t="str">
        <f aca="false">IF(AT304="","",0)</f>
        <v/>
      </c>
      <c r="W304" s="25" t="str">
        <f aca="false">IF(AT304="","","")</f>
        <v/>
      </c>
      <c r="X304" s="25" t="str">
        <f aca="false">IF(AT304="","",0)</f>
        <v/>
      </c>
      <c r="Y304" s="25" t="str">
        <f aca="false">IF(AT304="","",0)</f>
        <v/>
      </c>
      <c r="Z304" s="25" t="str">
        <f aca="false">IF(AT304="","",ROUNDDOWN(SUMIF(入力シート!$Q$5:$Q$204,INDEX(入力シート!$Q$5:$Q$204,AT304),入力シート!$P$5:$P$204)*IF(INDEX(入力シート!$L$5:$L$204,AT304)=13,0.1,IF(INDEX(入力シート!$L$5:$L$204,AT304)=30,0.08,0)),0))</f>
        <v/>
      </c>
      <c r="AA304" s="25" t="str">
        <f aca="false">IF(AT304="","","")</f>
        <v/>
      </c>
      <c r="AB304" s="25" t="str">
        <f aca="false">IF(AT304="","",0)</f>
        <v/>
      </c>
      <c r="AC304" s="25" t="str">
        <f aca="false">IF(AT304="","",0)</f>
        <v/>
      </c>
      <c r="AD304" s="25" t="str">
        <f aca="false">IF(AT304="","",0)</f>
        <v/>
      </c>
      <c r="AE304" s="25" t="str">
        <f aca="false">IF(AT304="","","")</f>
        <v/>
      </c>
      <c r="AF304" s="25" t="str">
        <f aca="false">IF(AT304="","",0)</f>
        <v/>
      </c>
      <c r="AG304" s="25" t="str">
        <f aca="false">IF(AT304="","",0)</f>
        <v/>
      </c>
      <c r="AH304" s="25" t="str">
        <f aca="false">IF(AT304="","","")</f>
        <v/>
      </c>
      <c r="AI304" s="25" t="str">
        <f aca="false">IF(AT304="","","")</f>
        <v/>
      </c>
      <c r="AJ304" s="25" t="str">
        <f aca="false">IF(AT304="","","")</f>
        <v/>
      </c>
      <c r="AK304" s="25" t="str">
        <f aca="false">IF(AT304="","",2)</f>
        <v/>
      </c>
      <c r="AL304" s="25" t="str">
        <f aca="false">IF(AT304="","","")</f>
        <v/>
      </c>
      <c r="AM304" s="25" t="str">
        <f aca="false">IF(AT304="","","")</f>
        <v/>
      </c>
      <c r="AN304" s="25" t="str">
        <f aca="false">IF(AT304="","",INDEX(入力シート!$C$5:$C$204,AT304))</f>
        <v/>
      </c>
      <c r="AO304" s="25" t="str">
        <f aca="false">IF(AT304="","","")</f>
        <v/>
      </c>
      <c r="AP304" s="25" t="str">
        <f aca="false">IF(AT304="","","")</f>
        <v/>
      </c>
      <c r="AQ304" s="25" t="str">
        <f aca="false">IF(AT304="","","")</f>
        <v/>
      </c>
      <c r="AT304" s="27" t="str">
        <f aca="false">IFERROR(MATCH(104,入力シート!$T$5:$T$204,0),"")</f>
        <v/>
      </c>
    </row>
    <row r="305" customFormat="false" ht="15" hidden="false" customHeight="true" outlineLevel="0" collapsed="false">
      <c r="A305" s="25" t="str">
        <f aca="false">IF(AT305="","",1)</f>
        <v/>
      </c>
      <c r="B305" s="25" t="str">
        <f aca="false">IF(AT305="","",1)</f>
        <v/>
      </c>
      <c r="C305" s="25" t="str">
        <f aca="false">IF(AT305="","",0)</f>
        <v/>
      </c>
      <c r="D305" s="25" t="str">
        <f aca="false">IF(AT305="","",TEXT(INDEX(入力シート!$A$5:$A$204,AT305),"YYYYMMDD"))</f>
        <v/>
      </c>
      <c r="E305" s="25" t="str">
        <f aca="false">IF(AT305="","",TEXT(INDEX(入力シート!$Q$5:$Q$204,AT305),"00000000"))</f>
        <v/>
      </c>
      <c r="F305" s="25" t="str">
        <f aca="false">IF(AT305="","",14)</f>
        <v/>
      </c>
      <c r="G305" s="25" t="str">
        <f aca="false">IF(AT305="","",1)</f>
        <v/>
      </c>
      <c r="H305" s="25" t="str">
        <f aca="false">IF(AT305="","",1)</f>
        <v/>
      </c>
      <c r="I305" s="25" t="str">
        <f aca="false">IF(AT305="","",3)</f>
        <v/>
      </c>
      <c r="J305" s="25" t="str">
        <f aca="false">IF(AT305="","",1)</f>
        <v/>
      </c>
      <c r="K305" s="25" t="str">
        <f aca="false">IF(AT305="","",INDEX(入力シート!$B$5:$B$204,AT305))</f>
        <v/>
      </c>
      <c r="L305" s="25" t="str">
        <f aca="false">IF(AT305="","","")</f>
        <v/>
      </c>
      <c r="M305" s="25" t="str">
        <f aca="false">IF(AT305="","","")</f>
        <v/>
      </c>
      <c r="N305" s="25" t="str">
        <f aca="false">IF(AT305="","",COUNTIF(入力シート!$Q$5:$Q$204,INDEX(入力シート!$Q$5:$Q$204,AT305))+1)</f>
        <v/>
      </c>
      <c r="O305" s="25" t="str">
        <f aca="false">IF(AT305="","",99)</f>
        <v/>
      </c>
      <c r="P305" s="25" t="str">
        <f aca="false">IF(AT305="","","")</f>
        <v/>
      </c>
      <c r="Q305" s="25" t="str">
        <f aca="false">IF(AT305="","","")</f>
        <v/>
      </c>
      <c r="R305" s="25" t="str">
        <f aca="false">IF(AT305="","","消費税")</f>
        <v/>
      </c>
      <c r="S305" s="25" t="str">
        <f aca="false">IF(AT305="","",0)</f>
        <v/>
      </c>
      <c r="T305" s="25" t="str">
        <f aca="false">IF(AT305="","","")</f>
        <v/>
      </c>
      <c r="U305" s="25" t="str">
        <f aca="false">IF(AT305="","",0)</f>
        <v/>
      </c>
      <c r="V305" s="25" t="str">
        <f aca="false">IF(AT305="","",0)</f>
        <v/>
      </c>
      <c r="W305" s="25" t="str">
        <f aca="false">IF(AT305="","","")</f>
        <v/>
      </c>
      <c r="X305" s="25" t="str">
        <f aca="false">IF(AT305="","",0)</f>
        <v/>
      </c>
      <c r="Y305" s="25" t="str">
        <f aca="false">IF(AT305="","",0)</f>
        <v/>
      </c>
      <c r="Z305" s="25" t="str">
        <f aca="false">IF(AT305="","",ROUNDDOWN(SUMIF(入力シート!$Q$5:$Q$204,INDEX(入力シート!$Q$5:$Q$204,AT305),入力シート!$P$5:$P$204)*IF(INDEX(入力シート!$L$5:$L$204,AT305)=13,0.1,IF(INDEX(入力シート!$L$5:$L$204,AT305)=30,0.08,0)),0))</f>
        <v/>
      </c>
      <c r="AA305" s="25" t="str">
        <f aca="false">IF(AT305="","","")</f>
        <v/>
      </c>
      <c r="AB305" s="25" t="str">
        <f aca="false">IF(AT305="","",0)</f>
        <v/>
      </c>
      <c r="AC305" s="25" t="str">
        <f aca="false">IF(AT305="","",0)</f>
        <v/>
      </c>
      <c r="AD305" s="25" t="str">
        <f aca="false">IF(AT305="","",0)</f>
        <v/>
      </c>
      <c r="AE305" s="25" t="str">
        <f aca="false">IF(AT305="","","")</f>
        <v/>
      </c>
      <c r="AF305" s="25" t="str">
        <f aca="false">IF(AT305="","",0)</f>
        <v/>
      </c>
      <c r="AG305" s="25" t="str">
        <f aca="false">IF(AT305="","",0)</f>
        <v/>
      </c>
      <c r="AH305" s="25" t="str">
        <f aca="false">IF(AT305="","","")</f>
        <v/>
      </c>
      <c r="AI305" s="25" t="str">
        <f aca="false">IF(AT305="","","")</f>
        <v/>
      </c>
      <c r="AJ305" s="25" t="str">
        <f aca="false">IF(AT305="","","")</f>
        <v/>
      </c>
      <c r="AK305" s="25" t="str">
        <f aca="false">IF(AT305="","",2)</f>
        <v/>
      </c>
      <c r="AL305" s="25" t="str">
        <f aca="false">IF(AT305="","","")</f>
        <v/>
      </c>
      <c r="AM305" s="25" t="str">
        <f aca="false">IF(AT305="","","")</f>
        <v/>
      </c>
      <c r="AN305" s="25" t="str">
        <f aca="false">IF(AT305="","",INDEX(入力シート!$C$5:$C$204,AT305))</f>
        <v/>
      </c>
      <c r="AO305" s="25" t="str">
        <f aca="false">IF(AT305="","","")</f>
        <v/>
      </c>
      <c r="AP305" s="25" t="str">
        <f aca="false">IF(AT305="","","")</f>
        <v/>
      </c>
      <c r="AQ305" s="25" t="str">
        <f aca="false">IF(AT305="","","")</f>
        <v/>
      </c>
      <c r="AT305" s="27" t="str">
        <f aca="false">IFERROR(MATCH(105,入力シート!$T$5:$T$204,0),"")</f>
        <v/>
      </c>
    </row>
    <row r="306" customFormat="false" ht="15" hidden="false" customHeight="true" outlineLevel="0" collapsed="false">
      <c r="A306" s="25" t="str">
        <f aca="false">IF(AT306="","",1)</f>
        <v/>
      </c>
      <c r="B306" s="25" t="str">
        <f aca="false">IF(AT306="","",1)</f>
        <v/>
      </c>
      <c r="C306" s="25" t="str">
        <f aca="false">IF(AT306="","",0)</f>
        <v/>
      </c>
      <c r="D306" s="25" t="str">
        <f aca="false">IF(AT306="","",TEXT(INDEX(入力シート!$A$5:$A$204,AT306),"YYYYMMDD"))</f>
        <v/>
      </c>
      <c r="E306" s="25" t="str">
        <f aca="false">IF(AT306="","",TEXT(INDEX(入力シート!$Q$5:$Q$204,AT306),"00000000"))</f>
        <v/>
      </c>
      <c r="F306" s="25" t="str">
        <f aca="false">IF(AT306="","",14)</f>
        <v/>
      </c>
      <c r="G306" s="25" t="str">
        <f aca="false">IF(AT306="","",1)</f>
        <v/>
      </c>
      <c r="H306" s="25" t="str">
        <f aca="false">IF(AT306="","",1)</f>
        <v/>
      </c>
      <c r="I306" s="25" t="str">
        <f aca="false">IF(AT306="","",3)</f>
        <v/>
      </c>
      <c r="J306" s="25" t="str">
        <f aca="false">IF(AT306="","",1)</f>
        <v/>
      </c>
      <c r="K306" s="25" t="str">
        <f aca="false">IF(AT306="","",INDEX(入力シート!$B$5:$B$204,AT306))</f>
        <v/>
      </c>
      <c r="L306" s="25" t="str">
        <f aca="false">IF(AT306="","","")</f>
        <v/>
      </c>
      <c r="M306" s="25" t="str">
        <f aca="false">IF(AT306="","","")</f>
        <v/>
      </c>
      <c r="N306" s="25" t="str">
        <f aca="false">IF(AT306="","",COUNTIF(入力シート!$Q$5:$Q$204,INDEX(入力シート!$Q$5:$Q$204,AT306))+1)</f>
        <v/>
      </c>
      <c r="O306" s="25" t="str">
        <f aca="false">IF(AT306="","",99)</f>
        <v/>
      </c>
      <c r="P306" s="25" t="str">
        <f aca="false">IF(AT306="","","")</f>
        <v/>
      </c>
      <c r="Q306" s="25" t="str">
        <f aca="false">IF(AT306="","","")</f>
        <v/>
      </c>
      <c r="R306" s="25" t="str">
        <f aca="false">IF(AT306="","","消費税")</f>
        <v/>
      </c>
      <c r="S306" s="25" t="str">
        <f aca="false">IF(AT306="","",0)</f>
        <v/>
      </c>
      <c r="T306" s="25" t="str">
        <f aca="false">IF(AT306="","","")</f>
        <v/>
      </c>
      <c r="U306" s="25" t="str">
        <f aca="false">IF(AT306="","",0)</f>
        <v/>
      </c>
      <c r="V306" s="25" t="str">
        <f aca="false">IF(AT306="","",0)</f>
        <v/>
      </c>
      <c r="W306" s="25" t="str">
        <f aca="false">IF(AT306="","","")</f>
        <v/>
      </c>
      <c r="X306" s="25" t="str">
        <f aca="false">IF(AT306="","",0)</f>
        <v/>
      </c>
      <c r="Y306" s="25" t="str">
        <f aca="false">IF(AT306="","",0)</f>
        <v/>
      </c>
      <c r="Z306" s="25" t="str">
        <f aca="false">IF(AT306="","",ROUNDDOWN(SUMIF(入力シート!$Q$5:$Q$204,INDEX(入力シート!$Q$5:$Q$204,AT306),入力シート!$P$5:$P$204)*IF(INDEX(入力シート!$L$5:$L$204,AT306)=13,0.1,IF(INDEX(入力シート!$L$5:$L$204,AT306)=30,0.08,0)),0))</f>
        <v/>
      </c>
      <c r="AA306" s="25" t="str">
        <f aca="false">IF(AT306="","","")</f>
        <v/>
      </c>
      <c r="AB306" s="25" t="str">
        <f aca="false">IF(AT306="","",0)</f>
        <v/>
      </c>
      <c r="AC306" s="25" t="str">
        <f aca="false">IF(AT306="","",0)</f>
        <v/>
      </c>
      <c r="AD306" s="25" t="str">
        <f aca="false">IF(AT306="","",0)</f>
        <v/>
      </c>
      <c r="AE306" s="25" t="str">
        <f aca="false">IF(AT306="","","")</f>
        <v/>
      </c>
      <c r="AF306" s="25" t="str">
        <f aca="false">IF(AT306="","",0)</f>
        <v/>
      </c>
      <c r="AG306" s="25" t="str">
        <f aca="false">IF(AT306="","",0)</f>
        <v/>
      </c>
      <c r="AH306" s="25" t="str">
        <f aca="false">IF(AT306="","","")</f>
        <v/>
      </c>
      <c r="AI306" s="25" t="str">
        <f aca="false">IF(AT306="","","")</f>
        <v/>
      </c>
      <c r="AJ306" s="25" t="str">
        <f aca="false">IF(AT306="","","")</f>
        <v/>
      </c>
      <c r="AK306" s="25" t="str">
        <f aca="false">IF(AT306="","",2)</f>
        <v/>
      </c>
      <c r="AL306" s="25" t="str">
        <f aca="false">IF(AT306="","","")</f>
        <v/>
      </c>
      <c r="AM306" s="25" t="str">
        <f aca="false">IF(AT306="","","")</f>
        <v/>
      </c>
      <c r="AN306" s="25" t="str">
        <f aca="false">IF(AT306="","",INDEX(入力シート!$C$5:$C$204,AT306))</f>
        <v/>
      </c>
      <c r="AO306" s="25" t="str">
        <f aca="false">IF(AT306="","","")</f>
        <v/>
      </c>
      <c r="AP306" s="25" t="str">
        <f aca="false">IF(AT306="","","")</f>
        <v/>
      </c>
      <c r="AQ306" s="25" t="str">
        <f aca="false">IF(AT306="","","")</f>
        <v/>
      </c>
      <c r="AT306" s="27" t="str">
        <f aca="false">IFERROR(MATCH(106,入力シート!$T$5:$T$204,0),"")</f>
        <v/>
      </c>
    </row>
    <row r="307" customFormat="false" ht="15" hidden="false" customHeight="true" outlineLevel="0" collapsed="false">
      <c r="A307" s="25" t="str">
        <f aca="false">IF(AT307="","",1)</f>
        <v/>
      </c>
      <c r="B307" s="25" t="str">
        <f aca="false">IF(AT307="","",1)</f>
        <v/>
      </c>
      <c r="C307" s="25" t="str">
        <f aca="false">IF(AT307="","",0)</f>
        <v/>
      </c>
      <c r="D307" s="25" t="str">
        <f aca="false">IF(AT307="","",TEXT(INDEX(入力シート!$A$5:$A$204,AT307),"YYYYMMDD"))</f>
        <v/>
      </c>
      <c r="E307" s="25" t="str">
        <f aca="false">IF(AT307="","",TEXT(INDEX(入力シート!$Q$5:$Q$204,AT307),"00000000"))</f>
        <v/>
      </c>
      <c r="F307" s="25" t="str">
        <f aca="false">IF(AT307="","",14)</f>
        <v/>
      </c>
      <c r="G307" s="25" t="str">
        <f aca="false">IF(AT307="","",1)</f>
        <v/>
      </c>
      <c r="H307" s="25" t="str">
        <f aca="false">IF(AT307="","",1)</f>
        <v/>
      </c>
      <c r="I307" s="25" t="str">
        <f aca="false">IF(AT307="","",3)</f>
        <v/>
      </c>
      <c r="J307" s="25" t="str">
        <f aca="false">IF(AT307="","",1)</f>
        <v/>
      </c>
      <c r="K307" s="25" t="str">
        <f aca="false">IF(AT307="","",INDEX(入力シート!$B$5:$B$204,AT307))</f>
        <v/>
      </c>
      <c r="L307" s="25" t="str">
        <f aca="false">IF(AT307="","","")</f>
        <v/>
      </c>
      <c r="M307" s="25" t="str">
        <f aca="false">IF(AT307="","","")</f>
        <v/>
      </c>
      <c r="N307" s="25" t="str">
        <f aca="false">IF(AT307="","",COUNTIF(入力シート!$Q$5:$Q$204,INDEX(入力シート!$Q$5:$Q$204,AT307))+1)</f>
        <v/>
      </c>
      <c r="O307" s="25" t="str">
        <f aca="false">IF(AT307="","",99)</f>
        <v/>
      </c>
      <c r="P307" s="25" t="str">
        <f aca="false">IF(AT307="","","")</f>
        <v/>
      </c>
      <c r="Q307" s="25" t="str">
        <f aca="false">IF(AT307="","","")</f>
        <v/>
      </c>
      <c r="R307" s="25" t="str">
        <f aca="false">IF(AT307="","","消費税")</f>
        <v/>
      </c>
      <c r="S307" s="25" t="str">
        <f aca="false">IF(AT307="","",0)</f>
        <v/>
      </c>
      <c r="T307" s="25" t="str">
        <f aca="false">IF(AT307="","","")</f>
        <v/>
      </c>
      <c r="U307" s="25" t="str">
        <f aca="false">IF(AT307="","",0)</f>
        <v/>
      </c>
      <c r="V307" s="25" t="str">
        <f aca="false">IF(AT307="","",0)</f>
        <v/>
      </c>
      <c r="W307" s="25" t="str">
        <f aca="false">IF(AT307="","","")</f>
        <v/>
      </c>
      <c r="X307" s="25" t="str">
        <f aca="false">IF(AT307="","",0)</f>
        <v/>
      </c>
      <c r="Y307" s="25" t="str">
        <f aca="false">IF(AT307="","",0)</f>
        <v/>
      </c>
      <c r="Z307" s="25" t="str">
        <f aca="false">IF(AT307="","",ROUNDDOWN(SUMIF(入力シート!$Q$5:$Q$204,INDEX(入力シート!$Q$5:$Q$204,AT307),入力シート!$P$5:$P$204)*IF(INDEX(入力シート!$L$5:$L$204,AT307)=13,0.1,IF(INDEX(入力シート!$L$5:$L$204,AT307)=30,0.08,0)),0))</f>
        <v/>
      </c>
      <c r="AA307" s="25" t="str">
        <f aca="false">IF(AT307="","","")</f>
        <v/>
      </c>
      <c r="AB307" s="25" t="str">
        <f aca="false">IF(AT307="","",0)</f>
        <v/>
      </c>
      <c r="AC307" s="25" t="str">
        <f aca="false">IF(AT307="","",0)</f>
        <v/>
      </c>
      <c r="AD307" s="25" t="str">
        <f aca="false">IF(AT307="","",0)</f>
        <v/>
      </c>
      <c r="AE307" s="25" t="str">
        <f aca="false">IF(AT307="","","")</f>
        <v/>
      </c>
      <c r="AF307" s="25" t="str">
        <f aca="false">IF(AT307="","",0)</f>
        <v/>
      </c>
      <c r="AG307" s="25" t="str">
        <f aca="false">IF(AT307="","",0)</f>
        <v/>
      </c>
      <c r="AH307" s="25" t="str">
        <f aca="false">IF(AT307="","","")</f>
        <v/>
      </c>
      <c r="AI307" s="25" t="str">
        <f aca="false">IF(AT307="","","")</f>
        <v/>
      </c>
      <c r="AJ307" s="25" t="str">
        <f aca="false">IF(AT307="","","")</f>
        <v/>
      </c>
      <c r="AK307" s="25" t="str">
        <f aca="false">IF(AT307="","",2)</f>
        <v/>
      </c>
      <c r="AL307" s="25" t="str">
        <f aca="false">IF(AT307="","","")</f>
        <v/>
      </c>
      <c r="AM307" s="25" t="str">
        <f aca="false">IF(AT307="","","")</f>
        <v/>
      </c>
      <c r="AN307" s="25" t="str">
        <f aca="false">IF(AT307="","",INDEX(入力シート!$C$5:$C$204,AT307))</f>
        <v/>
      </c>
      <c r="AO307" s="25" t="str">
        <f aca="false">IF(AT307="","","")</f>
        <v/>
      </c>
      <c r="AP307" s="25" t="str">
        <f aca="false">IF(AT307="","","")</f>
        <v/>
      </c>
      <c r="AQ307" s="25" t="str">
        <f aca="false">IF(AT307="","","")</f>
        <v/>
      </c>
      <c r="AT307" s="27" t="str">
        <f aca="false">IFERROR(MATCH(107,入力シート!$T$5:$T$204,0),"")</f>
        <v/>
      </c>
    </row>
    <row r="308" customFormat="false" ht="15" hidden="false" customHeight="true" outlineLevel="0" collapsed="false">
      <c r="A308" s="25" t="str">
        <f aca="false">IF(AT308="","",1)</f>
        <v/>
      </c>
      <c r="B308" s="25" t="str">
        <f aca="false">IF(AT308="","",1)</f>
        <v/>
      </c>
      <c r="C308" s="25" t="str">
        <f aca="false">IF(AT308="","",0)</f>
        <v/>
      </c>
      <c r="D308" s="25" t="str">
        <f aca="false">IF(AT308="","",TEXT(INDEX(入力シート!$A$5:$A$204,AT308),"YYYYMMDD"))</f>
        <v/>
      </c>
      <c r="E308" s="25" t="str">
        <f aca="false">IF(AT308="","",TEXT(INDEX(入力シート!$Q$5:$Q$204,AT308),"00000000"))</f>
        <v/>
      </c>
      <c r="F308" s="25" t="str">
        <f aca="false">IF(AT308="","",14)</f>
        <v/>
      </c>
      <c r="G308" s="25" t="str">
        <f aca="false">IF(AT308="","",1)</f>
        <v/>
      </c>
      <c r="H308" s="25" t="str">
        <f aca="false">IF(AT308="","",1)</f>
        <v/>
      </c>
      <c r="I308" s="25" t="str">
        <f aca="false">IF(AT308="","",3)</f>
        <v/>
      </c>
      <c r="J308" s="25" t="str">
        <f aca="false">IF(AT308="","",1)</f>
        <v/>
      </c>
      <c r="K308" s="25" t="str">
        <f aca="false">IF(AT308="","",INDEX(入力シート!$B$5:$B$204,AT308))</f>
        <v/>
      </c>
      <c r="L308" s="25" t="str">
        <f aca="false">IF(AT308="","","")</f>
        <v/>
      </c>
      <c r="M308" s="25" t="str">
        <f aca="false">IF(AT308="","","")</f>
        <v/>
      </c>
      <c r="N308" s="25" t="str">
        <f aca="false">IF(AT308="","",COUNTIF(入力シート!$Q$5:$Q$204,INDEX(入力シート!$Q$5:$Q$204,AT308))+1)</f>
        <v/>
      </c>
      <c r="O308" s="25" t="str">
        <f aca="false">IF(AT308="","",99)</f>
        <v/>
      </c>
      <c r="P308" s="25" t="str">
        <f aca="false">IF(AT308="","","")</f>
        <v/>
      </c>
      <c r="Q308" s="25" t="str">
        <f aca="false">IF(AT308="","","")</f>
        <v/>
      </c>
      <c r="R308" s="25" t="str">
        <f aca="false">IF(AT308="","","消費税")</f>
        <v/>
      </c>
      <c r="S308" s="25" t="str">
        <f aca="false">IF(AT308="","",0)</f>
        <v/>
      </c>
      <c r="T308" s="25" t="str">
        <f aca="false">IF(AT308="","","")</f>
        <v/>
      </c>
      <c r="U308" s="25" t="str">
        <f aca="false">IF(AT308="","",0)</f>
        <v/>
      </c>
      <c r="V308" s="25" t="str">
        <f aca="false">IF(AT308="","",0)</f>
        <v/>
      </c>
      <c r="W308" s="25" t="str">
        <f aca="false">IF(AT308="","","")</f>
        <v/>
      </c>
      <c r="X308" s="25" t="str">
        <f aca="false">IF(AT308="","",0)</f>
        <v/>
      </c>
      <c r="Y308" s="25" t="str">
        <f aca="false">IF(AT308="","",0)</f>
        <v/>
      </c>
      <c r="Z308" s="25" t="str">
        <f aca="false">IF(AT308="","",ROUNDDOWN(SUMIF(入力シート!$Q$5:$Q$204,INDEX(入力シート!$Q$5:$Q$204,AT308),入力シート!$P$5:$P$204)*IF(INDEX(入力シート!$L$5:$L$204,AT308)=13,0.1,IF(INDEX(入力シート!$L$5:$L$204,AT308)=30,0.08,0)),0))</f>
        <v/>
      </c>
      <c r="AA308" s="25" t="str">
        <f aca="false">IF(AT308="","","")</f>
        <v/>
      </c>
      <c r="AB308" s="25" t="str">
        <f aca="false">IF(AT308="","",0)</f>
        <v/>
      </c>
      <c r="AC308" s="25" t="str">
        <f aca="false">IF(AT308="","",0)</f>
        <v/>
      </c>
      <c r="AD308" s="25" t="str">
        <f aca="false">IF(AT308="","",0)</f>
        <v/>
      </c>
      <c r="AE308" s="25" t="str">
        <f aca="false">IF(AT308="","","")</f>
        <v/>
      </c>
      <c r="AF308" s="25" t="str">
        <f aca="false">IF(AT308="","",0)</f>
        <v/>
      </c>
      <c r="AG308" s="25" t="str">
        <f aca="false">IF(AT308="","",0)</f>
        <v/>
      </c>
      <c r="AH308" s="25" t="str">
        <f aca="false">IF(AT308="","","")</f>
        <v/>
      </c>
      <c r="AI308" s="25" t="str">
        <f aca="false">IF(AT308="","","")</f>
        <v/>
      </c>
      <c r="AJ308" s="25" t="str">
        <f aca="false">IF(AT308="","","")</f>
        <v/>
      </c>
      <c r="AK308" s="25" t="str">
        <f aca="false">IF(AT308="","",2)</f>
        <v/>
      </c>
      <c r="AL308" s="25" t="str">
        <f aca="false">IF(AT308="","","")</f>
        <v/>
      </c>
      <c r="AM308" s="25" t="str">
        <f aca="false">IF(AT308="","","")</f>
        <v/>
      </c>
      <c r="AN308" s="25" t="str">
        <f aca="false">IF(AT308="","",INDEX(入力シート!$C$5:$C$204,AT308))</f>
        <v/>
      </c>
      <c r="AO308" s="25" t="str">
        <f aca="false">IF(AT308="","","")</f>
        <v/>
      </c>
      <c r="AP308" s="25" t="str">
        <f aca="false">IF(AT308="","","")</f>
        <v/>
      </c>
      <c r="AQ308" s="25" t="str">
        <f aca="false">IF(AT308="","","")</f>
        <v/>
      </c>
      <c r="AT308" s="27" t="str">
        <f aca="false">IFERROR(MATCH(108,入力シート!$T$5:$T$204,0),"")</f>
        <v/>
      </c>
    </row>
    <row r="309" customFormat="false" ht="15" hidden="false" customHeight="true" outlineLevel="0" collapsed="false">
      <c r="A309" s="25" t="str">
        <f aca="false">IF(AT309="","",1)</f>
        <v/>
      </c>
      <c r="B309" s="25" t="str">
        <f aca="false">IF(AT309="","",1)</f>
        <v/>
      </c>
      <c r="C309" s="25" t="str">
        <f aca="false">IF(AT309="","",0)</f>
        <v/>
      </c>
      <c r="D309" s="25" t="str">
        <f aca="false">IF(AT309="","",TEXT(INDEX(入力シート!$A$5:$A$204,AT309),"YYYYMMDD"))</f>
        <v/>
      </c>
      <c r="E309" s="25" t="str">
        <f aca="false">IF(AT309="","",TEXT(INDEX(入力シート!$Q$5:$Q$204,AT309),"00000000"))</f>
        <v/>
      </c>
      <c r="F309" s="25" t="str">
        <f aca="false">IF(AT309="","",14)</f>
        <v/>
      </c>
      <c r="G309" s="25" t="str">
        <f aca="false">IF(AT309="","",1)</f>
        <v/>
      </c>
      <c r="H309" s="25" t="str">
        <f aca="false">IF(AT309="","",1)</f>
        <v/>
      </c>
      <c r="I309" s="25" t="str">
        <f aca="false">IF(AT309="","",3)</f>
        <v/>
      </c>
      <c r="J309" s="25" t="str">
        <f aca="false">IF(AT309="","",1)</f>
        <v/>
      </c>
      <c r="K309" s="25" t="str">
        <f aca="false">IF(AT309="","",INDEX(入力シート!$B$5:$B$204,AT309))</f>
        <v/>
      </c>
      <c r="L309" s="25" t="str">
        <f aca="false">IF(AT309="","","")</f>
        <v/>
      </c>
      <c r="M309" s="25" t="str">
        <f aca="false">IF(AT309="","","")</f>
        <v/>
      </c>
      <c r="N309" s="25" t="str">
        <f aca="false">IF(AT309="","",COUNTIF(入力シート!$Q$5:$Q$204,INDEX(入力シート!$Q$5:$Q$204,AT309))+1)</f>
        <v/>
      </c>
      <c r="O309" s="25" t="str">
        <f aca="false">IF(AT309="","",99)</f>
        <v/>
      </c>
      <c r="P309" s="25" t="str">
        <f aca="false">IF(AT309="","","")</f>
        <v/>
      </c>
      <c r="Q309" s="25" t="str">
        <f aca="false">IF(AT309="","","")</f>
        <v/>
      </c>
      <c r="R309" s="25" t="str">
        <f aca="false">IF(AT309="","","消費税")</f>
        <v/>
      </c>
      <c r="S309" s="25" t="str">
        <f aca="false">IF(AT309="","",0)</f>
        <v/>
      </c>
      <c r="T309" s="25" t="str">
        <f aca="false">IF(AT309="","","")</f>
        <v/>
      </c>
      <c r="U309" s="25" t="str">
        <f aca="false">IF(AT309="","",0)</f>
        <v/>
      </c>
      <c r="V309" s="25" t="str">
        <f aca="false">IF(AT309="","",0)</f>
        <v/>
      </c>
      <c r="W309" s="25" t="str">
        <f aca="false">IF(AT309="","","")</f>
        <v/>
      </c>
      <c r="X309" s="25" t="str">
        <f aca="false">IF(AT309="","",0)</f>
        <v/>
      </c>
      <c r="Y309" s="25" t="str">
        <f aca="false">IF(AT309="","",0)</f>
        <v/>
      </c>
      <c r="Z309" s="25" t="str">
        <f aca="false">IF(AT309="","",ROUNDDOWN(SUMIF(入力シート!$Q$5:$Q$204,INDEX(入力シート!$Q$5:$Q$204,AT309),入力シート!$P$5:$P$204)*IF(INDEX(入力シート!$L$5:$L$204,AT309)=13,0.1,IF(INDEX(入力シート!$L$5:$L$204,AT309)=30,0.08,0)),0))</f>
        <v/>
      </c>
      <c r="AA309" s="25" t="str">
        <f aca="false">IF(AT309="","","")</f>
        <v/>
      </c>
      <c r="AB309" s="25" t="str">
        <f aca="false">IF(AT309="","",0)</f>
        <v/>
      </c>
      <c r="AC309" s="25" t="str">
        <f aca="false">IF(AT309="","",0)</f>
        <v/>
      </c>
      <c r="AD309" s="25" t="str">
        <f aca="false">IF(AT309="","",0)</f>
        <v/>
      </c>
      <c r="AE309" s="25" t="str">
        <f aca="false">IF(AT309="","","")</f>
        <v/>
      </c>
      <c r="AF309" s="25" t="str">
        <f aca="false">IF(AT309="","",0)</f>
        <v/>
      </c>
      <c r="AG309" s="25" t="str">
        <f aca="false">IF(AT309="","",0)</f>
        <v/>
      </c>
      <c r="AH309" s="25" t="str">
        <f aca="false">IF(AT309="","","")</f>
        <v/>
      </c>
      <c r="AI309" s="25" t="str">
        <f aca="false">IF(AT309="","","")</f>
        <v/>
      </c>
      <c r="AJ309" s="25" t="str">
        <f aca="false">IF(AT309="","","")</f>
        <v/>
      </c>
      <c r="AK309" s="25" t="str">
        <f aca="false">IF(AT309="","",2)</f>
        <v/>
      </c>
      <c r="AL309" s="25" t="str">
        <f aca="false">IF(AT309="","","")</f>
        <v/>
      </c>
      <c r="AM309" s="25" t="str">
        <f aca="false">IF(AT309="","","")</f>
        <v/>
      </c>
      <c r="AN309" s="25" t="str">
        <f aca="false">IF(AT309="","",INDEX(入力シート!$C$5:$C$204,AT309))</f>
        <v/>
      </c>
      <c r="AO309" s="25" t="str">
        <f aca="false">IF(AT309="","","")</f>
        <v/>
      </c>
      <c r="AP309" s="25" t="str">
        <f aca="false">IF(AT309="","","")</f>
        <v/>
      </c>
      <c r="AQ309" s="25" t="str">
        <f aca="false">IF(AT309="","","")</f>
        <v/>
      </c>
      <c r="AT309" s="27" t="str">
        <f aca="false">IFERROR(MATCH(109,入力シート!$T$5:$T$204,0),"")</f>
        <v/>
      </c>
    </row>
    <row r="310" customFormat="false" ht="15" hidden="false" customHeight="true" outlineLevel="0" collapsed="false">
      <c r="A310" s="25" t="str">
        <f aca="false">IF(AT310="","",1)</f>
        <v/>
      </c>
      <c r="B310" s="25" t="str">
        <f aca="false">IF(AT310="","",1)</f>
        <v/>
      </c>
      <c r="C310" s="25" t="str">
        <f aca="false">IF(AT310="","",0)</f>
        <v/>
      </c>
      <c r="D310" s="25" t="str">
        <f aca="false">IF(AT310="","",TEXT(INDEX(入力シート!$A$5:$A$204,AT310),"YYYYMMDD"))</f>
        <v/>
      </c>
      <c r="E310" s="25" t="str">
        <f aca="false">IF(AT310="","",TEXT(INDEX(入力シート!$Q$5:$Q$204,AT310),"00000000"))</f>
        <v/>
      </c>
      <c r="F310" s="25" t="str">
        <f aca="false">IF(AT310="","",14)</f>
        <v/>
      </c>
      <c r="G310" s="25" t="str">
        <f aca="false">IF(AT310="","",1)</f>
        <v/>
      </c>
      <c r="H310" s="25" t="str">
        <f aca="false">IF(AT310="","",1)</f>
        <v/>
      </c>
      <c r="I310" s="25" t="str">
        <f aca="false">IF(AT310="","",3)</f>
        <v/>
      </c>
      <c r="J310" s="25" t="str">
        <f aca="false">IF(AT310="","",1)</f>
        <v/>
      </c>
      <c r="K310" s="25" t="str">
        <f aca="false">IF(AT310="","",INDEX(入力シート!$B$5:$B$204,AT310))</f>
        <v/>
      </c>
      <c r="L310" s="25" t="str">
        <f aca="false">IF(AT310="","","")</f>
        <v/>
      </c>
      <c r="M310" s="25" t="str">
        <f aca="false">IF(AT310="","","")</f>
        <v/>
      </c>
      <c r="N310" s="25" t="str">
        <f aca="false">IF(AT310="","",COUNTIF(入力シート!$Q$5:$Q$204,INDEX(入力シート!$Q$5:$Q$204,AT310))+1)</f>
        <v/>
      </c>
      <c r="O310" s="25" t="str">
        <f aca="false">IF(AT310="","",99)</f>
        <v/>
      </c>
      <c r="P310" s="25" t="str">
        <f aca="false">IF(AT310="","","")</f>
        <v/>
      </c>
      <c r="Q310" s="25" t="str">
        <f aca="false">IF(AT310="","","")</f>
        <v/>
      </c>
      <c r="R310" s="25" t="str">
        <f aca="false">IF(AT310="","","消費税")</f>
        <v/>
      </c>
      <c r="S310" s="25" t="str">
        <f aca="false">IF(AT310="","",0)</f>
        <v/>
      </c>
      <c r="T310" s="25" t="str">
        <f aca="false">IF(AT310="","","")</f>
        <v/>
      </c>
      <c r="U310" s="25" t="str">
        <f aca="false">IF(AT310="","",0)</f>
        <v/>
      </c>
      <c r="V310" s="25" t="str">
        <f aca="false">IF(AT310="","",0)</f>
        <v/>
      </c>
      <c r="W310" s="25" t="str">
        <f aca="false">IF(AT310="","","")</f>
        <v/>
      </c>
      <c r="X310" s="25" t="str">
        <f aca="false">IF(AT310="","",0)</f>
        <v/>
      </c>
      <c r="Y310" s="25" t="str">
        <f aca="false">IF(AT310="","",0)</f>
        <v/>
      </c>
      <c r="Z310" s="25" t="str">
        <f aca="false">IF(AT310="","",ROUNDDOWN(SUMIF(入力シート!$Q$5:$Q$204,INDEX(入力シート!$Q$5:$Q$204,AT310),入力シート!$P$5:$P$204)*IF(INDEX(入力シート!$L$5:$L$204,AT310)=13,0.1,IF(INDEX(入力シート!$L$5:$L$204,AT310)=30,0.08,0)),0))</f>
        <v/>
      </c>
      <c r="AA310" s="25" t="str">
        <f aca="false">IF(AT310="","","")</f>
        <v/>
      </c>
      <c r="AB310" s="25" t="str">
        <f aca="false">IF(AT310="","",0)</f>
        <v/>
      </c>
      <c r="AC310" s="25" t="str">
        <f aca="false">IF(AT310="","",0)</f>
        <v/>
      </c>
      <c r="AD310" s="25" t="str">
        <f aca="false">IF(AT310="","",0)</f>
        <v/>
      </c>
      <c r="AE310" s="25" t="str">
        <f aca="false">IF(AT310="","","")</f>
        <v/>
      </c>
      <c r="AF310" s="25" t="str">
        <f aca="false">IF(AT310="","",0)</f>
        <v/>
      </c>
      <c r="AG310" s="25" t="str">
        <f aca="false">IF(AT310="","",0)</f>
        <v/>
      </c>
      <c r="AH310" s="25" t="str">
        <f aca="false">IF(AT310="","","")</f>
        <v/>
      </c>
      <c r="AI310" s="25" t="str">
        <f aca="false">IF(AT310="","","")</f>
        <v/>
      </c>
      <c r="AJ310" s="25" t="str">
        <f aca="false">IF(AT310="","","")</f>
        <v/>
      </c>
      <c r="AK310" s="25" t="str">
        <f aca="false">IF(AT310="","",2)</f>
        <v/>
      </c>
      <c r="AL310" s="25" t="str">
        <f aca="false">IF(AT310="","","")</f>
        <v/>
      </c>
      <c r="AM310" s="25" t="str">
        <f aca="false">IF(AT310="","","")</f>
        <v/>
      </c>
      <c r="AN310" s="25" t="str">
        <f aca="false">IF(AT310="","",INDEX(入力シート!$C$5:$C$204,AT310))</f>
        <v/>
      </c>
      <c r="AO310" s="25" t="str">
        <f aca="false">IF(AT310="","","")</f>
        <v/>
      </c>
      <c r="AP310" s="25" t="str">
        <f aca="false">IF(AT310="","","")</f>
        <v/>
      </c>
      <c r="AQ310" s="25" t="str">
        <f aca="false">IF(AT310="","","")</f>
        <v/>
      </c>
      <c r="AT310" s="27" t="str">
        <f aca="false">IFERROR(MATCH(110,入力シート!$T$5:$T$204,0),"")</f>
        <v/>
      </c>
    </row>
    <row r="311" customFormat="false" ht="15" hidden="false" customHeight="true" outlineLevel="0" collapsed="false">
      <c r="A311" s="25" t="str">
        <f aca="false">IF(AT311="","",1)</f>
        <v/>
      </c>
      <c r="B311" s="25" t="str">
        <f aca="false">IF(AT311="","",1)</f>
        <v/>
      </c>
      <c r="C311" s="25" t="str">
        <f aca="false">IF(AT311="","",0)</f>
        <v/>
      </c>
      <c r="D311" s="25" t="str">
        <f aca="false">IF(AT311="","",TEXT(INDEX(入力シート!$A$5:$A$204,AT311),"YYYYMMDD"))</f>
        <v/>
      </c>
      <c r="E311" s="25" t="str">
        <f aca="false">IF(AT311="","",TEXT(INDEX(入力シート!$Q$5:$Q$204,AT311),"00000000"))</f>
        <v/>
      </c>
      <c r="F311" s="25" t="str">
        <f aca="false">IF(AT311="","",14)</f>
        <v/>
      </c>
      <c r="G311" s="25" t="str">
        <f aca="false">IF(AT311="","",1)</f>
        <v/>
      </c>
      <c r="H311" s="25" t="str">
        <f aca="false">IF(AT311="","",1)</f>
        <v/>
      </c>
      <c r="I311" s="25" t="str">
        <f aca="false">IF(AT311="","",3)</f>
        <v/>
      </c>
      <c r="J311" s="25" t="str">
        <f aca="false">IF(AT311="","",1)</f>
        <v/>
      </c>
      <c r="K311" s="25" t="str">
        <f aca="false">IF(AT311="","",INDEX(入力シート!$B$5:$B$204,AT311))</f>
        <v/>
      </c>
      <c r="L311" s="25" t="str">
        <f aca="false">IF(AT311="","","")</f>
        <v/>
      </c>
      <c r="M311" s="25" t="str">
        <f aca="false">IF(AT311="","","")</f>
        <v/>
      </c>
      <c r="N311" s="25" t="str">
        <f aca="false">IF(AT311="","",COUNTIF(入力シート!$Q$5:$Q$204,INDEX(入力シート!$Q$5:$Q$204,AT311))+1)</f>
        <v/>
      </c>
      <c r="O311" s="25" t="str">
        <f aca="false">IF(AT311="","",99)</f>
        <v/>
      </c>
      <c r="P311" s="25" t="str">
        <f aca="false">IF(AT311="","","")</f>
        <v/>
      </c>
      <c r="Q311" s="25" t="str">
        <f aca="false">IF(AT311="","","")</f>
        <v/>
      </c>
      <c r="R311" s="25" t="str">
        <f aca="false">IF(AT311="","","消費税")</f>
        <v/>
      </c>
      <c r="S311" s="25" t="str">
        <f aca="false">IF(AT311="","",0)</f>
        <v/>
      </c>
      <c r="T311" s="25" t="str">
        <f aca="false">IF(AT311="","","")</f>
        <v/>
      </c>
      <c r="U311" s="25" t="str">
        <f aca="false">IF(AT311="","",0)</f>
        <v/>
      </c>
      <c r="V311" s="25" t="str">
        <f aca="false">IF(AT311="","",0)</f>
        <v/>
      </c>
      <c r="W311" s="25" t="str">
        <f aca="false">IF(AT311="","","")</f>
        <v/>
      </c>
      <c r="X311" s="25" t="str">
        <f aca="false">IF(AT311="","",0)</f>
        <v/>
      </c>
      <c r="Y311" s="25" t="str">
        <f aca="false">IF(AT311="","",0)</f>
        <v/>
      </c>
      <c r="Z311" s="25" t="str">
        <f aca="false">IF(AT311="","",ROUNDDOWN(SUMIF(入力シート!$Q$5:$Q$204,INDEX(入力シート!$Q$5:$Q$204,AT311),入力シート!$P$5:$P$204)*IF(INDEX(入力シート!$L$5:$L$204,AT311)=13,0.1,IF(INDEX(入力シート!$L$5:$L$204,AT311)=30,0.08,0)),0))</f>
        <v/>
      </c>
      <c r="AA311" s="25" t="str">
        <f aca="false">IF(AT311="","","")</f>
        <v/>
      </c>
      <c r="AB311" s="25" t="str">
        <f aca="false">IF(AT311="","",0)</f>
        <v/>
      </c>
      <c r="AC311" s="25" t="str">
        <f aca="false">IF(AT311="","",0)</f>
        <v/>
      </c>
      <c r="AD311" s="25" t="str">
        <f aca="false">IF(AT311="","",0)</f>
        <v/>
      </c>
      <c r="AE311" s="25" t="str">
        <f aca="false">IF(AT311="","","")</f>
        <v/>
      </c>
      <c r="AF311" s="25" t="str">
        <f aca="false">IF(AT311="","",0)</f>
        <v/>
      </c>
      <c r="AG311" s="25" t="str">
        <f aca="false">IF(AT311="","",0)</f>
        <v/>
      </c>
      <c r="AH311" s="25" t="str">
        <f aca="false">IF(AT311="","","")</f>
        <v/>
      </c>
      <c r="AI311" s="25" t="str">
        <f aca="false">IF(AT311="","","")</f>
        <v/>
      </c>
      <c r="AJ311" s="25" t="str">
        <f aca="false">IF(AT311="","","")</f>
        <v/>
      </c>
      <c r="AK311" s="25" t="str">
        <f aca="false">IF(AT311="","",2)</f>
        <v/>
      </c>
      <c r="AL311" s="25" t="str">
        <f aca="false">IF(AT311="","","")</f>
        <v/>
      </c>
      <c r="AM311" s="25" t="str">
        <f aca="false">IF(AT311="","","")</f>
        <v/>
      </c>
      <c r="AN311" s="25" t="str">
        <f aca="false">IF(AT311="","",INDEX(入力シート!$C$5:$C$204,AT311))</f>
        <v/>
      </c>
      <c r="AO311" s="25" t="str">
        <f aca="false">IF(AT311="","","")</f>
        <v/>
      </c>
      <c r="AP311" s="25" t="str">
        <f aca="false">IF(AT311="","","")</f>
        <v/>
      </c>
      <c r="AQ311" s="25" t="str">
        <f aca="false">IF(AT311="","","")</f>
        <v/>
      </c>
      <c r="AT311" s="27" t="str">
        <f aca="false">IFERROR(MATCH(111,入力シート!$T$5:$T$204,0),"")</f>
        <v/>
      </c>
    </row>
    <row r="312" customFormat="false" ht="15" hidden="false" customHeight="true" outlineLevel="0" collapsed="false">
      <c r="A312" s="25" t="str">
        <f aca="false">IF(AT312="","",1)</f>
        <v/>
      </c>
      <c r="B312" s="25" t="str">
        <f aca="false">IF(AT312="","",1)</f>
        <v/>
      </c>
      <c r="C312" s="25" t="str">
        <f aca="false">IF(AT312="","",0)</f>
        <v/>
      </c>
      <c r="D312" s="25" t="str">
        <f aca="false">IF(AT312="","",TEXT(INDEX(入力シート!$A$5:$A$204,AT312),"YYYYMMDD"))</f>
        <v/>
      </c>
      <c r="E312" s="25" t="str">
        <f aca="false">IF(AT312="","",TEXT(INDEX(入力シート!$Q$5:$Q$204,AT312),"00000000"))</f>
        <v/>
      </c>
      <c r="F312" s="25" t="str">
        <f aca="false">IF(AT312="","",14)</f>
        <v/>
      </c>
      <c r="G312" s="25" t="str">
        <f aca="false">IF(AT312="","",1)</f>
        <v/>
      </c>
      <c r="H312" s="25" t="str">
        <f aca="false">IF(AT312="","",1)</f>
        <v/>
      </c>
      <c r="I312" s="25" t="str">
        <f aca="false">IF(AT312="","",3)</f>
        <v/>
      </c>
      <c r="J312" s="25" t="str">
        <f aca="false">IF(AT312="","",1)</f>
        <v/>
      </c>
      <c r="K312" s="25" t="str">
        <f aca="false">IF(AT312="","",INDEX(入力シート!$B$5:$B$204,AT312))</f>
        <v/>
      </c>
      <c r="L312" s="25" t="str">
        <f aca="false">IF(AT312="","","")</f>
        <v/>
      </c>
      <c r="M312" s="25" t="str">
        <f aca="false">IF(AT312="","","")</f>
        <v/>
      </c>
      <c r="N312" s="25" t="str">
        <f aca="false">IF(AT312="","",COUNTIF(入力シート!$Q$5:$Q$204,INDEX(入力シート!$Q$5:$Q$204,AT312))+1)</f>
        <v/>
      </c>
      <c r="O312" s="25" t="str">
        <f aca="false">IF(AT312="","",99)</f>
        <v/>
      </c>
      <c r="P312" s="25" t="str">
        <f aca="false">IF(AT312="","","")</f>
        <v/>
      </c>
      <c r="Q312" s="25" t="str">
        <f aca="false">IF(AT312="","","")</f>
        <v/>
      </c>
      <c r="R312" s="25" t="str">
        <f aca="false">IF(AT312="","","消費税")</f>
        <v/>
      </c>
      <c r="S312" s="25" t="str">
        <f aca="false">IF(AT312="","",0)</f>
        <v/>
      </c>
      <c r="T312" s="25" t="str">
        <f aca="false">IF(AT312="","","")</f>
        <v/>
      </c>
      <c r="U312" s="25" t="str">
        <f aca="false">IF(AT312="","",0)</f>
        <v/>
      </c>
      <c r="V312" s="25" t="str">
        <f aca="false">IF(AT312="","",0)</f>
        <v/>
      </c>
      <c r="W312" s="25" t="str">
        <f aca="false">IF(AT312="","","")</f>
        <v/>
      </c>
      <c r="X312" s="25" t="str">
        <f aca="false">IF(AT312="","",0)</f>
        <v/>
      </c>
      <c r="Y312" s="25" t="str">
        <f aca="false">IF(AT312="","",0)</f>
        <v/>
      </c>
      <c r="Z312" s="25" t="str">
        <f aca="false">IF(AT312="","",ROUNDDOWN(SUMIF(入力シート!$Q$5:$Q$204,INDEX(入力シート!$Q$5:$Q$204,AT312),入力シート!$P$5:$P$204)*IF(INDEX(入力シート!$L$5:$L$204,AT312)=13,0.1,IF(INDEX(入力シート!$L$5:$L$204,AT312)=30,0.08,0)),0))</f>
        <v/>
      </c>
      <c r="AA312" s="25" t="str">
        <f aca="false">IF(AT312="","","")</f>
        <v/>
      </c>
      <c r="AB312" s="25" t="str">
        <f aca="false">IF(AT312="","",0)</f>
        <v/>
      </c>
      <c r="AC312" s="25" t="str">
        <f aca="false">IF(AT312="","",0)</f>
        <v/>
      </c>
      <c r="AD312" s="25" t="str">
        <f aca="false">IF(AT312="","",0)</f>
        <v/>
      </c>
      <c r="AE312" s="25" t="str">
        <f aca="false">IF(AT312="","","")</f>
        <v/>
      </c>
      <c r="AF312" s="25" t="str">
        <f aca="false">IF(AT312="","",0)</f>
        <v/>
      </c>
      <c r="AG312" s="25" t="str">
        <f aca="false">IF(AT312="","",0)</f>
        <v/>
      </c>
      <c r="AH312" s="25" t="str">
        <f aca="false">IF(AT312="","","")</f>
        <v/>
      </c>
      <c r="AI312" s="25" t="str">
        <f aca="false">IF(AT312="","","")</f>
        <v/>
      </c>
      <c r="AJ312" s="25" t="str">
        <f aca="false">IF(AT312="","","")</f>
        <v/>
      </c>
      <c r="AK312" s="25" t="str">
        <f aca="false">IF(AT312="","",2)</f>
        <v/>
      </c>
      <c r="AL312" s="25" t="str">
        <f aca="false">IF(AT312="","","")</f>
        <v/>
      </c>
      <c r="AM312" s="25" t="str">
        <f aca="false">IF(AT312="","","")</f>
        <v/>
      </c>
      <c r="AN312" s="25" t="str">
        <f aca="false">IF(AT312="","",INDEX(入力シート!$C$5:$C$204,AT312))</f>
        <v/>
      </c>
      <c r="AO312" s="25" t="str">
        <f aca="false">IF(AT312="","","")</f>
        <v/>
      </c>
      <c r="AP312" s="25" t="str">
        <f aca="false">IF(AT312="","","")</f>
        <v/>
      </c>
      <c r="AQ312" s="25" t="str">
        <f aca="false">IF(AT312="","","")</f>
        <v/>
      </c>
      <c r="AT312" s="27" t="str">
        <f aca="false">IFERROR(MATCH(112,入力シート!$T$5:$T$204,0),"")</f>
        <v/>
      </c>
    </row>
    <row r="313" customFormat="false" ht="15" hidden="false" customHeight="true" outlineLevel="0" collapsed="false">
      <c r="A313" s="25" t="str">
        <f aca="false">IF(AT313="","",1)</f>
        <v/>
      </c>
      <c r="B313" s="25" t="str">
        <f aca="false">IF(AT313="","",1)</f>
        <v/>
      </c>
      <c r="C313" s="25" t="str">
        <f aca="false">IF(AT313="","",0)</f>
        <v/>
      </c>
      <c r="D313" s="25" t="str">
        <f aca="false">IF(AT313="","",TEXT(INDEX(入力シート!$A$5:$A$204,AT313),"YYYYMMDD"))</f>
        <v/>
      </c>
      <c r="E313" s="25" t="str">
        <f aca="false">IF(AT313="","",TEXT(INDEX(入力シート!$Q$5:$Q$204,AT313),"00000000"))</f>
        <v/>
      </c>
      <c r="F313" s="25" t="str">
        <f aca="false">IF(AT313="","",14)</f>
        <v/>
      </c>
      <c r="G313" s="25" t="str">
        <f aca="false">IF(AT313="","",1)</f>
        <v/>
      </c>
      <c r="H313" s="25" t="str">
        <f aca="false">IF(AT313="","",1)</f>
        <v/>
      </c>
      <c r="I313" s="25" t="str">
        <f aca="false">IF(AT313="","",3)</f>
        <v/>
      </c>
      <c r="J313" s="25" t="str">
        <f aca="false">IF(AT313="","",1)</f>
        <v/>
      </c>
      <c r="K313" s="25" t="str">
        <f aca="false">IF(AT313="","",INDEX(入力シート!$B$5:$B$204,AT313))</f>
        <v/>
      </c>
      <c r="L313" s="25" t="str">
        <f aca="false">IF(AT313="","","")</f>
        <v/>
      </c>
      <c r="M313" s="25" t="str">
        <f aca="false">IF(AT313="","","")</f>
        <v/>
      </c>
      <c r="N313" s="25" t="str">
        <f aca="false">IF(AT313="","",COUNTIF(入力シート!$Q$5:$Q$204,INDEX(入力シート!$Q$5:$Q$204,AT313))+1)</f>
        <v/>
      </c>
      <c r="O313" s="25" t="str">
        <f aca="false">IF(AT313="","",99)</f>
        <v/>
      </c>
      <c r="P313" s="25" t="str">
        <f aca="false">IF(AT313="","","")</f>
        <v/>
      </c>
      <c r="Q313" s="25" t="str">
        <f aca="false">IF(AT313="","","")</f>
        <v/>
      </c>
      <c r="R313" s="25" t="str">
        <f aca="false">IF(AT313="","","消費税")</f>
        <v/>
      </c>
      <c r="S313" s="25" t="str">
        <f aca="false">IF(AT313="","",0)</f>
        <v/>
      </c>
      <c r="T313" s="25" t="str">
        <f aca="false">IF(AT313="","","")</f>
        <v/>
      </c>
      <c r="U313" s="25" t="str">
        <f aca="false">IF(AT313="","",0)</f>
        <v/>
      </c>
      <c r="V313" s="25" t="str">
        <f aca="false">IF(AT313="","",0)</f>
        <v/>
      </c>
      <c r="W313" s="25" t="str">
        <f aca="false">IF(AT313="","","")</f>
        <v/>
      </c>
      <c r="X313" s="25" t="str">
        <f aca="false">IF(AT313="","",0)</f>
        <v/>
      </c>
      <c r="Y313" s="25" t="str">
        <f aca="false">IF(AT313="","",0)</f>
        <v/>
      </c>
      <c r="Z313" s="25" t="str">
        <f aca="false">IF(AT313="","",ROUNDDOWN(SUMIF(入力シート!$Q$5:$Q$204,INDEX(入力シート!$Q$5:$Q$204,AT313),入力シート!$P$5:$P$204)*IF(INDEX(入力シート!$L$5:$L$204,AT313)=13,0.1,IF(INDEX(入力シート!$L$5:$L$204,AT313)=30,0.08,0)),0))</f>
        <v/>
      </c>
      <c r="AA313" s="25" t="str">
        <f aca="false">IF(AT313="","","")</f>
        <v/>
      </c>
      <c r="AB313" s="25" t="str">
        <f aca="false">IF(AT313="","",0)</f>
        <v/>
      </c>
      <c r="AC313" s="25" t="str">
        <f aca="false">IF(AT313="","",0)</f>
        <v/>
      </c>
      <c r="AD313" s="25" t="str">
        <f aca="false">IF(AT313="","",0)</f>
        <v/>
      </c>
      <c r="AE313" s="25" t="str">
        <f aca="false">IF(AT313="","","")</f>
        <v/>
      </c>
      <c r="AF313" s="25" t="str">
        <f aca="false">IF(AT313="","",0)</f>
        <v/>
      </c>
      <c r="AG313" s="25" t="str">
        <f aca="false">IF(AT313="","",0)</f>
        <v/>
      </c>
      <c r="AH313" s="25" t="str">
        <f aca="false">IF(AT313="","","")</f>
        <v/>
      </c>
      <c r="AI313" s="25" t="str">
        <f aca="false">IF(AT313="","","")</f>
        <v/>
      </c>
      <c r="AJ313" s="25" t="str">
        <f aca="false">IF(AT313="","","")</f>
        <v/>
      </c>
      <c r="AK313" s="25" t="str">
        <f aca="false">IF(AT313="","",2)</f>
        <v/>
      </c>
      <c r="AL313" s="25" t="str">
        <f aca="false">IF(AT313="","","")</f>
        <v/>
      </c>
      <c r="AM313" s="25" t="str">
        <f aca="false">IF(AT313="","","")</f>
        <v/>
      </c>
      <c r="AN313" s="25" t="str">
        <f aca="false">IF(AT313="","",INDEX(入力シート!$C$5:$C$204,AT313))</f>
        <v/>
      </c>
      <c r="AO313" s="25" t="str">
        <f aca="false">IF(AT313="","","")</f>
        <v/>
      </c>
      <c r="AP313" s="25" t="str">
        <f aca="false">IF(AT313="","","")</f>
        <v/>
      </c>
      <c r="AQ313" s="25" t="str">
        <f aca="false">IF(AT313="","","")</f>
        <v/>
      </c>
      <c r="AT313" s="27" t="str">
        <f aca="false">IFERROR(MATCH(113,入力シート!$T$5:$T$204,0),"")</f>
        <v/>
      </c>
    </row>
    <row r="314" customFormat="false" ht="15" hidden="false" customHeight="true" outlineLevel="0" collapsed="false">
      <c r="A314" s="25" t="str">
        <f aca="false">IF(AT314="","",1)</f>
        <v/>
      </c>
      <c r="B314" s="25" t="str">
        <f aca="false">IF(AT314="","",1)</f>
        <v/>
      </c>
      <c r="C314" s="25" t="str">
        <f aca="false">IF(AT314="","",0)</f>
        <v/>
      </c>
      <c r="D314" s="25" t="str">
        <f aca="false">IF(AT314="","",TEXT(INDEX(入力シート!$A$5:$A$204,AT314),"YYYYMMDD"))</f>
        <v/>
      </c>
      <c r="E314" s="25" t="str">
        <f aca="false">IF(AT314="","",TEXT(INDEX(入力シート!$Q$5:$Q$204,AT314),"00000000"))</f>
        <v/>
      </c>
      <c r="F314" s="25" t="str">
        <f aca="false">IF(AT314="","",14)</f>
        <v/>
      </c>
      <c r="G314" s="25" t="str">
        <f aca="false">IF(AT314="","",1)</f>
        <v/>
      </c>
      <c r="H314" s="25" t="str">
        <f aca="false">IF(AT314="","",1)</f>
        <v/>
      </c>
      <c r="I314" s="25" t="str">
        <f aca="false">IF(AT314="","",3)</f>
        <v/>
      </c>
      <c r="J314" s="25" t="str">
        <f aca="false">IF(AT314="","",1)</f>
        <v/>
      </c>
      <c r="K314" s="25" t="str">
        <f aca="false">IF(AT314="","",INDEX(入力シート!$B$5:$B$204,AT314))</f>
        <v/>
      </c>
      <c r="L314" s="25" t="str">
        <f aca="false">IF(AT314="","","")</f>
        <v/>
      </c>
      <c r="M314" s="25" t="str">
        <f aca="false">IF(AT314="","","")</f>
        <v/>
      </c>
      <c r="N314" s="25" t="str">
        <f aca="false">IF(AT314="","",COUNTIF(入力シート!$Q$5:$Q$204,INDEX(入力シート!$Q$5:$Q$204,AT314))+1)</f>
        <v/>
      </c>
      <c r="O314" s="25" t="str">
        <f aca="false">IF(AT314="","",99)</f>
        <v/>
      </c>
      <c r="P314" s="25" t="str">
        <f aca="false">IF(AT314="","","")</f>
        <v/>
      </c>
      <c r="Q314" s="25" t="str">
        <f aca="false">IF(AT314="","","")</f>
        <v/>
      </c>
      <c r="R314" s="25" t="str">
        <f aca="false">IF(AT314="","","消費税")</f>
        <v/>
      </c>
      <c r="S314" s="25" t="str">
        <f aca="false">IF(AT314="","",0)</f>
        <v/>
      </c>
      <c r="T314" s="25" t="str">
        <f aca="false">IF(AT314="","","")</f>
        <v/>
      </c>
      <c r="U314" s="25" t="str">
        <f aca="false">IF(AT314="","",0)</f>
        <v/>
      </c>
      <c r="V314" s="25" t="str">
        <f aca="false">IF(AT314="","",0)</f>
        <v/>
      </c>
      <c r="W314" s="25" t="str">
        <f aca="false">IF(AT314="","","")</f>
        <v/>
      </c>
      <c r="X314" s="25" t="str">
        <f aca="false">IF(AT314="","",0)</f>
        <v/>
      </c>
      <c r="Y314" s="25" t="str">
        <f aca="false">IF(AT314="","",0)</f>
        <v/>
      </c>
      <c r="Z314" s="25" t="str">
        <f aca="false">IF(AT314="","",ROUNDDOWN(SUMIF(入力シート!$Q$5:$Q$204,INDEX(入力シート!$Q$5:$Q$204,AT314),入力シート!$P$5:$P$204)*IF(INDEX(入力シート!$L$5:$L$204,AT314)=13,0.1,IF(INDEX(入力シート!$L$5:$L$204,AT314)=30,0.08,0)),0))</f>
        <v/>
      </c>
      <c r="AA314" s="25" t="str">
        <f aca="false">IF(AT314="","","")</f>
        <v/>
      </c>
      <c r="AB314" s="25" t="str">
        <f aca="false">IF(AT314="","",0)</f>
        <v/>
      </c>
      <c r="AC314" s="25" t="str">
        <f aca="false">IF(AT314="","",0)</f>
        <v/>
      </c>
      <c r="AD314" s="25" t="str">
        <f aca="false">IF(AT314="","",0)</f>
        <v/>
      </c>
      <c r="AE314" s="25" t="str">
        <f aca="false">IF(AT314="","","")</f>
        <v/>
      </c>
      <c r="AF314" s="25" t="str">
        <f aca="false">IF(AT314="","",0)</f>
        <v/>
      </c>
      <c r="AG314" s="25" t="str">
        <f aca="false">IF(AT314="","",0)</f>
        <v/>
      </c>
      <c r="AH314" s="25" t="str">
        <f aca="false">IF(AT314="","","")</f>
        <v/>
      </c>
      <c r="AI314" s="25" t="str">
        <f aca="false">IF(AT314="","","")</f>
        <v/>
      </c>
      <c r="AJ314" s="25" t="str">
        <f aca="false">IF(AT314="","","")</f>
        <v/>
      </c>
      <c r="AK314" s="25" t="str">
        <f aca="false">IF(AT314="","",2)</f>
        <v/>
      </c>
      <c r="AL314" s="25" t="str">
        <f aca="false">IF(AT314="","","")</f>
        <v/>
      </c>
      <c r="AM314" s="25" t="str">
        <f aca="false">IF(AT314="","","")</f>
        <v/>
      </c>
      <c r="AN314" s="25" t="str">
        <f aca="false">IF(AT314="","",INDEX(入力シート!$C$5:$C$204,AT314))</f>
        <v/>
      </c>
      <c r="AO314" s="25" t="str">
        <f aca="false">IF(AT314="","","")</f>
        <v/>
      </c>
      <c r="AP314" s="25" t="str">
        <f aca="false">IF(AT314="","","")</f>
        <v/>
      </c>
      <c r="AQ314" s="25" t="str">
        <f aca="false">IF(AT314="","","")</f>
        <v/>
      </c>
      <c r="AT314" s="27" t="str">
        <f aca="false">IFERROR(MATCH(114,入力シート!$T$5:$T$204,0),"")</f>
        <v/>
      </c>
    </row>
    <row r="315" customFormat="false" ht="15" hidden="false" customHeight="true" outlineLevel="0" collapsed="false">
      <c r="A315" s="25" t="str">
        <f aca="false">IF(AT315="","",1)</f>
        <v/>
      </c>
      <c r="B315" s="25" t="str">
        <f aca="false">IF(AT315="","",1)</f>
        <v/>
      </c>
      <c r="C315" s="25" t="str">
        <f aca="false">IF(AT315="","",0)</f>
        <v/>
      </c>
      <c r="D315" s="25" t="str">
        <f aca="false">IF(AT315="","",TEXT(INDEX(入力シート!$A$5:$A$204,AT315),"YYYYMMDD"))</f>
        <v/>
      </c>
      <c r="E315" s="25" t="str">
        <f aca="false">IF(AT315="","",TEXT(INDEX(入力シート!$Q$5:$Q$204,AT315),"00000000"))</f>
        <v/>
      </c>
      <c r="F315" s="25" t="str">
        <f aca="false">IF(AT315="","",14)</f>
        <v/>
      </c>
      <c r="G315" s="25" t="str">
        <f aca="false">IF(AT315="","",1)</f>
        <v/>
      </c>
      <c r="H315" s="25" t="str">
        <f aca="false">IF(AT315="","",1)</f>
        <v/>
      </c>
      <c r="I315" s="25" t="str">
        <f aca="false">IF(AT315="","",3)</f>
        <v/>
      </c>
      <c r="J315" s="25" t="str">
        <f aca="false">IF(AT315="","",1)</f>
        <v/>
      </c>
      <c r="K315" s="25" t="str">
        <f aca="false">IF(AT315="","",INDEX(入力シート!$B$5:$B$204,AT315))</f>
        <v/>
      </c>
      <c r="L315" s="25" t="str">
        <f aca="false">IF(AT315="","","")</f>
        <v/>
      </c>
      <c r="M315" s="25" t="str">
        <f aca="false">IF(AT315="","","")</f>
        <v/>
      </c>
      <c r="N315" s="25" t="str">
        <f aca="false">IF(AT315="","",COUNTIF(入力シート!$Q$5:$Q$204,INDEX(入力シート!$Q$5:$Q$204,AT315))+1)</f>
        <v/>
      </c>
      <c r="O315" s="25" t="str">
        <f aca="false">IF(AT315="","",99)</f>
        <v/>
      </c>
      <c r="P315" s="25" t="str">
        <f aca="false">IF(AT315="","","")</f>
        <v/>
      </c>
      <c r="Q315" s="25" t="str">
        <f aca="false">IF(AT315="","","")</f>
        <v/>
      </c>
      <c r="R315" s="25" t="str">
        <f aca="false">IF(AT315="","","消費税")</f>
        <v/>
      </c>
      <c r="S315" s="25" t="str">
        <f aca="false">IF(AT315="","",0)</f>
        <v/>
      </c>
      <c r="T315" s="25" t="str">
        <f aca="false">IF(AT315="","","")</f>
        <v/>
      </c>
      <c r="U315" s="25" t="str">
        <f aca="false">IF(AT315="","",0)</f>
        <v/>
      </c>
      <c r="V315" s="25" t="str">
        <f aca="false">IF(AT315="","",0)</f>
        <v/>
      </c>
      <c r="W315" s="25" t="str">
        <f aca="false">IF(AT315="","","")</f>
        <v/>
      </c>
      <c r="X315" s="25" t="str">
        <f aca="false">IF(AT315="","",0)</f>
        <v/>
      </c>
      <c r="Y315" s="25" t="str">
        <f aca="false">IF(AT315="","",0)</f>
        <v/>
      </c>
      <c r="Z315" s="25" t="str">
        <f aca="false">IF(AT315="","",ROUNDDOWN(SUMIF(入力シート!$Q$5:$Q$204,INDEX(入力シート!$Q$5:$Q$204,AT315),入力シート!$P$5:$P$204)*IF(INDEX(入力シート!$L$5:$L$204,AT315)=13,0.1,IF(INDEX(入力シート!$L$5:$L$204,AT315)=30,0.08,0)),0))</f>
        <v/>
      </c>
      <c r="AA315" s="25" t="str">
        <f aca="false">IF(AT315="","","")</f>
        <v/>
      </c>
      <c r="AB315" s="25" t="str">
        <f aca="false">IF(AT315="","",0)</f>
        <v/>
      </c>
      <c r="AC315" s="25" t="str">
        <f aca="false">IF(AT315="","",0)</f>
        <v/>
      </c>
      <c r="AD315" s="25" t="str">
        <f aca="false">IF(AT315="","",0)</f>
        <v/>
      </c>
      <c r="AE315" s="25" t="str">
        <f aca="false">IF(AT315="","","")</f>
        <v/>
      </c>
      <c r="AF315" s="25" t="str">
        <f aca="false">IF(AT315="","",0)</f>
        <v/>
      </c>
      <c r="AG315" s="25" t="str">
        <f aca="false">IF(AT315="","",0)</f>
        <v/>
      </c>
      <c r="AH315" s="25" t="str">
        <f aca="false">IF(AT315="","","")</f>
        <v/>
      </c>
      <c r="AI315" s="25" t="str">
        <f aca="false">IF(AT315="","","")</f>
        <v/>
      </c>
      <c r="AJ315" s="25" t="str">
        <f aca="false">IF(AT315="","","")</f>
        <v/>
      </c>
      <c r="AK315" s="25" t="str">
        <f aca="false">IF(AT315="","",2)</f>
        <v/>
      </c>
      <c r="AL315" s="25" t="str">
        <f aca="false">IF(AT315="","","")</f>
        <v/>
      </c>
      <c r="AM315" s="25" t="str">
        <f aca="false">IF(AT315="","","")</f>
        <v/>
      </c>
      <c r="AN315" s="25" t="str">
        <f aca="false">IF(AT315="","",INDEX(入力シート!$C$5:$C$204,AT315))</f>
        <v/>
      </c>
      <c r="AO315" s="25" t="str">
        <f aca="false">IF(AT315="","","")</f>
        <v/>
      </c>
      <c r="AP315" s="25" t="str">
        <f aca="false">IF(AT315="","","")</f>
        <v/>
      </c>
      <c r="AQ315" s="25" t="str">
        <f aca="false">IF(AT315="","","")</f>
        <v/>
      </c>
      <c r="AT315" s="27" t="str">
        <f aca="false">IFERROR(MATCH(115,入力シート!$T$5:$T$204,0),"")</f>
        <v/>
      </c>
    </row>
    <row r="316" customFormat="false" ht="15" hidden="false" customHeight="true" outlineLevel="0" collapsed="false">
      <c r="A316" s="25" t="str">
        <f aca="false">IF(AT316="","",1)</f>
        <v/>
      </c>
      <c r="B316" s="25" t="str">
        <f aca="false">IF(AT316="","",1)</f>
        <v/>
      </c>
      <c r="C316" s="25" t="str">
        <f aca="false">IF(AT316="","",0)</f>
        <v/>
      </c>
      <c r="D316" s="25" t="str">
        <f aca="false">IF(AT316="","",TEXT(INDEX(入力シート!$A$5:$A$204,AT316),"YYYYMMDD"))</f>
        <v/>
      </c>
      <c r="E316" s="25" t="str">
        <f aca="false">IF(AT316="","",TEXT(INDEX(入力シート!$Q$5:$Q$204,AT316),"00000000"))</f>
        <v/>
      </c>
      <c r="F316" s="25" t="str">
        <f aca="false">IF(AT316="","",14)</f>
        <v/>
      </c>
      <c r="G316" s="25" t="str">
        <f aca="false">IF(AT316="","",1)</f>
        <v/>
      </c>
      <c r="H316" s="25" t="str">
        <f aca="false">IF(AT316="","",1)</f>
        <v/>
      </c>
      <c r="I316" s="25" t="str">
        <f aca="false">IF(AT316="","",3)</f>
        <v/>
      </c>
      <c r="J316" s="25" t="str">
        <f aca="false">IF(AT316="","",1)</f>
        <v/>
      </c>
      <c r="K316" s="25" t="str">
        <f aca="false">IF(AT316="","",INDEX(入力シート!$B$5:$B$204,AT316))</f>
        <v/>
      </c>
      <c r="L316" s="25" t="str">
        <f aca="false">IF(AT316="","","")</f>
        <v/>
      </c>
      <c r="M316" s="25" t="str">
        <f aca="false">IF(AT316="","","")</f>
        <v/>
      </c>
      <c r="N316" s="25" t="str">
        <f aca="false">IF(AT316="","",COUNTIF(入力シート!$Q$5:$Q$204,INDEX(入力シート!$Q$5:$Q$204,AT316))+1)</f>
        <v/>
      </c>
      <c r="O316" s="25" t="str">
        <f aca="false">IF(AT316="","",99)</f>
        <v/>
      </c>
      <c r="P316" s="25" t="str">
        <f aca="false">IF(AT316="","","")</f>
        <v/>
      </c>
      <c r="Q316" s="25" t="str">
        <f aca="false">IF(AT316="","","")</f>
        <v/>
      </c>
      <c r="R316" s="25" t="str">
        <f aca="false">IF(AT316="","","消費税")</f>
        <v/>
      </c>
      <c r="S316" s="25" t="str">
        <f aca="false">IF(AT316="","",0)</f>
        <v/>
      </c>
      <c r="T316" s="25" t="str">
        <f aca="false">IF(AT316="","","")</f>
        <v/>
      </c>
      <c r="U316" s="25" t="str">
        <f aca="false">IF(AT316="","",0)</f>
        <v/>
      </c>
      <c r="V316" s="25" t="str">
        <f aca="false">IF(AT316="","",0)</f>
        <v/>
      </c>
      <c r="W316" s="25" t="str">
        <f aca="false">IF(AT316="","","")</f>
        <v/>
      </c>
      <c r="X316" s="25" t="str">
        <f aca="false">IF(AT316="","",0)</f>
        <v/>
      </c>
      <c r="Y316" s="25" t="str">
        <f aca="false">IF(AT316="","",0)</f>
        <v/>
      </c>
      <c r="Z316" s="25" t="str">
        <f aca="false">IF(AT316="","",ROUNDDOWN(SUMIF(入力シート!$Q$5:$Q$204,INDEX(入力シート!$Q$5:$Q$204,AT316),入力シート!$P$5:$P$204)*IF(INDEX(入力シート!$L$5:$L$204,AT316)=13,0.1,IF(INDEX(入力シート!$L$5:$L$204,AT316)=30,0.08,0)),0))</f>
        <v/>
      </c>
      <c r="AA316" s="25" t="str">
        <f aca="false">IF(AT316="","","")</f>
        <v/>
      </c>
      <c r="AB316" s="25" t="str">
        <f aca="false">IF(AT316="","",0)</f>
        <v/>
      </c>
      <c r="AC316" s="25" t="str">
        <f aca="false">IF(AT316="","",0)</f>
        <v/>
      </c>
      <c r="AD316" s="25" t="str">
        <f aca="false">IF(AT316="","",0)</f>
        <v/>
      </c>
      <c r="AE316" s="25" t="str">
        <f aca="false">IF(AT316="","","")</f>
        <v/>
      </c>
      <c r="AF316" s="25" t="str">
        <f aca="false">IF(AT316="","",0)</f>
        <v/>
      </c>
      <c r="AG316" s="25" t="str">
        <f aca="false">IF(AT316="","",0)</f>
        <v/>
      </c>
      <c r="AH316" s="25" t="str">
        <f aca="false">IF(AT316="","","")</f>
        <v/>
      </c>
      <c r="AI316" s="25" t="str">
        <f aca="false">IF(AT316="","","")</f>
        <v/>
      </c>
      <c r="AJ316" s="25" t="str">
        <f aca="false">IF(AT316="","","")</f>
        <v/>
      </c>
      <c r="AK316" s="25" t="str">
        <f aca="false">IF(AT316="","",2)</f>
        <v/>
      </c>
      <c r="AL316" s="25" t="str">
        <f aca="false">IF(AT316="","","")</f>
        <v/>
      </c>
      <c r="AM316" s="25" t="str">
        <f aca="false">IF(AT316="","","")</f>
        <v/>
      </c>
      <c r="AN316" s="25" t="str">
        <f aca="false">IF(AT316="","",INDEX(入力シート!$C$5:$C$204,AT316))</f>
        <v/>
      </c>
      <c r="AO316" s="25" t="str">
        <f aca="false">IF(AT316="","","")</f>
        <v/>
      </c>
      <c r="AP316" s="25" t="str">
        <f aca="false">IF(AT316="","","")</f>
        <v/>
      </c>
      <c r="AQ316" s="25" t="str">
        <f aca="false">IF(AT316="","","")</f>
        <v/>
      </c>
      <c r="AT316" s="27" t="str">
        <f aca="false">IFERROR(MATCH(116,入力シート!$T$5:$T$204,0),"")</f>
        <v/>
      </c>
    </row>
    <row r="317" customFormat="false" ht="15" hidden="false" customHeight="true" outlineLevel="0" collapsed="false">
      <c r="A317" s="25" t="str">
        <f aca="false">IF(AT317="","",1)</f>
        <v/>
      </c>
      <c r="B317" s="25" t="str">
        <f aca="false">IF(AT317="","",1)</f>
        <v/>
      </c>
      <c r="C317" s="25" t="str">
        <f aca="false">IF(AT317="","",0)</f>
        <v/>
      </c>
      <c r="D317" s="25" t="str">
        <f aca="false">IF(AT317="","",TEXT(INDEX(入力シート!$A$5:$A$204,AT317),"YYYYMMDD"))</f>
        <v/>
      </c>
      <c r="E317" s="25" t="str">
        <f aca="false">IF(AT317="","",TEXT(INDEX(入力シート!$Q$5:$Q$204,AT317),"00000000"))</f>
        <v/>
      </c>
      <c r="F317" s="25" t="str">
        <f aca="false">IF(AT317="","",14)</f>
        <v/>
      </c>
      <c r="G317" s="25" t="str">
        <f aca="false">IF(AT317="","",1)</f>
        <v/>
      </c>
      <c r="H317" s="25" t="str">
        <f aca="false">IF(AT317="","",1)</f>
        <v/>
      </c>
      <c r="I317" s="25" t="str">
        <f aca="false">IF(AT317="","",3)</f>
        <v/>
      </c>
      <c r="J317" s="25" t="str">
        <f aca="false">IF(AT317="","",1)</f>
        <v/>
      </c>
      <c r="K317" s="25" t="str">
        <f aca="false">IF(AT317="","",INDEX(入力シート!$B$5:$B$204,AT317))</f>
        <v/>
      </c>
      <c r="L317" s="25" t="str">
        <f aca="false">IF(AT317="","","")</f>
        <v/>
      </c>
      <c r="M317" s="25" t="str">
        <f aca="false">IF(AT317="","","")</f>
        <v/>
      </c>
      <c r="N317" s="25" t="str">
        <f aca="false">IF(AT317="","",COUNTIF(入力シート!$Q$5:$Q$204,INDEX(入力シート!$Q$5:$Q$204,AT317))+1)</f>
        <v/>
      </c>
      <c r="O317" s="25" t="str">
        <f aca="false">IF(AT317="","",99)</f>
        <v/>
      </c>
      <c r="P317" s="25" t="str">
        <f aca="false">IF(AT317="","","")</f>
        <v/>
      </c>
      <c r="Q317" s="25" t="str">
        <f aca="false">IF(AT317="","","")</f>
        <v/>
      </c>
      <c r="R317" s="25" t="str">
        <f aca="false">IF(AT317="","","消費税")</f>
        <v/>
      </c>
      <c r="S317" s="25" t="str">
        <f aca="false">IF(AT317="","",0)</f>
        <v/>
      </c>
      <c r="T317" s="25" t="str">
        <f aca="false">IF(AT317="","","")</f>
        <v/>
      </c>
      <c r="U317" s="25" t="str">
        <f aca="false">IF(AT317="","",0)</f>
        <v/>
      </c>
      <c r="V317" s="25" t="str">
        <f aca="false">IF(AT317="","",0)</f>
        <v/>
      </c>
      <c r="W317" s="25" t="str">
        <f aca="false">IF(AT317="","","")</f>
        <v/>
      </c>
      <c r="X317" s="25" t="str">
        <f aca="false">IF(AT317="","",0)</f>
        <v/>
      </c>
      <c r="Y317" s="25" t="str">
        <f aca="false">IF(AT317="","",0)</f>
        <v/>
      </c>
      <c r="Z317" s="25" t="str">
        <f aca="false">IF(AT317="","",ROUNDDOWN(SUMIF(入力シート!$Q$5:$Q$204,INDEX(入力シート!$Q$5:$Q$204,AT317),入力シート!$P$5:$P$204)*IF(INDEX(入力シート!$L$5:$L$204,AT317)=13,0.1,IF(INDEX(入力シート!$L$5:$L$204,AT317)=30,0.08,0)),0))</f>
        <v/>
      </c>
      <c r="AA317" s="25" t="str">
        <f aca="false">IF(AT317="","","")</f>
        <v/>
      </c>
      <c r="AB317" s="25" t="str">
        <f aca="false">IF(AT317="","",0)</f>
        <v/>
      </c>
      <c r="AC317" s="25" t="str">
        <f aca="false">IF(AT317="","",0)</f>
        <v/>
      </c>
      <c r="AD317" s="25" t="str">
        <f aca="false">IF(AT317="","",0)</f>
        <v/>
      </c>
      <c r="AE317" s="25" t="str">
        <f aca="false">IF(AT317="","","")</f>
        <v/>
      </c>
      <c r="AF317" s="25" t="str">
        <f aca="false">IF(AT317="","",0)</f>
        <v/>
      </c>
      <c r="AG317" s="25" t="str">
        <f aca="false">IF(AT317="","",0)</f>
        <v/>
      </c>
      <c r="AH317" s="25" t="str">
        <f aca="false">IF(AT317="","","")</f>
        <v/>
      </c>
      <c r="AI317" s="25" t="str">
        <f aca="false">IF(AT317="","","")</f>
        <v/>
      </c>
      <c r="AJ317" s="25" t="str">
        <f aca="false">IF(AT317="","","")</f>
        <v/>
      </c>
      <c r="AK317" s="25" t="str">
        <f aca="false">IF(AT317="","",2)</f>
        <v/>
      </c>
      <c r="AL317" s="25" t="str">
        <f aca="false">IF(AT317="","","")</f>
        <v/>
      </c>
      <c r="AM317" s="25" t="str">
        <f aca="false">IF(AT317="","","")</f>
        <v/>
      </c>
      <c r="AN317" s="25" t="str">
        <f aca="false">IF(AT317="","",INDEX(入力シート!$C$5:$C$204,AT317))</f>
        <v/>
      </c>
      <c r="AO317" s="25" t="str">
        <f aca="false">IF(AT317="","","")</f>
        <v/>
      </c>
      <c r="AP317" s="25" t="str">
        <f aca="false">IF(AT317="","","")</f>
        <v/>
      </c>
      <c r="AQ317" s="25" t="str">
        <f aca="false">IF(AT317="","","")</f>
        <v/>
      </c>
      <c r="AT317" s="27" t="str">
        <f aca="false">IFERROR(MATCH(117,入力シート!$T$5:$T$204,0),"")</f>
        <v/>
      </c>
    </row>
    <row r="318" customFormat="false" ht="15" hidden="false" customHeight="true" outlineLevel="0" collapsed="false">
      <c r="A318" s="25" t="str">
        <f aca="false">IF(AT318="","",1)</f>
        <v/>
      </c>
      <c r="B318" s="25" t="str">
        <f aca="false">IF(AT318="","",1)</f>
        <v/>
      </c>
      <c r="C318" s="25" t="str">
        <f aca="false">IF(AT318="","",0)</f>
        <v/>
      </c>
      <c r="D318" s="25" t="str">
        <f aca="false">IF(AT318="","",TEXT(INDEX(入力シート!$A$5:$A$204,AT318),"YYYYMMDD"))</f>
        <v/>
      </c>
      <c r="E318" s="25" t="str">
        <f aca="false">IF(AT318="","",TEXT(INDEX(入力シート!$Q$5:$Q$204,AT318),"00000000"))</f>
        <v/>
      </c>
      <c r="F318" s="25" t="str">
        <f aca="false">IF(AT318="","",14)</f>
        <v/>
      </c>
      <c r="G318" s="25" t="str">
        <f aca="false">IF(AT318="","",1)</f>
        <v/>
      </c>
      <c r="H318" s="25" t="str">
        <f aca="false">IF(AT318="","",1)</f>
        <v/>
      </c>
      <c r="I318" s="25" t="str">
        <f aca="false">IF(AT318="","",3)</f>
        <v/>
      </c>
      <c r="J318" s="25" t="str">
        <f aca="false">IF(AT318="","",1)</f>
        <v/>
      </c>
      <c r="K318" s="25" t="str">
        <f aca="false">IF(AT318="","",INDEX(入力シート!$B$5:$B$204,AT318))</f>
        <v/>
      </c>
      <c r="L318" s="25" t="str">
        <f aca="false">IF(AT318="","","")</f>
        <v/>
      </c>
      <c r="M318" s="25" t="str">
        <f aca="false">IF(AT318="","","")</f>
        <v/>
      </c>
      <c r="N318" s="25" t="str">
        <f aca="false">IF(AT318="","",COUNTIF(入力シート!$Q$5:$Q$204,INDEX(入力シート!$Q$5:$Q$204,AT318))+1)</f>
        <v/>
      </c>
      <c r="O318" s="25" t="str">
        <f aca="false">IF(AT318="","",99)</f>
        <v/>
      </c>
      <c r="P318" s="25" t="str">
        <f aca="false">IF(AT318="","","")</f>
        <v/>
      </c>
      <c r="Q318" s="25" t="str">
        <f aca="false">IF(AT318="","","")</f>
        <v/>
      </c>
      <c r="R318" s="25" t="str">
        <f aca="false">IF(AT318="","","消費税")</f>
        <v/>
      </c>
      <c r="S318" s="25" t="str">
        <f aca="false">IF(AT318="","",0)</f>
        <v/>
      </c>
      <c r="T318" s="25" t="str">
        <f aca="false">IF(AT318="","","")</f>
        <v/>
      </c>
      <c r="U318" s="25" t="str">
        <f aca="false">IF(AT318="","",0)</f>
        <v/>
      </c>
      <c r="V318" s="25" t="str">
        <f aca="false">IF(AT318="","",0)</f>
        <v/>
      </c>
      <c r="W318" s="25" t="str">
        <f aca="false">IF(AT318="","","")</f>
        <v/>
      </c>
      <c r="X318" s="25" t="str">
        <f aca="false">IF(AT318="","",0)</f>
        <v/>
      </c>
      <c r="Y318" s="25" t="str">
        <f aca="false">IF(AT318="","",0)</f>
        <v/>
      </c>
      <c r="Z318" s="25" t="str">
        <f aca="false">IF(AT318="","",ROUNDDOWN(SUMIF(入力シート!$Q$5:$Q$204,INDEX(入力シート!$Q$5:$Q$204,AT318),入力シート!$P$5:$P$204)*IF(INDEX(入力シート!$L$5:$L$204,AT318)=13,0.1,IF(INDEX(入力シート!$L$5:$L$204,AT318)=30,0.08,0)),0))</f>
        <v/>
      </c>
      <c r="AA318" s="25" t="str">
        <f aca="false">IF(AT318="","","")</f>
        <v/>
      </c>
      <c r="AB318" s="25" t="str">
        <f aca="false">IF(AT318="","",0)</f>
        <v/>
      </c>
      <c r="AC318" s="25" t="str">
        <f aca="false">IF(AT318="","",0)</f>
        <v/>
      </c>
      <c r="AD318" s="25" t="str">
        <f aca="false">IF(AT318="","",0)</f>
        <v/>
      </c>
      <c r="AE318" s="25" t="str">
        <f aca="false">IF(AT318="","","")</f>
        <v/>
      </c>
      <c r="AF318" s="25" t="str">
        <f aca="false">IF(AT318="","",0)</f>
        <v/>
      </c>
      <c r="AG318" s="25" t="str">
        <f aca="false">IF(AT318="","",0)</f>
        <v/>
      </c>
      <c r="AH318" s="25" t="str">
        <f aca="false">IF(AT318="","","")</f>
        <v/>
      </c>
      <c r="AI318" s="25" t="str">
        <f aca="false">IF(AT318="","","")</f>
        <v/>
      </c>
      <c r="AJ318" s="25" t="str">
        <f aca="false">IF(AT318="","","")</f>
        <v/>
      </c>
      <c r="AK318" s="25" t="str">
        <f aca="false">IF(AT318="","",2)</f>
        <v/>
      </c>
      <c r="AL318" s="25" t="str">
        <f aca="false">IF(AT318="","","")</f>
        <v/>
      </c>
      <c r="AM318" s="25" t="str">
        <f aca="false">IF(AT318="","","")</f>
        <v/>
      </c>
      <c r="AN318" s="25" t="str">
        <f aca="false">IF(AT318="","",INDEX(入力シート!$C$5:$C$204,AT318))</f>
        <v/>
      </c>
      <c r="AO318" s="25" t="str">
        <f aca="false">IF(AT318="","","")</f>
        <v/>
      </c>
      <c r="AP318" s="25" t="str">
        <f aca="false">IF(AT318="","","")</f>
        <v/>
      </c>
      <c r="AQ318" s="25" t="str">
        <f aca="false">IF(AT318="","","")</f>
        <v/>
      </c>
      <c r="AT318" s="27" t="str">
        <f aca="false">IFERROR(MATCH(118,入力シート!$T$5:$T$204,0),"")</f>
        <v/>
      </c>
    </row>
    <row r="319" customFormat="false" ht="15" hidden="false" customHeight="true" outlineLevel="0" collapsed="false">
      <c r="A319" s="25" t="str">
        <f aca="false">IF(AT319="","",1)</f>
        <v/>
      </c>
      <c r="B319" s="25" t="str">
        <f aca="false">IF(AT319="","",1)</f>
        <v/>
      </c>
      <c r="C319" s="25" t="str">
        <f aca="false">IF(AT319="","",0)</f>
        <v/>
      </c>
      <c r="D319" s="25" t="str">
        <f aca="false">IF(AT319="","",TEXT(INDEX(入力シート!$A$5:$A$204,AT319),"YYYYMMDD"))</f>
        <v/>
      </c>
      <c r="E319" s="25" t="str">
        <f aca="false">IF(AT319="","",TEXT(INDEX(入力シート!$Q$5:$Q$204,AT319),"00000000"))</f>
        <v/>
      </c>
      <c r="F319" s="25" t="str">
        <f aca="false">IF(AT319="","",14)</f>
        <v/>
      </c>
      <c r="G319" s="25" t="str">
        <f aca="false">IF(AT319="","",1)</f>
        <v/>
      </c>
      <c r="H319" s="25" t="str">
        <f aca="false">IF(AT319="","",1)</f>
        <v/>
      </c>
      <c r="I319" s="25" t="str">
        <f aca="false">IF(AT319="","",3)</f>
        <v/>
      </c>
      <c r="J319" s="25" t="str">
        <f aca="false">IF(AT319="","",1)</f>
        <v/>
      </c>
      <c r="K319" s="25" t="str">
        <f aca="false">IF(AT319="","",INDEX(入力シート!$B$5:$B$204,AT319))</f>
        <v/>
      </c>
      <c r="L319" s="25" t="str">
        <f aca="false">IF(AT319="","","")</f>
        <v/>
      </c>
      <c r="M319" s="25" t="str">
        <f aca="false">IF(AT319="","","")</f>
        <v/>
      </c>
      <c r="N319" s="25" t="str">
        <f aca="false">IF(AT319="","",COUNTIF(入力シート!$Q$5:$Q$204,INDEX(入力シート!$Q$5:$Q$204,AT319))+1)</f>
        <v/>
      </c>
      <c r="O319" s="25" t="str">
        <f aca="false">IF(AT319="","",99)</f>
        <v/>
      </c>
      <c r="P319" s="25" t="str">
        <f aca="false">IF(AT319="","","")</f>
        <v/>
      </c>
      <c r="Q319" s="25" t="str">
        <f aca="false">IF(AT319="","","")</f>
        <v/>
      </c>
      <c r="R319" s="25" t="str">
        <f aca="false">IF(AT319="","","消費税")</f>
        <v/>
      </c>
      <c r="S319" s="25" t="str">
        <f aca="false">IF(AT319="","",0)</f>
        <v/>
      </c>
      <c r="T319" s="25" t="str">
        <f aca="false">IF(AT319="","","")</f>
        <v/>
      </c>
      <c r="U319" s="25" t="str">
        <f aca="false">IF(AT319="","",0)</f>
        <v/>
      </c>
      <c r="V319" s="25" t="str">
        <f aca="false">IF(AT319="","",0)</f>
        <v/>
      </c>
      <c r="W319" s="25" t="str">
        <f aca="false">IF(AT319="","","")</f>
        <v/>
      </c>
      <c r="X319" s="25" t="str">
        <f aca="false">IF(AT319="","",0)</f>
        <v/>
      </c>
      <c r="Y319" s="25" t="str">
        <f aca="false">IF(AT319="","",0)</f>
        <v/>
      </c>
      <c r="Z319" s="25" t="str">
        <f aca="false">IF(AT319="","",ROUNDDOWN(SUMIF(入力シート!$Q$5:$Q$204,INDEX(入力シート!$Q$5:$Q$204,AT319),入力シート!$P$5:$P$204)*IF(INDEX(入力シート!$L$5:$L$204,AT319)=13,0.1,IF(INDEX(入力シート!$L$5:$L$204,AT319)=30,0.08,0)),0))</f>
        <v/>
      </c>
      <c r="AA319" s="25" t="str">
        <f aca="false">IF(AT319="","","")</f>
        <v/>
      </c>
      <c r="AB319" s="25" t="str">
        <f aca="false">IF(AT319="","",0)</f>
        <v/>
      </c>
      <c r="AC319" s="25" t="str">
        <f aca="false">IF(AT319="","",0)</f>
        <v/>
      </c>
      <c r="AD319" s="25" t="str">
        <f aca="false">IF(AT319="","",0)</f>
        <v/>
      </c>
      <c r="AE319" s="25" t="str">
        <f aca="false">IF(AT319="","","")</f>
        <v/>
      </c>
      <c r="AF319" s="25" t="str">
        <f aca="false">IF(AT319="","",0)</f>
        <v/>
      </c>
      <c r="AG319" s="25" t="str">
        <f aca="false">IF(AT319="","",0)</f>
        <v/>
      </c>
      <c r="AH319" s="25" t="str">
        <f aca="false">IF(AT319="","","")</f>
        <v/>
      </c>
      <c r="AI319" s="25" t="str">
        <f aca="false">IF(AT319="","","")</f>
        <v/>
      </c>
      <c r="AJ319" s="25" t="str">
        <f aca="false">IF(AT319="","","")</f>
        <v/>
      </c>
      <c r="AK319" s="25" t="str">
        <f aca="false">IF(AT319="","",2)</f>
        <v/>
      </c>
      <c r="AL319" s="25" t="str">
        <f aca="false">IF(AT319="","","")</f>
        <v/>
      </c>
      <c r="AM319" s="25" t="str">
        <f aca="false">IF(AT319="","","")</f>
        <v/>
      </c>
      <c r="AN319" s="25" t="str">
        <f aca="false">IF(AT319="","",INDEX(入力シート!$C$5:$C$204,AT319))</f>
        <v/>
      </c>
      <c r="AO319" s="25" t="str">
        <f aca="false">IF(AT319="","","")</f>
        <v/>
      </c>
      <c r="AP319" s="25" t="str">
        <f aca="false">IF(AT319="","","")</f>
        <v/>
      </c>
      <c r="AQ319" s="25" t="str">
        <f aca="false">IF(AT319="","","")</f>
        <v/>
      </c>
      <c r="AT319" s="27" t="str">
        <f aca="false">IFERROR(MATCH(119,入力シート!$T$5:$T$204,0),"")</f>
        <v/>
      </c>
    </row>
    <row r="320" customFormat="false" ht="15" hidden="false" customHeight="true" outlineLevel="0" collapsed="false">
      <c r="A320" s="25" t="str">
        <f aca="false">IF(AT320="","",1)</f>
        <v/>
      </c>
      <c r="B320" s="25" t="str">
        <f aca="false">IF(AT320="","",1)</f>
        <v/>
      </c>
      <c r="C320" s="25" t="str">
        <f aca="false">IF(AT320="","",0)</f>
        <v/>
      </c>
      <c r="D320" s="25" t="str">
        <f aca="false">IF(AT320="","",TEXT(INDEX(入力シート!$A$5:$A$204,AT320),"YYYYMMDD"))</f>
        <v/>
      </c>
      <c r="E320" s="25" t="str">
        <f aca="false">IF(AT320="","",TEXT(INDEX(入力シート!$Q$5:$Q$204,AT320),"00000000"))</f>
        <v/>
      </c>
      <c r="F320" s="25" t="str">
        <f aca="false">IF(AT320="","",14)</f>
        <v/>
      </c>
      <c r="G320" s="25" t="str">
        <f aca="false">IF(AT320="","",1)</f>
        <v/>
      </c>
      <c r="H320" s="25" t="str">
        <f aca="false">IF(AT320="","",1)</f>
        <v/>
      </c>
      <c r="I320" s="25" t="str">
        <f aca="false">IF(AT320="","",3)</f>
        <v/>
      </c>
      <c r="J320" s="25" t="str">
        <f aca="false">IF(AT320="","",1)</f>
        <v/>
      </c>
      <c r="K320" s="25" t="str">
        <f aca="false">IF(AT320="","",INDEX(入力シート!$B$5:$B$204,AT320))</f>
        <v/>
      </c>
      <c r="L320" s="25" t="str">
        <f aca="false">IF(AT320="","","")</f>
        <v/>
      </c>
      <c r="M320" s="25" t="str">
        <f aca="false">IF(AT320="","","")</f>
        <v/>
      </c>
      <c r="N320" s="25" t="str">
        <f aca="false">IF(AT320="","",COUNTIF(入力シート!$Q$5:$Q$204,INDEX(入力シート!$Q$5:$Q$204,AT320))+1)</f>
        <v/>
      </c>
      <c r="O320" s="25" t="str">
        <f aca="false">IF(AT320="","",99)</f>
        <v/>
      </c>
      <c r="P320" s="25" t="str">
        <f aca="false">IF(AT320="","","")</f>
        <v/>
      </c>
      <c r="Q320" s="25" t="str">
        <f aca="false">IF(AT320="","","")</f>
        <v/>
      </c>
      <c r="R320" s="25" t="str">
        <f aca="false">IF(AT320="","","消費税")</f>
        <v/>
      </c>
      <c r="S320" s="25" t="str">
        <f aca="false">IF(AT320="","",0)</f>
        <v/>
      </c>
      <c r="T320" s="25" t="str">
        <f aca="false">IF(AT320="","","")</f>
        <v/>
      </c>
      <c r="U320" s="25" t="str">
        <f aca="false">IF(AT320="","",0)</f>
        <v/>
      </c>
      <c r="V320" s="25" t="str">
        <f aca="false">IF(AT320="","",0)</f>
        <v/>
      </c>
      <c r="W320" s="25" t="str">
        <f aca="false">IF(AT320="","","")</f>
        <v/>
      </c>
      <c r="X320" s="25" t="str">
        <f aca="false">IF(AT320="","",0)</f>
        <v/>
      </c>
      <c r="Y320" s="25" t="str">
        <f aca="false">IF(AT320="","",0)</f>
        <v/>
      </c>
      <c r="Z320" s="25" t="str">
        <f aca="false">IF(AT320="","",ROUNDDOWN(SUMIF(入力シート!$Q$5:$Q$204,INDEX(入力シート!$Q$5:$Q$204,AT320),入力シート!$P$5:$P$204)*IF(INDEX(入力シート!$L$5:$L$204,AT320)=13,0.1,IF(INDEX(入力シート!$L$5:$L$204,AT320)=30,0.08,0)),0))</f>
        <v/>
      </c>
      <c r="AA320" s="25" t="str">
        <f aca="false">IF(AT320="","","")</f>
        <v/>
      </c>
      <c r="AB320" s="25" t="str">
        <f aca="false">IF(AT320="","",0)</f>
        <v/>
      </c>
      <c r="AC320" s="25" t="str">
        <f aca="false">IF(AT320="","",0)</f>
        <v/>
      </c>
      <c r="AD320" s="25" t="str">
        <f aca="false">IF(AT320="","",0)</f>
        <v/>
      </c>
      <c r="AE320" s="25" t="str">
        <f aca="false">IF(AT320="","","")</f>
        <v/>
      </c>
      <c r="AF320" s="25" t="str">
        <f aca="false">IF(AT320="","",0)</f>
        <v/>
      </c>
      <c r="AG320" s="25" t="str">
        <f aca="false">IF(AT320="","",0)</f>
        <v/>
      </c>
      <c r="AH320" s="25" t="str">
        <f aca="false">IF(AT320="","","")</f>
        <v/>
      </c>
      <c r="AI320" s="25" t="str">
        <f aca="false">IF(AT320="","","")</f>
        <v/>
      </c>
      <c r="AJ320" s="25" t="str">
        <f aca="false">IF(AT320="","","")</f>
        <v/>
      </c>
      <c r="AK320" s="25" t="str">
        <f aca="false">IF(AT320="","",2)</f>
        <v/>
      </c>
      <c r="AL320" s="25" t="str">
        <f aca="false">IF(AT320="","","")</f>
        <v/>
      </c>
      <c r="AM320" s="25" t="str">
        <f aca="false">IF(AT320="","","")</f>
        <v/>
      </c>
      <c r="AN320" s="25" t="str">
        <f aca="false">IF(AT320="","",INDEX(入力シート!$C$5:$C$204,AT320))</f>
        <v/>
      </c>
      <c r="AO320" s="25" t="str">
        <f aca="false">IF(AT320="","","")</f>
        <v/>
      </c>
      <c r="AP320" s="25" t="str">
        <f aca="false">IF(AT320="","","")</f>
        <v/>
      </c>
      <c r="AQ320" s="25" t="str">
        <f aca="false">IF(AT320="","","")</f>
        <v/>
      </c>
      <c r="AT320" s="27" t="str">
        <f aca="false">IFERROR(MATCH(120,入力シート!$T$5:$T$204,0),"")</f>
        <v/>
      </c>
    </row>
    <row r="321" customFormat="false" ht="15" hidden="false" customHeight="true" outlineLevel="0" collapsed="false">
      <c r="A321" s="25" t="str">
        <f aca="false">IF(AT321="","",1)</f>
        <v/>
      </c>
      <c r="B321" s="25" t="str">
        <f aca="false">IF(AT321="","",1)</f>
        <v/>
      </c>
      <c r="C321" s="25" t="str">
        <f aca="false">IF(AT321="","",0)</f>
        <v/>
      </c>
      <c r="D321" s="25" t="str">
        <f aca="false">IF(AT321="","",TEXT(INDEX(入力シート!$A$5:$A$204,AT321),"YYYYMMDD"))</f>
        <v/>
      </c>
      <c r="E321" s="25" t="str">
        <f aca="false">IF(AT321="","",TEXT(INDEX(入力シート!$Q$5:$Q$204,AT321),"00000000"))</f>
        <v/>
      </c>
      <c r="F321" s="25" t="str">
        <f aca="false">IF(AT321="","",14)</f>
        <v/>
      </c>
      <c r="G321" s="25" t="str">
        <f aca="false">IF(AT321="","",1)</f>
        <v/>
      </c>
      <c r="H321" s="25" t="str">
        <f aca="false">IF(AT321="","",1)</f>
        <v/>
      </c>
      <c r="I321" s="25" t="str">
        <f aca="false">IF(AT321="","",3)</f>
        <v/>
      </c>
      <c r="J321" s="25" t="str">
        <f aca="false">IF(AT321="","",1)</f>
        <v/>
      </c>
      <c r="K321" s="25" t="str">
        <f aca="false">IF(AT321="","",INDEX(入力シート!$B$5:$B$204,AT321))</f>
        <v/>
      </c>
      <c r="L321" s="25" t="str">
        <f aca="false">IF(AT321="","","")</f>
        <v/>
      </c>
      <c r="M321" s="25" t="str">
        <f aca="false">IF(AT321="","","")</f>
        <v/>
      </c>
      <c r="N321" s="25" t="str">
        <f aca="false">IF(AT321="","",COUNTIF(入力シート!$Q$5:$Q$204,INDEX(入力シート!$Q$5:$Q$204,AT321))+1)</f>
        <v/>
      </c>
      <c r="O321" s="25" t="str">
        <f aca="false">IF(AT321="","",99)</f>
        <v/>
      </c>
      <c r="P321" s="25" t="str">
        <f aca="false">IF(AT321="","","")</f>
        <v/>
      </c>
      <c r="Q321" s="25" t="str">
        <f aca="false">IF(AT321="","","")</f>
        <v/>
      </c>
      <c r="R321" s="25" t="str">
        <f aca="false">IF(AT321="","","消費税")</f>
        <v/>
      </c>
      <c r="S321" s="25" t="str">
        <f aca="false">IF(AT321="","",0)</f>
        <v/>
      </c>
      <c r="T321" s="25" t="str">
        <f aca="false">IF(AT321="","","")</f>
        <v/>
      </c>
      <c r="U321" s="25" t="str">
        <f aca="false">IF(AT321="","",0)</f>
        <v/>
      </c>
      <c r="V321" s="25" t="str">
        <f aca="false">IF(AT321="","",0)</f>
        <v/>
      </c>
      <c r="W321" s="25" t="str">
        <f aca="false">IF(AT321="","","")</f>
        <v/>
      </c>
      <c r="X321" s="25" t="str">
        <f aca="false">IF(AT321="","",0)</f>
        <v/>
      </c>
      <c r="Y321" s="25" t="str">
        <f aca="false">IF(AT321="","",0)</f>
        <v/>
      </c>
      <c r="Z321" s="25" t="str">
        <f aca="false">IF(AT321="","",ROUNDDOWN(SUMIF(入力シート!$Q$5:$Q$204,INDEX(入力シート!$Q$5:$Q$204,AT321),入力シート!$P$5:$P$204)*IF(INDEX(入力シート!$L$5:$L$204,AT321)=13,0.1,IF(INDEX(入力シート!$L$5:$L$204,AT321)=30,0.08,0)),0))</f>
        <v/>
      </c>
      <c r="AA321" s="25" t="str">
        <f aca="false">IF(AT321="","","")</f>
        <v/>
      </c>
      <c r="AB321" s="25" t="str">
        <f aca="false">IF(AT321="","",0)</f>
        <v/>
      </c>
      <c r="AC321" s="25" t="str">
        <f aca="false">IF(AT321="","",0)</f>
        <v/>
      </c>
      <c r="AD321" s="25" t="str">
        <f aca="false">IF(AT321="","",0)</f>
        <v/>
      </c>
      <c r="AE321" s="25" t="str">
        <f aca="false">IF(AT321="","","")</f>
        <v/>
      </c>
      <c r="AF321" s="25" t="str">
        <f aca="false">IF(AT321="","",0)</f>
        <v/>
      </c>
      <c r="AG321" s="25" t="str">
        <f aca="false">IF(AT321="","",0)</f>
        <v/>
      </c>
      <c r="AH321" s="25" t="str">
        <f aca="false">IF(AT321="","","")</f>
        <v/>
      </c>
      <c r="AI321" s="25" t="str">
        <f aca="false">IF(AT321="","","")</f>
        <v/>
      </c>
      <c r="AJ321" s="25" t="str">
        <f aca="false">IF(AT321="","","")</f>
        <v/>
      </c>
      <c r="AK321" s="25" t="str">
        <f aca="false">IF(AT321="","",2)</f>
        <v/>
      </c>
      <c r="AL321" s="25" t="str">
        <f aca="false">IF(AT321="","","")</f>
        <v/>
      </c>
      <c r="AM321" s="25" t="str">
        <f aca="false">IF(AT321="","","")</f>
        <v/>
      </c>
      <c r="AN321" s="25" t="str">
        <f aca="false">IF(AT321="","",INDEX(入力シート!$C$5:$C$204,AT321))</f>
        <v/>
      </c>
      <c r="AO321" s="25" t="str">
        <f aca="false">IF(AT321="","","")</f>
        <v/>
      </c>
      <c r="AP321" s="25" t="str">
        <f aca="false">IF(AT321="","","")</f>
        <v/>
      </c>
      <c r="AQ321" s="25" t="str">
        <f aca="false">IF(AT321="","","")</f>
        <v/>
      </c>
      <c r="AT321" s="27" t="str">
        <f aca="false">IFERROR(MATCH(121,入力シート!$T$5:$T$204,0),"")</f>
        <v/>
      </c>
    </row>
    <row r="322" customFormat="false" ht="15" hidden="false" customHeight="true" outlineLevel="0" collapsed="false">
      <c r="A322" s="25" t="str">
        <f aca="false">IF(AT322="","",1)</f>
        <v/>
      </c>
      <c r="B322" s="25" t="str">
        <f aca="false">IF(AT322="","",1)</f>
        <v/>
      </c>
      <c r="C322" s="25" t="str">
        <f aca="false">IF(AT322="","",0)</f>
        <v/>
      </c>
      <c r="D322" s="25" t="str">
        <f aca="false">IF(AT322="","",TEXT(INDEX(入力シート!$A$5:$A$204,AT322),"YYYYMMDD"))</f>
        <v/>
      </c>
      <c r="E322" s="25" t="str">
        <f aca="false">IF(AT322="","",TEXT(INDEX(入力シート!$Q$5:$Q$204,AT322),"00000000"))</f>
        <v/>
      </c>
      <c r="F322" s="25" t="str">
        <f aca="false">IF(AT322="","",14)</f>
        <v/>
      </c>
      <c r="G322" s="25" t="str">
        <f aca="false">IF(AT322="","",1)</f>
        <v/>
      </c>
      <c r="H322" s="25" t="str">
        <f aca="false">IF(AT322="","",1)</f>
        <v/>
      </c>
      <c r="I322" s="25" t="str">
        <f aca="false">IF(AT322="","",3)</f>
        <v/>
      </c>
      <c r="J322" s="25" t="str">
        <f aca="false">IF(AT322="","",1)</f>
        <v/>
      </c>
      <c r="K322" s="25" t="str">
        <f aca="false">IF(AT322="","",INDEX(入力シート!$B$5:$B$204,AT322))</f>
        <v/>
      </c>
      <c r="L322" s="25" t="str">
        <f aca="false">IF(AT322="","","")</f>
        <v/>
      </c>
      <c r="M322" s="25" t="str">
        <f aca="false">IF(AT322="","","")</f>
        <v/>
      </c>
      <c r="N322" s="25" t="str">
        <f aca="false">IF(AT322="","",COUNTIF(入力シート!$Q$5:$Q$204,INDEX(入力シート!$Q$5:$Q$204,AT322))+1)</f>
        <v/>
      </c>
      <c r="O322" s="25" t="str">
        <f aca="false">IF(AT322="","",99)</f>
        <v/>
      </c>
      <c r="P322" s="25" t="str">
        <f aca="false">IF(AT322="","","")</f>
        <v/>
      </c>
      <c r="Q322" s="25" t="str">
        <f aca="false">IF(AT322="","","")</f>
        <v/>
      </c>
      <c r="R322" s="25" t="str">
        <f aca="false">IF(AT322="","","消費税")</f>
        <v/>
      </c>
      <c r="S322" s="25" t="str">
        <f aca="false">IF(AT322="","",0)</f>
        <v/>
      </c>
      <c r="T322" s="25" t="str">
        <f aca="false">IF(AT322="","","")</f>
        <v/>
      </c>
      <c r="U322" s="25" t="str">
        <f aca="false">IF(AT322="","",0)</f>
        <v/>
      </c>
      <c r="V322" s="25" t="str">
        <f aca="false">IF(AT322="","",0)</f>
        <v/>
      </c>
      <c r="W322" s="25" t="str">
        <f aca="false">IF(AT322="","","")</f>
        <v/>
      </c>
      <c r="X322" s="25" t="str">
        <f aca="false">IF(AT322="","",0)</f>
        <v/>
      </c>
      <c r="Y322" s="25" t="str">
        <f aca="false">IF(AT322="","",0)</f>
        <v/>
      </c>
      <c r="Z322" s="25" t="str">
        <f aca="false">IF(AT322="","",ROUNDDOWN(SUMIF(入力シート!$Q$5:$Q$204,INDEX(入力シート!$Q$5:$Q$204,AT322),入力シート!$P$5:$P$204)*IF(INDEX(入力シート!$L$5:$L$204,AT322)=13,0.1,IF(INDEX(入力シート!$L$5:$L$204,AT322)=30,0.08,0)),0))</f>
        <v/>
      </c>
      <c r="AA322" s="25" t="str">
        <f aca="false">IF(AT322="","","")</f>
        <v/>
      </c>
      <c r="AB322" s="25" t="str">
        <f aca="false">IF(AT322="","",0)</f>
        <v/>
      </c>
      <c r="AC322" s="25" t="str">
        <f aca="false">IF(AT322="","",0)</f>
        <v/>
      </c>
      <c r="AD322" s="25" t="str">
        <f aca="false">IF(AT322="","",0)</f>
        <v/>
      </c>
      <c r="AE322" s="25" t="str">
        <f aca="false">IF(AT322="","","")</f>
        <v/>
      </c>
      <c r="AF322" s="25" t="str">
        <f aca="false">IF(AT322="","",0)</f>
        <v/>
      </c>
      <c r="AG322" s="25" t="str">
        <f aca="false">IF(AT322="","",0)</f>
        <v/>
      </c>
      <c r="AH322" s="25" t="str">
        <f aca="false">IF(AT322="","","")</f>
        <v/>
      </c>
      <c r="AI322" s="25" t="str">
        <f aca="false">IF(AT322="","","")</f>
        <v/>
      </c>
      <c r="AJ322" s="25" t="str">
        <f aca="false">IF(AT322="","","")</f>
        <v/>
      </c>
      <c r="AK322" s="25" t="str">
        <f aca="false">IF(AT322="","",2)</f>
        <v/>
      </c>
      <c r="AL322" s="25" t="str">
        <f aca="false">IF(AT322="","","")</f>
        <v/>
      </c>
      <c r="AM322" s="25" t="str">
        <f aca="false">IF(AT322="","","")</f>
        <v/>
      </c>
      <c r="AN322" s="25" t="str">
        <f aca="false">IF(AT322="","",INDEX(入力シート!$C$5:$C$204,AT322))</f>
        <v/>
      </c>
      <c r="AO322" s="25" t="str">
        <f aca="false">IF(AT322="","","")</f>
        <v/>
      </c>
      <c r="AP322" s="25" t="str">
        <f aca="false">IF(AT322="","","")</f>
        <v/>
      </c>
      <c r="AQ322" s="25" t="str">
        <f aca="false">IF(AT322="","","")</f>
        <v/>
      </c>
      <c r="AT322" s="27" t="str">
        <f aca="false">IFERROR(MATCH(122,入力シート!$T$5:$T$204,0),"")</f>
        <v/>
      </c>
    </row>
    <row r="323" customFormat="false" ht="15" hidden="false" customHeight="true" outlineLevel="0" collapsed="false">
      <c r="A323" s="25" t="str">
        <f aca="false">IF(AT323="","",1)</f>
        <v/>
      </c>
      <c r="B323" s="25" t="str">
        <f aca="false">IF(AT323="","",1)</f>
        <v/>
      </c>
      <c r="C323" s="25" t="str">
        <f aca="false">IF(AT323="","",0)</f>
        <v/>
      </c>
      <c r="D323" s="25" t="str">
        <f aca="false">IF(AT323="","",TEXT(INDEX(入力シート!$A$5:$A$204,AT323),"YYYYMMDD"))</f>
        <v/>
      </c>
      <c r="E323" s="25" t="str">
        <f aca="false">IF(AT323="","",TEXT(INDEX(入力シート!$Q$5:$Q$204,AT323),"00000000"))</f>
        <v/>
      </c>
      <c r="F323" s="25" t="str">
        <f aca="false">IF(AT323="","",14)</f>
        <v/>
      </c>
      <c r="G323" s="25" t="str">
        <f aca="false">IF(AT323="","",1)</f>
        <v/>
      </c>
      <c r="H323" s="25" t="str">
        <f aca="false">IF(AT323="","",1)</f>
        <v/>
      </c>
      <c r="I323" s="25" t="str">
        <f aca="false">IF(AT323="","",3)</f>
        <v/>
      </c>
      <c r="J323" s="25" t="str">
        <f aca="false">IF(AT323="","",1)</f>
        <v/>
      </c>
      <c r="K323" s="25" t="str">
        <f aca="false">IF(AT323="","",INDEX(入力シート!$B$5:$B$204,AT323))</f>
        <v/>
      </c>
      <c r="L323" s="25" t="str">
        <f aca="false">IF(AT323="","","")</f>
        <v/>
      </c>
      <c r="M323" s="25" t="str">
        <f aca="false">IF(AT323="","","")</f>
        <v/>
      </c>
      <c r="N323" s="25" t="str">
        <f aca="false">IF(AT323="","",COUNTIF(入力シート!$Q$5:$Q$204,INDEX(入力シート!$Q$5:$Q$204,AT323))+1)</f>
        <v/>
      </c>
      <c r="O323" s="25" t="str">
        <f aca="false">IF(AT323="","",99)</f>
        <v/>
      </c>
      <c r="P323" s="25" t="str">
        <f aca="false">IF(AT323="","","")</f>
        <v/>
      </c>
      <c r="Q323" s="25" t="str">
        <f aca="false">IF(AT323="","","")</f>
        <v/>
      </c>
      <c r="R323" s="25" t="str">
        <f aca="false">IF(AT323="","","消費税")</f>
        <v/>
      </c>
      <c r="S323" s="25" t="str">
        <f aca="false">IF(AT323="","",0)</f>
        <v/>
      </c>
      <c r="T323" s="25" t="str">
        <f aca="false">IF(AT323="","","")</f>
        <v/>
      </c>
      <c r="U323" s="25" t="str">
        <f aca="false">IF(AT323="","",0)</f>
        <v/>
      </c>
      <c r="V323" s="25" t="str">
        <f aca="false">IF(AT323="","",0)</f>
        <v/>
      </c>
      <c r="W323" s="25" t="str">
        <f aca="false">IF(AT323="","","")</f>
        <v/>
      </c>
      <c r="X323" s="25" t="str">
        <f aca="false">IF(AT323="","",0)</f>
        <v/>
      </c>
      <c r="Y323" s="25" t="str">
        <f aca="false">IF(AT323="","",0)</f>
        <v/>
      </c>
      <c r="Z323" s="25" t="str">
        <f aca="false">IF(AT323="","",ROUNDDOWN(SUMIF(入力シート!$Q$5:$Q$204,INDEX(入力シート!$Q$5:$Q$204,AT323),入力シート!$P$5:$P$204)*IF(INDEX(入力シート!$L$5:$L$204,AT323)=13,0.1,IF(INDEX(入力シート!$L$5:$L$204,AT323)=30,0.08,0)),0))</f>
        <v/>
      </c>
      <c r="AA323" s="25" t="str">
        <f aca="false">IF(AT323="","","")</f>
        <v/>
      </c>
      <c r="AB323" s="25" t="str">
        <f aca="false">IF(AT323="","",0)</f>
        <v/>
      </c>
      <c r="AC323" s="25" t="str">
        <f aca="false">IF(AT323="","",0)</f>
        <v/>
      </c>
      <c r="AD323" s="25" t="str">
        <f aca="false">IF(AT323="","",0)</f>
        <v/>
      </c>
      <c r="AE323" s="25" t="str">
        <f aca="false">IF(AT323="","","")</f>
        <v/>
      </c>
      <c r="AF323" s="25" t="str">
        <f aca="false">IF(AT323="","",0)</f>
        <v/>
      </c>
      <c r="AG323" s="25" t="str">
        <f aca="false">IF(AT323="","",0)</f>
        <v/>
      </c>
      <c r="AH323" s="25" t="str">
        <f aca="false">IF(AT323="","","")</f>
        <v/>
      </c>
      <c r="AI323" s="25" t="str">
        <f aca="false">IF(AT323="","","")</f>
        <v/>
      </c>
      <c r="AJ323" s="25" t="str">
        <f aca="false">IF(AT323="","","")</f>
        <v/>
      </c>
      <c r="AK323" s="25" t="str">
        <f aca="false">IF(AT323="","",2)</f>
        <v/>
      </c>
      <c r="AL323" s="25" t="str">
        <f aca="false">IF(AT323="","","")</f>
        <v/>
      </c>
      <c r="AM323" s="25" t="str">
        <f aca="false">IF(AT323="","","")</f>
        <v/>
      </c>
      <c r="AN323" s="25" t="str">
        <f aca="false">IF(AT323="","",INDEX(入力シート!$C$5:$C$204,AT323))</f>
        <v/>
      </c>
      <c r="AO323" s="25" t="str">
        <f aca="false">IF(AT323="","","")</f>
        <v/>
      </c>
      <c r="AP323" s="25" t="str">
        <f aca="false">IF(AT323="","","")</f>
        <v/>
      </c>
      <c r="AQ323" s="25" t="str">
        <f aca="false">IF(AT323="","","")</f>
        <v/>
      </c>
      <c r="AT323" s="27" t="str">
        <f aca="false">IFERROR(MATCH(123,入力シート!$T$5:$T$204,0),"")</f>
        <v/>
      </c>
    </row>
    <row r="324" customFormat="false" ht="15" hidden="false" customHeight="true" outlineLevel="0" collapsed="false">
      <c r="A324" s="25" t="str">
        <f aca="false">IF(AT324="","",1)</f>
        <v/>
      </c>
      <c r="B324" s="25" t="str">
        <f aca="false">IF(AT324="","",1)</f>
        <v/>
      </c>
      <c r="C324" s="25" t="str">
        <f aca="false">IF(AT324="","",0)</f>
        <v/>
      </c>
      <c r="D324" s="25" t="str">
        <f aca="false">IF(AT324="","",TEXT(INDEX(入力シート!$A$5:$A$204,AT324),"YYYYMMDD"))</f>
        <v/>
      </c>
      <c r="E324" s="25" t="str">
        <f aca="false">IF(AT324="","",TEXT(INDEX(入力シート!$Q$5:$Q$204,AT324),"00000000"))</f>
        <v/>
      </c>
      <c r="F324" s="25" t="str">
        <f aca="false">IF(AT324="","",14)</f>
        <v/>
      </c>
      <c r="G324" s="25" t="str">
        <f aca="false">IF(AT324="","",1)</f>
        <v/>
      </c>
      <c r="H324" s="25" t="str">
        <f aca="false">IF(AT324="","",1)</f>
        <v/>
      </c>
      <c r="I324" s="25" t="str">
        <f aca="false">IF(AT324="","",3)</f>
        <v/>
      </c>
      <c r="J324" s="25" t="str">
        <f aca="false">IF(AT324="","",1)</f>
        <v/>
      </c>
      <c r="K324" s="25" t="str">
        <f aca="false">IF(AT324="","",INDEX(入力シート!$B$5:$B$204,AT324))</f>
        <v/>
      </c>
      <c r="L324" s="25" t="str">
        <f aca="false">IF(AT324="","","")</f>
        <v/>
      </c>
      <c r="M324" s="25" t="str">
        <f aca="false">IF(AT324="","","")</f>
        <v/>
      </c>
      <c r="N324" s="25" t="str">
        <f aca="false">IF(AT324="","",COUNTIF(入力シート!$Q$5:$Q$204,INDEX(入力シート!$Q$5:$Q$204,AT324))+1)</f>
        <v/>
      </c>
      <c r="O324" s="25" t="str">
        <f aca="false">IF(AT324="","",99)</f>
        <v/>
      </c>
      <c r="P324" s="25" t="str">
        <f aca="false">IF(AT324="","","")</f>
        <v/>
      </c>
      <c r="Q324" s="25" t="str">
        <f aca="false">IF(AT324="","","")</f>
        <v/>
      </c>
      <c r="R324" s="25" t="str">
        <f aca="false">IF(AT324="","","消費税")</f>
        <v/>
      </c>
      <c r="S324" s="25" t="str">
        <f aca="false">IF(AT324="","",0)</f>
        <v/>
      </c>
      <c r="T324" s="25" t="str">
        <f aca="false">IF(AT324="","","")</f>
        <v/>
      </c>
      <c r="U324" s="25" t="str">
        <f aca="false">IF(AT324="","",0)</f>
        <v/>
      </c>
      <c r="V324" s="25" t="str">
        <f aca="false">IF(AT324="","",0)</f>
        <v/>
      </c>
      <c r="W324" s="25" t="str">
        <f aca="false">IF(AT324="","","")</f>
        <v/>
      </c>
      <c r="X324" s="25" t="str">
        <f aca="false">IF(AT324="","",0)</f>
        <v/>
      </c>
      <c r="Y324" s="25" t="str">
        <f aca="false">IF(AT324="","",0)</f>
        <v/>
      </c>
      <c r="Z324" s="25" t="str">
        <f aca="false">IF(AT324="","",ROUNDDOWN(SUMIF(入力シート!$Q$5:$Q$204,INDEX(入力シート!$Q$5:$Q$204,AT324),入力シート!$P$5:$P$204)*IF(INDEX(入力シート!$L$5:$L$204,AT324)=13,0.1,IF(INDEX(入力シート!$L$5:$L$204,AT324)=30,0.08,0)),0))</f>
        <v/>
      </c>
      <c r="AA324" s="25" t="str">
        <f aca="false">IF(AT324="","","")</f>
        <v/>
      </c>
      <c r="AB324" s="25" t="str">
        <f aca="false">IF(AT324="","",0)</f>
        <v/>
      </c>
      <c r="AC324" s="25" t="str">
        <f aca="false">IF(AT324="","",0)</f>
        <v/>
      </c>
      <c r="AD324" s="25" t="str">
        <f aca="false">IF(AT324="","",0)</f>
        <v/>
      </c>
      <c r="AE324" s="25" t="str">
        <f aca="false">IF(AT324="","","")</f>
        <v/>
      </c>
      <c r="AF324" s="25" t="str">
        <f aca="false">IF(AT324="","",0)</f>
        <v/>
      </c>
      <c r="AG324" s="25" t="str">
        <f aca="false">IF(AT324="","",0)</f>
        <v/>
      </c>
      <c r="AH324" s="25" t="str">
        <f aca="false">IF(AT324="","","")</f>
        <v/>
      </c>
      <c r="AI324" s="25" t="str">
        <f aca="false">IF(AT324="","","")</f>
        <v/>
      </c>
      <c r="AJ324" s="25" t="str">
        <f aca="false">IF(AT324="","","")</f>
        <v/>
      </c>
      <c r="AK324" s="25" t="str">
        <f aca="false">IF(AT324="","",2)</f>
        <v/>
      </c>
      <c r="AL324" s="25" t="str">
        <f aca="false">IF(AT324="","","")</f>
        <v/>
      </c>
      <c r="AM324" s="25" t="str">
        <f aca="false">IF(AT324="","","")</f>
        <v/>
      </c>
      <c r="AN324" s="25" t="str">
        <f aca="false">IF(AT324="","",INDEX(入力シート!$C$5:$C$204,AT324))</f>
        <v/>
      </c>
      <c r="AO324" s="25" t="str">
        <f aca="false">IF(AT324="","","")</f>
        <v/>
      </c>
      <c r="AP324" s="25" t="str">
        <f aca="false">IF(AT324="","","")</f>
        <v/>
      </c>
      <c r="AQ324" s="25" t="str">
        <f aca="false">IF(AT324="","","")</f>
        <v/>
      </c>
      <c r="AT324" s="27" t="str">
        <f aca="false">IFERROR(MATCH(124,入力シート!$T$5:$T$204,0),"")</f>
        <v/>
      </c>
    </row>
    <row r="325" customFormat="false" ht="15" hidden="false" customHeight="true" outlineLevel="0" collapsed="false">
      <c r="A325" s="25" t="str">
        <f aca="false">IF(AT325="","",1)</f>
        <v/>
      </c>
      <c r="B325" s="25" t="str">
        <f aca="false">IF(AT325="","",1)</f>
        <v/>
      </c>
      <c r="C325" s="25" t="str">
        <f aca="false">IF(AT325="","",0)</f>
        <v/>
      </c>
      <c r="D325" s="25" t="str">
        <f aca="false">IF(AT325="","",TEXT(INDEX(入力シート!$A$5:$A$204,AT325),"YYYYMMDD"))</f>
        <v/>
      </c>
      <c r="E325" s="25" t="str">
        <f aca="false">IF(AT325="","",TEXT(INDEX(入力シート!$Q$5:$Q$204,AT325),"00000000"))</f>
        <v/>
      </c>
      <c r="F325" s="25" t="str">
        <f aca="false">IF(AT325="","",14)</f>
        <v/>
      </c>
      <c r="G325" s="25" t="str">
        <f aca="false">IF(AT325="","",1)</f>
        <v/>
      </c>
      <c r="H325" s="25" t="str">
        <f aca="false">IF(AT325="","",1)</f>
        <v/>
      </c>
      <c r="I325" s="25" t="str">
        <f aca="false">IF(AT325="","",3)</f>
        <v/>
      </c>
      <c r="J325" s="25" t="str">
        <f aca="false">IF(AT325="","",1)</f>
        <v/>
      </c>
      <c r="K325" s="25" t="str">
        <f aca="false">IF(AT325="","",INDEX(入力シート!$B$5:$B$204,AT325))</f>
        <v/>
      </c>
      <c r="L325" s="25" t="str">
        <f aca="false">IF(AT325="","","")</f>
        <v/>
      </c>
      <c r="M325" s="25" t="str">
        <f aca="false">IF(AT325="","","")</f>
        <v/>
      </c>
      <c r="N325" s="25" t="str">
        <f aca="false">IF(AT325="","",COUNTIF(入力シート!$Q$5:$Q$204,INDEX(入力シート!$Q$5:$Q$204,AT325))+1)</f>
        <v/>
      </c>
      <c r="O325" s="25" t="str">
        <f aca="false">IF(AT325="","",99)</f>
        <v/>
      </c>
      <c r="P325" s="25" t="str">
        <f aca="false">IF(AT325="","","")</f>
        <v/>
      </c>
      <c r="Q325" s="25" t="str">
        <f aca="false">IF(AT325="","","")</f>
        <v/>
      </c>
      <c r="R325" s="25" t="str">
        <f aca="false">IF(AT325="","","消費税")</f>
        <v/>
      </c>
      <c r="S325" s="25" t="str">
        <f aca="false">IF(AT325="","",0)</f>
        <v/>
      </c>
      <c r="T325" s="25" t="str">
        <f aca="false">IF(AT325="","","")</f>
        <v/>
      </c>
      <c r="U325" s="25" t="str">
        <f aca="false">IF(AT325="","",0)</f>
        <v/>
      </c>
      <c r="V325" s="25" t="str">
        <f aca="false">IF(AT325="","",0)</f>
        <v/>
      </c>
      <c r="W325" s="25" t="str">
        <f aca="false">IF(AT325="","","")</f>
        <v/>
      </c>
      <c r="X325" s="25" t="str">
        <f aca="false">IF(AT325="","",0)</f>
        <v/>
      </c>
      <c r="Y325" s="25" t="str">
        <f aca="false">IF(AT325="","",0)</f>
        <v/>
      </c>
      <c r="Z325" s="25" t="str">
        <f aca="false">IF(AT325="","",ROUNDDOWN(SUMIF(入力シート!$Q$5:$Q$204,INDEX(入力シート!$Q$5:$Q$204,AT325),入力シート!$P$5:$P$204)*IF(INDEX(入力シート!$L$5:$L$204,AT325)=13,0.1,IF(INDEX(入力シート!$L$5:$L$204,AT325)=30,0.08,0)),0))</f>
        <v/>
      </c>
      <c r="AA325" s="25" t="str">
        <f aca="false">IF(AT325="","","")</f>
        <v/>
      </c>
      <c r="AB325" s="25" t="str">
        <f aca="false">IF(AT325="","",0)</f>
        <v/>
      </c>
      <c r="AC325" s="25" t="str">
        <f aca="false">IF(AT325="","",0)</f>
        <v/>
      </c>
      <c r="AD325" s="25" t="str">
        <f aca="false">IF(AT325="","",0)</f>
        <v/>
      </c>
      <c r="AE325" s="25" t="str">
        <f aca="false">IF(AT325="","","")</f>
        <v/>
      </c>
      <c r="AF325" s="25" t="str">
        <f aca="false">IF(AT325="","",0)</f>
        <v/>
      </c>
      <c r="AG325" s="25" t="str">
        <f aca="false">IF(AT325="","",0)</f>
        <v/>
      </c>
      <c r="AH325" s="25" t="str">
        <f aca="false">IF(AT325="","","")</f>
        <v/>
      </c>
      <c r="AI325" s="25" t="str">
        <f aca="false">IF(AT325="","","")</f>
        <v/>
      </c>
      <c r="AJ325" s="25" t="str">
        <f aca="false">IF(AT325="","","")</f>
        <v/>
      </c>
      <c r="AK325" s="25" t="str">
        <f aca="false">IF(AT325="","",2)</f>
        <v/>
      </c>
      <c r="AL325" s="25" t="str">
        <f aca="false">IF(AT325="","","")</f>
        <v/>
      </c>
      <c r="AM325" s="25" t="str">
        <f aca="false">IF(AT325="","","")</f>
        <v/>
      </c>
      <c r="AN325" s="25" t="str">
        <f aca="false">IF(AT325="","",INDEX(入力シート!$C$5:$C$204,AT325))</f>
        <v/>
      </c>
      <c r="AO325" s="25" t="str">
        <f aca="false">IF(AT325="","","")</f>
        <v/>
      </c>
      <c r="AP325" s="25" t="str">
        <f aca="false">IF(AT325="","","")</f>
        <v/>
      </c>
      <c r="AQ325" s="25" t="str">
        <f aca="false">IF(AT325="","","")</f>
        <v/>
      </c>
      <c r="AT325" s="27" t="str">
        <f aca="false">IFERROR(MATCH(125,入力シート!$T$5:$T$204,0),"")</f>
        <v/>
      </c>
    </row>
    <row r="326" customFormat="false" ht="15" hidden="false" customHeight="true" outlineLevel="0" collapsed="false">
      <c r="A326" s="25" t="str">
        <f aca="false">IF(AT326="","",1)</f>
        <v/>
      </c>
      <c r="B326" s="25" t="str">
        <f aca="false">IF(AT326="","",1)</f>
        <v/>
      </c>
      <c r="C326" s="25" t="str">
        <f aca="false">IF(AT326="","",0)</f>
        <v/>
      </c>
      <c r="D326" s="25" t="str">
        <f aca="false">IF(AT326="","",TEXT(INDEX(入力シート!$A$5:$A$204,AT326),"YYYYMMDD"))</f>
        <v/>
      </c>
      <c r="E326" s="25" t="str">
        <f aca="false">IF(AT326="","",TEXT(INDEX(入力シート!$Q$5:$Q$204,AT326),"00000000"))</f>
        <v/>
      </c>
      <c r="F326" s="25" t="str">
        <f aca="false">IF(AT326="","",14)</f>
        <v/>
      </c>
      <c r="G326" s="25" t="str">
        <f aca="false">IF(AT326="","",1)</f>
        <v/>
      </c>
      <c r="H326" s="25" t="str">
        <f aca="false">IF(AT326="","",1)</f>
        <v/>
      </c>
      <c r="I326" s="25" t="str">
        <f aca="false">IF(AT326="","",3)</f>
        <v/>
      </c>
      <c r="J326" s="25" t="str">
        <f aca="false">IF(AT326="","",1)</f>
        <v/>
      </c>
      <c r="K326" s="25" t="str">
        <f aca="false">IF(AT326="","",INDEX(入力シート!$B$5:$B$204,AT326))</f>
        <v/>
      </c>
      <c r="L326" s="25" t="str">
        <f aca="false">IF(AT326="","","")</f>
        <v/>
      </c>
      <c r="M326" s="25" t="str">
        <f aca="false">IF(AT326="","","")</f>
        <v/>
      </c>
      <c r="N326" s="25" t="str">
        <f aca="false">IF(AT326="","",COUNTIF(入力シート!$Q$5:$Q$204,INDEX(入力シート!$Q$5:$Q$204,AT326))+1)</f>
        <v/>
      </c>
      <c r="O326" s="25" t="str">
        <f aca="false">IF(AT326="","",99)</f>
        <v/>
      </c>
      <c r="P326" s="25" t="str">
        <f aca="false">IF(AT326="","","")</f>
        <v/>
      </c>
      <c r="Q326" s="25" t="str">
        <f aca="false">IF(AT326="","","")</f>
        <v/>
      </c>
      <c r="R326" s="25" t="str">
        <f aca="false">IF(AT326="","","消費税")</f>
        <v/>
      </c>
      <c r="S326" s="25" t="str">
        <f aca="false">IF(AT326="","",0)</f>
        <v/>
      </c>
      <c r="T326" s="25" t="str">
        <f aca="false">IF(AT326="","","")</f>
        <v/>
      </c>
      <c r="U326" s="25" t="str">
        <f aca="false">IF(AT326="","",0)</f>
        <v/>
      </c>
      <c r="V326" s="25" t="str">
        <f aca="false">IF(AT326="","",0)</f>
        <v/>
      </c>
      <c r="W326" s="25" t="str">
        <f aca="false">IF(AT326="","","")</f>
        <v/>
      </c>
      <c r="X326" s="25" t="str">
        <f aca="false">IF(AT326="","",0)</f>
        <v/>
      </c>
      <c r="Y326" s="25" t="str">
        <f aca="false">IF(AT326="","",0)</f>
        <v/>
      </c>
      <c r="Z326" s="25" t="str">
        <f aca="false">IF(AT326="","",ROUNDDOWN(SUMIF(入力シート!$Q$5:$Q$204,INDEX(入力シート!$Q$5:$Q$204,AT326),入力シート!$P$5:$P$204)*IF(INDEX(入力シート!$L$5:$L$204,AT326)=13,0.1,IF(INDEX(入力シート!$L$5:$L$204,AT326)=30,0.08,0)),0))</f>
        <v/>
      </c>
      <c r="AA326" s="25" t="str">
        <f aca="false">IF(AT326="","","")</f>
        <v/>
      </c>
      <c r="AB326" s="25" t="str">
        <f aca="false">IF(AT326="","",0)</f>
        <v/>
      </c>
      <c r="AC326" s="25" t="str">
        <f aca="false">IF(AT326="","",0)</f>
        <v/>
      </c>
      <c r="AD326" s="25" t="str">
        <f aca="false">IF(AT326="","",0)</f>
        <v/>
      </c>
      <c r="AE326" s="25" t="str">
        <f aca="false">IF(AT326="","","")</f>
        <v/>
      </c>
      <c r="AF326" s="25" t="str">
        <f aca="false">IF(AT326="","",0)</f>
        <v/>
      </c>
      <c r="AG326" s="25" t="str">
        <f aca="false">IF(AT326="","",0)</f>
        <v/>
      </c>
      <c r="AH326" s="25" t="str">
        <f aca="false">IF(AT326="","","")</f>
        <v/>
      </c>
      <c r="AI326" s="25" t="str">
        <f aca="false">IF(AT326="","","")</f>
        <v/>
      </c>
      <c r="AJ326" s="25" t="str">
        <f aca="false">IF(AT326="","","")</f>
        <v/>
      </c>
      <c r="AK326" s="25" t="str">
        <f aca="false">IF(AT326="","",2)</f>
        <v/>
      </c>
      <c r="AL326" s="25" t="str">
        <f aca="false">IF(AT326="","","")</f>
        <v/>
      </c>
      <c r="AM326" s="25" t="str">
        <f aca="false">IF(AT326="","","")</f>
        <v/>
      </c>
      <c r="AN326" s="25" t="str">
        <f aca="false">IF(AT326="","",INDEX(入力シート!$C$5:$C$204,AT326))</f>
        <v/>
      </c>
      <c r="AO326" s="25" t="str">
        <f aca="false">IF(AT326="","","")</f>
        <v/>
      </c>
      <c r="AP326" s="25" t="str">
        <f aca="false">IF(AT326="","","")</f>
        <v/>
      </c>
      <c r="AQ326" s="25" t="str">
        <f aca="false">IF(AT326="","","")</f>
        <v/>
      </c>
      <c r="AT326" s="27" t="str">
        <f aca="false">IFERROR(MATCH(126,入力シート!$T$5:$T$204,0),"")</f>
        <v/>
      </c>
    </row>
    <row r="327" customFormat="false" ht="15" hidden="false" customHeight="true" outlineLevel="0" collapsed="false">
      <c r="A327" s="25" t="str">
        <f aca="false">IF(AT327="","",1)</f>
        <v/>
      </c>
      <c r="B327" s="25" t="str">
        <f aca="false">IF(AT327="","",1)</f>
        <v/>
      </c>
      <c r="C327" s="25" t="str">
        <f aca="false">IF(AT327="","",0)</f>
        <v/>
      </c>
      <c r="D327" s="25" t="str">
        <f aca="false">IF(AT327="","",TEXT(INDEX(入力シート!$A$5:$A$204,AT327),"YYYYMMDD"))</f>
        <v/>
      </c>
      <c r="E327" s="25" t="str">
        <f aca="false">IF(AT327="","",TEXT(INDEX(入力シート!$Q$5:$Q$204,AT327),"00000000"))</f>
        <v/>
      </c>
      <c r="F327" s="25" t="str">
        <f aca="false">IF(AT327="","",14)</f>
        <v/>
      </c>
      <c r="G327" s="25" t="str">
        <f aca="false">IF(AT327="","",1)</f>
        <v/>
      </c>
      <c r="H327" s="25" t="str">
        <f aca="false">IF(AT327="","",1)</f>
        <v/>
      </c>
      <c r="I327" s="25" t="str">
        <f aca="false">IF(AT327="","",3)</f>
        <v/>
      </c>
      <c r="J327" s="25" t="str">
        <f aca="false">IF(AT327="","",1)</f>
        <v/>
      </c>
      <c r="K327" s="25" t="str">
        <f aca="false">IF(AT327="","",INDEX(入力シート!$B$5:$B$204,AT327))</f>
        <v/>
      </c>
      <c r="L327" s="25" t="str">
        <f aca="false">IF(AT327="","","")</f>
        <v/>
      </c>
      <c r="M327" s="25" t="str">
        <f aca="false">IF(AT327="","","")</f>
        <v/>
      </c>
      <c r="N327" s="25" t="str">
        <f aca="false">IF(AT327="","",COUNTIF(入力シート!$Q$5:$Q$204,INDEX(入力シート!$Q$5:$Q$204,AT327))+1)</f>
        <v/>
      </c>
      <c r="O327" s="25" t="str">
        <f aca="false">IF(AT327="","",99)</f>
        <v/>
      </c>
      <c r="P327" s="25" t="str">
        <f aca="false">IF(AT327="","","")</f>
        <v/>
      </c>
      <c r="Q327" s="25" t="str">
        <f aca="false">IF(AT327="","","")</f>
        <v/>
      </c>
      <c r="R327" s="25" t="str">
        <f aca="false">IF(AT327="","","消費税")</f>
        <v/>
      </c>
      <c r="S327" s="25" t="str">
        <f aca="false">IF(AT327="","",0)</f>
        <v/>
      </c>
      <c r="T327" s="25" t="str">
        <f aca="false">IF(AT327="","","")</f>
        <v/>
      </c>
      <c r="U327" s="25" t="str">
        <f aca="false">IF(AT327="","",0)</f>
        <v/>
      </c>
      <c r="V327" s="25" t="str">
        <f aca="false">IF(AT327="","",0)</f>
        <v/>
      </c>
      <c r="W327" s="25" t="str">
        <f aca="false">IF(AT327="","","")</f>
        <v/>
      </c>
      <c r="X327" s="25" t="str">
        <f aca="false">IF(AT327="","",0)</f>
        <v/>
      </c>
      <c r="Y327" s="25" t="str">
        <f aca="false">IF(AT327="","",0)</f>
        <v/>
      </c>
      <c r="Z327" s="25" t="str">
        <f aca="false">IF(AT327="","",ROUNDDOWN(SUMIF(入力シート!$Q$5:$Q$204,INDEX(入力シート!$Q$5:$Q$204,AT327),入力シート!$P$5:$P$204)*IF(INDEX(入力シート!$L$5:$L$204,AT327)=13,0.1,IF(INDEX(入力シート!$L$5:$L$204,AT327)=30,0.08,0)),0))</f>
        <v/>
      </c>
      <c r="AA327" s="25" t="str">
        <f aca="false">IF(AT327="","","")</f>
        <v/>
      </c>
      <c r="AB327" s="25" t="str">
        <f aca="false">IF(AT327="","",0)</f>
        <v/>
      </c>
      <c r="AC327" s="25" t="str">
        <f aca="false">IF(AT327="","",0)</f>
        <v/>
      </c>
      <c r="AD327" s="25" t="str">
        <f aca="false">IF(AT327="","",0)</f>
        <v/>
      </c>
      <c r="AE327" s="25" t="str">
        <f aca="false">IF(AT327="","","")</f>
        <v/>
      </c>
      <c r="AF327" s="25" t="str">
        <f aca="false">IF(AT327="","",0)</f>
        <v/>
      </c>
      <c r="AG327" s="25" t="str">
        <f aca="false">IF(AT327="","",0)</f>
        <v/>
      </c>
      <c r="AH327" s="25" t="str">
        <f aca="false">IF(AT327="","","")</f>
        <v/>
      </c>
      <c r="AI327" s="25" t="str">
        <f aca="false">IF(AT327="","","")</f>
        <v/>
      </c>
      <c r="AJ327" s="25" t="str">
        <f aca="false">IF(AT327="","","")</f>
        <v/>
      </c>
      <c r="AK327" s="25" t="str">
        <f aca="false">IF(AT327="","",2)</f>
        <v/>
      </c>
      <c r="AL327" s="25" t="str">
        <f aca="false">IF(AT327="","","")</f>
        <v/>
      </c>
      <c r="AM327" s="25" t="str">
        <f aca="false">IF(AT327="","","")</f>
        <v/>
      </c>
      <c r="AN327" s="25" t="str">
        <f aca="false">IF(AT327="","",INDEX(入力シート!$C$5:$C$204,AT327))</f>
        <v/>
      </c>
      <c r="AO327" s="25" t="str">
        <f aca="false">IF(AT327="","","")</f>
        <v/>
      </c>
      <c r="AP327" s="25" t="str">
        <f aca="false">IF(AT327="","","")</f>
        <v/>
      </c>
      <c r="AQ327" s="25" t="str">
        <f aca="false">IF(AT327="","","")</f>
        <v/>
      </c>
      <c r="AT327" s="27" t="str">
        <f aca="false">IFERROR(MATCH(127,入力シート!$T$5:$T$204,0),"")</f>
        <v/>
      </c>
    </row>
    <row r="328" customFormat="false" ht="15" hidden="false" customHeight="true" outlineLevel="0" collapsed="false">
      <c r="A328" s="25" t="str">
        <f aca="false">IF(AT328="","",1)</f>
        <v/>
      </c>
      <c r="B328" s="25" t="str">
        <f aca="false">IF(AT328="","",1)</f>
        <v/>
      </c>
      <c r="C328" s="25" t="str">
        <f aca="false">IF(AT328="","",0)</f>
        <v/>
      </c>
      <c r="D328" s="25" t="str">
        <f aca="false">IF(AT328="","",TEXT(INDEX(入力シート!$A$5:$A$204,AT328),"YYYYMMDD"))</f>
        <v/>
      </c>
      <c r="E328" s="25" t="str">
        <f aca="false">IF(AT328="","",TEXT(INDEX(入力シート!$Q$5:$Q$204,AT328),"00000000"))</f>
        <v/>
      </c>
      <c r="F328" s="25" t="str">
        <f aca="false">IF(AT328="","",14)</f>
        <v/>
      </c>
      <c r="G328" s="25" t="str">
        <f aca="false">IF(AT328="","",1)</f>
        <v/>
      </c>
      <c r="H328" s="25" t="str">
        <f aca="false">IF(AT328="","",1)</f>
        <v/>
      </c>
      <c r="I328" s="25" t="str">
        <f aca="false">IF(AT328="","",3)</f>
        <v/>
      </c>
      <c r="J328" s="25" t="str">
        <f aca="false">IF(AT328="","",1)</f>
        <v/>
      </c>
      <c r="K328" s="25" t="str">
        <f aca="false">IF(AT328="","",INDEX(入力シート!$B$5:$B$204,AT328))</f>
        <v/>
      </c>
      <c r="L328" s="25" t="str">
        <f aca="false">IF(AT328="","","")</f>
        <v/>
      </c>
      <c r="M328" s="25" t="str">
        <f aca="false">IF(AT328="","","")</f>
        <v/>
      </c>
      <c r="N328" s="25" t="str">
        <f aca="false">IF(AT328="","",COUNTIF(入力シート!$Q$5:$Q$204,INDEX(入力シート!$Q$5:$Q$204,AT328))+1)</f>
        <v/>
      </c>
      <c r="O328" s="25" t="str">
        <f aca="false">IF(AT328="","",99)</f>
        <v/>
      </c>
      <c r="P328" s="25" t="str">
        <f aca="false">IF(AT328="","","")</f>
        <v/>
      </c>
      <c r="Q328" s="25" t="str">
        <f aca="false">IF(AT328="","","")</f>
        <v/>
      </c>
      <c r="R328" s="25" t="str">
        <f aca="false">IF(AT328="","","消費税")</f>
        <v/>
      </c>
      <c r="S328" s="25" t="str">
        <f aca="false">IF(AT328="","",0)</f>
        <v/>
      </c>
      <c r="T328" s="25" t="str">
        <f aca="false">IF(AT328="","","")</f>
        <v/>
      </c>
      <c r="U328" s="25" t="str">
        <f aca="false">IF(AT328="","",0)</f>
        <v/>
      </c>
      <c r="V328" s="25" t="str">
        <f aca="false">IF(AT328="","",0)</f>
        <v/>
      </c>
      <c r="W328" s="25" t="str">
        <f aca="false">IF(AT328="","","")</f>
        <v/>
      </c>
      <c r="X328" s="25" t="str">
        <f aca="false">IF(AT328="","",0)</f>
        <v/>
      </c>
      <c r="Y328" s="25" t="str">
        <f aca="false">IF(AT328="","",0)</f>
        <v/>
      </c>
      <c r="Z328" s="25" t="str">
        <f aca="false">IF(AT328="","",ROUNDDOWN(SUMIF(入力シート!$Q$5:$Q$204,INDEX(入力シート!$Q$5:$Q$204,AT328),入力シート!$P$5:$P$204)*IF(INDEX(入力シート!$L$5:$L$204,AT328)=13,0.1,IF(INDEX(入力シート!$L$5:$L$204,AT328)=30,0.08,0)),0))</f>
        <v/>
      </c>
      <c r="AA328" s="25" t="str">
        <f aca="false">IF(AT328="","","")</f>
        <v/>
      </c>
      <c r="AB328" s="25" t="str">
        <f aca="false">IF(AT328="","",0)</f>
        <v/>
      </c>
      <c r="AC328" s="25" t="str">
        <f aca="false">IF(AT328="","",0)</f>
        <v/>
      </c>
      <c r="AD328" s="25" t="str">
        <f aca="false">IF(AT328="","",0)</f>
        <v/>
      </c>
      <c r="AE328" s="25" t="str">
        <f aca="false">IF(AT328="","","")</f>
        <v/>
      </c>
      <c r="AF328" s="25" t="str">
        <f aca="false">IF(AT328="","",0)</f>
        <v/>
      </c>
      <c r="AG328" s="25" t="str">
        <f aca="false">IF(AT328="","",0)</f>
        <v/>
      </c>
      <c r="AH328" s="25" t="str">
        <f aca="false">IF(AT328="","","")</f>
        <v/>
      </c>
      <c r="AI328" s="25" t="str">
        <f aca="false">IF(AT328="","","")</f>
        <v/>
      </c>
      <c r="AJ328" s="25" t="str">
        <f aca="false">IF(AT328="","","")</f>
        <v/>
      </c>
      <c r="AK328" s="25" t="str">
        <f aca="false">IF(AT328="","",2)</f>
        <v/>
      </c>
      <c r="AL328" s="25" t="str">
        <f aca="false">IF(AT328="","","")</f>
        <v/>
      </c>
      <c r="AM328" s="25" t="str">
        <f aca="false">IF(AT328="","","")</f>
        <v/>
      </c>
      <c r="AN328" s="25" t="str">
        <f aca="false">IF(AT328="","",INDEX(入力シート!$C$5:$C$204,AT328))</f>
        <v/>
      </c>
      <c r="AO328" s="25" t="str">
        <f aca="false">IF(AT328="","","")</f>
        <v/>
      </c>
      <c r="AP328" s="25" t="str">
        <f aca="false">IF(AT328="","","")</f>
        <v/>
      </c>
      <c r="AQ328" s="25" t="str">
        <f aca="false">IF(AT328="","","")</f>
        <v/>
      </c>
      <c r="AT328" s="27" t="str">
        <f aca="false">IFERROR(MATCH(128,入力シート!$T$5:$T$204,0),"")</f>
        <v/>
      </c>
    </row>
    <row r="329" customFormat="false" ht="15" hidden="false" customHeight="true" outlineLevel="0" collapsed="false">
      <c r="A329" s="25" t="str">
        <f aca="false">IF(AT329="","",1)</f>
        <v/>
      </c>
      <c r="B329" s="25" t="str">
        <f aca="false">IF(AT329="","",1)</f>
        <v/>
      </c>
      <c r="C329" s="25" t="str">
        <f aca="false">IF(AT329="","",0)</f>
        <v/>
      </c>
      <c r="D329" s="25" t="str">
        <f aca="false">IF(AT329="","",TEXT(INDEX(入力シート!$A$5:$A$204,AT329),"YYYYMMDD"))</f>
        <v/>
      </c>
      <c r="E329" s="25" t="str">
        <f aca="false">IF(AT329="","",TEXT(INDEX(入力シート!$Q$5:$Q$204,AT329),"00000000"))</f>
        <v/>
      </c>
      <c r="F329" s="25" t="str">
        <f aca="false">IF(AT329="","",14)</f>
        <v/>
      </c>
      <c r="G329" s="25" t="str">
        <f aca="false">IF(AT329="","",1)</f>
        <v/>
      </c>
      <c r="H329" s="25" t="str">
        <f aca="false">IF(AT329="","",1)</f>
        <v/>
      </c>
      <c r="I329" s="25" t="str">
        <f aca="false">IF(AT329="","",3)</f>
        <v/>
      </c>
      <c r="J329" s="25" t="str">
        <f aca="false">IF(AT329="","",1)</f>
        <v/>
      </c>
      <c r="K329" s="25" t="str">
        <f aca="false">IF(AT329="","",INDEX(入力シート!$B$5:$B$204,AT329))</f>
        <v/>
      </c>
      <c r="L329" s="25" t="str">
        <f aca="false">IF(AT329="","","")</f>
        <v/>
      </c>
      <c r="M329" s="25" t="str">
        <f aca="false">IF(AT329="","","")</f>
        <v/>
      </c>
      <c r="N329" s="25" t="str">
        <f aca="false">IF(AT329="","",COUNTIF(入力シート!$Q$5:$Q$204,INDEX(入力シート!$Q$5:$Q$204,AT329))+1)</f>
        <v/>
      </c>
      <c r="O329" s="25" t="str">
        <f aca="false">IF(AT329="","",99)</f>
        <v/>
      </c>
      <c r="P329" s="25" t="str">
        <f aca="false">IF(AT329="","","")</f>
        <v/>
      </c>
      <c r="Q329" s="25" t="str">
        <f aca="false">IF(AT329="","","")</f>
        <v/>
      </c>
      <c r="R329" s="25" t="str">
        <f aca="false">IF(AT329="","","消費税")</f>
        <v/>
      </c>
      <c r="S329" s="25" t="str">
        <f aca="false">IF(AT329="","",0)</f>
        <v/>
      </c>
      <c r="T329" s="25" t="str">
        <f aca="false">IF(AT329="","","")</f>
        <v/>
      </c>
      <c r="U329" s="25" t="str">
        <f aca="false">IF(AT329="","",0)</f>
        <v/>
      </c>
      <c r="V329" s="25" t="str">
        <f aca="false">IF(AT329="","",0)</f>
        <v/>
      </c>
      <c r="W329" s="25" t="str">
        <f aca="false">IF(AT329="","","")</f>
        <v/>
      </c>
      <c r="X329" s="25" t="str">
        <f aca="false">IF(AT329="","",0)</f>
        <v/>
      </c>
      <c r="Y329" s="25" t="str">
        <f aca="false">IF(AT329="","",0)</f>
        <v/>
      </c>
      <c r="Z329" s="25" t="str">
        <f aca="false">IF(AT329="","",ROUNDDOWN(SUMIF(入力シート!$Q$5:$Q$204,INDEX(入力シート!$Q$5:$Q$204,AT329),入力シート!$P$5:$P$204)*IF(INDEX(入力シート!$L$5:$L$204,AT329)=13,0.1,IF(INDEX(入力シート!$L$5:$L$204,AT329)=30,0.08,0)),0))</f>
        <v/>
      </c>
      <c r="AA329" s="25" t="str">
        <f aca="false">IF(AT329="","","")</f>
        <v/>
      </c>
      <c r="AB329" s="25" t="str">
        <f aca="false">IF(AT329="","",0)</f>
        <v/>
      </c>
      <c r="AC329" s="25" t="str">
        <f aca="false">IF(AT329="","",0)</f>
        <v/>
      </c>
      <c r="AD329" s="25" t="str">
        <f aca="false">IF(AT329="","",0)</f>
        <v/>
      </c>
      <c r="AE329" s="25" t="str">
        <f aca="false">IF(AT329="","","")</f>
        <v/>
      </c>
      <c r="AF329" s="25" t="str">
        <f aca="false">IF(AT329="","",0)</f>
        <v/>
      </c>
      <c r="AG329" s="25" t="str">
        <f aca="false">IF(AT329="","",0)</f>
        <v/>
      </c>
      <c r="AH329" s="25" t="str">
        <f aca="false">IF(AT329="","","")</f>
        <v/>
      </c>
      <c r="AI329" s="25" t="str">
        <f aca="false">IF(AT329="","","")</f>
        <v/>
      </c>
      <c r="AJ329" s="25" t="str">
        <f aca="false">IF(AT329="","","")</f>
        <v/>
      </c>
      <c r="AK329" s="25" t="str">
        <f aca="false">IF(AT329="","",2)</f>
        <v/>
      </c>
      <c r="AL329" s="25" t="str">
        <f aca="false">IF(AT329="","","")</f>
        <v/>
      </c>
      <c r="AM329" s="25" t="str">
        <f aca="false">IF(AT329="","","")</f>
        <v/>
      </c>
      <c r="AN329" s="25" t="str">
        <f aca="false">IF(AT329="","",INDEX(入力シート!$C$5:$C$204,AT329))</f>
        <v/>
      </c>
      <c r="AO329" s="25" t="str">
        <f aca="false">IF(AT329="","","")</f>
        <v/>
      </c>
      <c r="AP329" s="25" t="str">
        <f aca="false">IF(AT329="","","")</f>
        <v/>
      </c>
      <c r="AQ329" s="25" t="str">
        <f aca="false">IF(AT329="","","")</f>
        <v/>
      </c>
      <c r="AT329" s="27" t="str">
        <f aca="false">IFERROR(MATCH(129,入力シート!$T$5:$T$204,0),"")</f>
        <v/>
      </c>
    </row>
    <row r="330" customFormat="false" ht="15" hidden="false" customHeight="true" outlineLevel="0" collapsed="false">
      <c r="A330" s="25" t="str">
        <f aca="false">IF(AT330="","",1)</f>
        <v/>
      </c>
      <c r="B330" s="25" t="str">
        <f aca="false">IF(AT330="","",1)</f>
        <v/>
      </c>
      <c r="C330" s="25" t="str">
        <f aca="false">IF(AT330="","",0)</f>
        <v/>
      </c>
      <c r="D330" s="25" t="str">
        <f aca="false">IF(AT330="","",TEXT(INDEX(入力シート!$A$5:$A$204,AT330),"YYYYMMDD"))</f>
        <v/>
      </c>
      <c r="E330" s="25" t="str">
        <f aca="false">IF(AT330="","",TEXT(INDEX(入力シート!$Q$5:$Q$204,AT330),"00000000"))</f>
        <v/>
      </c>
      <c r="F330" s="25" t="str">
        <f aca="false">IF(AT330="","",14)</f>
        <v/>
      </c>
      <c r="G330" s="25" t="str">
        <f aca="false">IF(AT330="","",1)</f>
        <v/>
      </c>
      <c r="H330" s="25" t="str">
        <f aca="false">IF(AT330="","",1)</f>
        <v/>
      </c>
      <c r="I330" s="25" t="str">
        <f aca="false">IF(AT330="","",3)</f>
        <v/>
      </c>
      <c r="J330" s="25" t="str">
        <f aca="false">IF(AT330="","",1)</f>
        <v/>
      </c>
      <c r="K330" s="25" t="str">
        <f aca="false">IF(AT330="","",INDEX(入力シート!$B$5:$B$204,AT330))</f>
        <v/>
      </c>
      <c r="L330" s="25" t="str">
        <f aca="false">IF(AT330="","","")</f>
        <v/>
      </c>
      <c r="M330" s="25" t="str">
        <f aca="false">IF(AT330="","","")</f>
        <v/>
      </c>
      <c r="N330" s="25" t="str">
        <f aca="false">IF(AT330="","",COUNTIF(入力シート!$Q$5:$Q$204,INDEX(入力シート!$Q$5:$Q$204,AT330))+1)</f>
        <v/>
      </c>
      <c r="O330" s="25" t="str">
        <f aca="false">IF(AT330="","",99)</f>
        <v/>
      </c>
      <c r="P330" s="25" t="str">
        <f aca="false">IF(AT330="","","")</f>
        <v/>
      </c>
      <c r="Q330" s="25" t="str">
        <f aca="false">IF(AT330="","","")</f>
        <v/>
      </c>
      <c r="R330" s="25" t="str">
        <f aca="false">IF(AT330="","","消費税")</f>
        <v/>
      </c>
      <c r="S330" s="25" t="str">
        <f aca="false">IF(AT330="","",0)</f>
        <v/>
      </c>
      <c r="T330" s="25" t="str">
        <f aca="false">IF(AT330="","","")</f>
        <v/>
      </c>
      <c r="U330" s="25" t="str">
        <f aca="false">IF(AT330="","",0)</f>
        <v/>
      </c>
      <c r="V330" s="25" t="str">
        <f aca="false">IF(AT330="","",0)</f>
        <v/>
      </c>
      <c r="W330" s="25" t="str">
        <f aca="false">IF(AT330="","","")</f>
        <v/>
      </c>
      <c r="X330" s="25" t="str">
        <f aca="false">IF(AT330="","",0)</f>
        <v/>
      </c>
      <c r="Y330" s="25" t="str">
        <f aca="false">IF(AT330="","",0)</f>
        <v/>
      </c>
      <c r="Z330" s="25" t="str">
        <f aca="false">IF(AT330="","",ROUNDDOWN(SUMIF(入力シート!$Q$5:$Q$204,INDEX(入力シート!$Q$5:$Q$204,AT330),入力シート!$P$5:$P$204)*IF(INDEX(入力シート!$L$5:$L$204,AT330)=13,0.1,IF(INDEX(入力シート!$L$5:$L$204,AT330)=30,0.08,0)),0))</f>
        <v/>
      </c>
      <c r="AA330" s="25" t="str">
        <f aca="false">IF(AT330="","","")</f>
        <v/>
      </c>
      <c r="AB330" s="25" t="str">
        <f aca="false">IF(AT330="","",0)</f>
        <v/>
      </c>
      <c r="AC330" s="25" t="str">
        <f aca="false">IF(AT330="","",0)</f>
        <v/>
      </c>
      <c r="AD330" s="25" t="str">
        <f aca="false">IF(AT330="","",0)</f>
        <v/>
      </c>
      <c r="AE330" s="25" t="str">
        <f aca="false">IF(AT330="","","")</f>
        <v/>
      </c>
      <c r="AF330" s="25" t="str">
        <f aca="false">IF(AT330="","",0)</f>
        <v/>
      </c>
      <c r="AG330" s="25" t="str">
        <f aca="false">IF(AT330="","",0)</f>
        <v/>
      </c>
      <c r="AH330" s="25" t="str">
        <f aca="false">IF(AT330="","","")</f>
        <v/>
      </c>
      <c r="AI330" s="25" t="str">
        <f aca="false">IF(AT330="","","")</f>
        <v/>
      </c>
      <c r="AJ330" s="25" t="str">
        <f aca="false">IF(AT330="","","")</f>
        <v/>
      </c>
      <c r="AK330" s="25" t="str">
        <f aca="false">IF(AT330="","",2)</f>
        <v/>
      </c>
      <c r="AL330" s="25" t="str">
        <f aca="false">IF(AT330="","","")</f>
        <v/>
      </c>
      <c r="AM330" s="25" t="str">
        <f aca="false">IF(AT330="","","")</f>
        <v/>
      </c>
      <c r="AN330" s="25" t="str">
        <f aca="false">IF(AT330="","",INDEX(入力シート!$C$5:$C$204,AT330))</f>
        <v/>
      </c>
      <c r="AO330" s="25" t="str">
        <f aca="false">IF(AT330="","","")</f>
        <v/>
      </c>
      <c r="AP330" s="25" t="str">
        <f aca="false">IF(AT330="","","")</f>
        <v/>
      </c>
      <c r="AQ330" s="25" t="str">
        <f aca="false">IF(AT330="","","")</f>
        <v/>
      </c>
      <c r="AT330" s="27" t="str">
        <f aca="false">IFERROR(MATCH(130,入力シート!$T$5:$T$204,0),"")</f>
        <v/>
      </c>
    </row>
    <row r="331" customFormat="false" ht="15" hidden="false" customHeight="true" outlineLevel="0" collapsed="false">
      <c r="A331" s="25" t="str">
        <f aca="false">IF(AT331="","",1)</f>
        <v/>
      </c>
      <c r="B331" s="25" t="str">
        <f aca="false">IF(AT331="","",1)</f>
        <v/>
      </c>
      <c r="C331" s="25" t="str">
        <f aca="false">IF(AT331="","",0)</f>
        <v/>
      </c>
      <c r="D331" s="25" t="str">
        <f aca="false">IF(AT331="","",TEXT(INDEX(入力シート!$A$5:$A$204,AT331),"YYYYMMDD"))</f>
        <v/>
      </c>
      <c r="E331" s="25" t="str">
        <f aca="false">IF(AT331="","",TEXT(INDEX(入力シート!$Q$5:$Q$204,AT331),"00000000"))</f>
        <v/>
      </c>
      <c r="F331" s="25" t="str">
        <f aca="false">IF(AT331="","",14)</f>
        <v/>
      </c>
      <c r="G331" s="25" t="str">
        <f aca="false">IF(AT331="","",1)</f>
        <v/>
      </c>
      <c r="H331" s="25" t="str">
        <f aca="false">IF(AT331="","",1)</f>
        <v/>
      </c>
      <c r="I331" s="25" t="str">
        <f aca="false">IF(AT331="","",3)</f>
        <v/>
      </c>
      <c r="J331" s="25" t="str">
        <f aca="false">IF(AT331="","",1)</f>
        <v/>
      </c>
      <c r="K331" s="25" t="str">
        <f aca="false">IF(AT331="","",INDEX(入力シート!$B$5:$B$204,AT331))</f>
        <v/>
      </c>
      <c r="L331" s="25" t="str">
        <f aca="false">IF(AT331="","","")</f>
        <v/>
      </c>
      <c r="M331" s="25" t="str">
        <f aca="false">IF(AT331="","","")</f>
        <v/>
      </c>
      <c r="N331" s="25" t="str">
        <f aca="false">IF(AT331="","",COUNTIF(入力シート!$Q$5:$Q$204,INDEX(入力シート!$Q$5:$Q$204,AT331))+1)</f>
        <v/>
      </c>
      <c r="O331" s="25" t="str">
        <f aca="false">IF(AT331="","",99)</f>
        <v/>
      </c>
      <c r="P331" s="25" t="str">
        <f aca="false">IF(AT331="","","")</f>
        <v/>
      </c>
      <c r="Q331" s="25" t="str">
        <f aca="false">IF(AT331="","","")</f>
        <v/>
      </c>
      <c r="R331" s="25" t="str">
        <f aca="false">IF(AT331="","","消費税")</f>
        <v/>
      </c>
      <c r="S331" s="25" t="str">
        <f aca="false">IF(AT331="","",0)</f>
        <v/>
      </c>
      <c r="T331" s="25" t="str">
        <f aca="false">IF(AT331="","","")</f>
        <v/>
      </c>
      <c r="U331" s="25" t="str">
        <f aca="false">IF(AT331="","",0)</f>
        <v/>
      </c>
      <c r="V331" s="25" t="str">
        <f aca="false">IF(AT331="","",0)</f>
        <v/>
      </c>
      <c r="W331" s="25" t="str">
        <f aca="false">IF(AT331="","","")</f>
        <v/>
      </c>
      <c r="X331" s="25" t="str">
        <f aca="false">IF(AT331="","",0)</f>
        <v/>
      </c>
      <c r="Y331" s="25" t="str">
        <f aca="false">IF(AT331="","",0)</f>
        <v/>
      </c>
      <c r="Z331" s="25" t="str">
        <f aca="false">IF(AT331="","",ROUNDDOWN(SUMIF(入力シート!$Q$5:$Q$204,INDEX(入力シート!$Q$5:$Q$204,AT331),入力シート!$P$5:$P$204)*IF(INDEX(入力シート!$L$5:$L$204,AT331)=13,0.1,IF(INDEX(入力シート!$L$5:$L$204,AT331)=30,0.08,0)),0))</f>
        <v/>
      </c>
      <c r="AA331" s="25" t="str">
        <f aca="false">IF(AT331="","","")</f>
        <v/>
      </c>
      <c r="AB331" s="25" t="str">
        <f aca="false">IF(AT331="","",0)</f>
        <v/>
      </c>
      <c r="AC331" s="25" t="str">
        <f aca="false">IF(AT331="","",0)</f>
        <v/>
      </c>
      <c r="AD331" s="25" t="str">
        <f aca="false">IF(AT331="","",0)</f>
        <v/>
      </c>
      <c r="AE331" s="25" t="str">
        <f aca="false">IF(AT331="","","")</f>
        <v/>
      </c>
      <c r="AF331" s="25" t="str">
        <f aca="false">IF(AT331="","",0)</f>
        <v/>
      </c>
      <c r="AG331" s="25" t="str">
        <f aca="false">IF(AT331="","",0)</f>
        <v/>
      </c>
      <c r="AH331" s="25" t="str">
        <f aca="false">IF(AT331="","","")</f>
        <v/>
      </c>
      <c r="AI331" s="25" t="str">
        <f aca="false">IF(AT331="","","")</f>
        <v/>
      </c>
      <c r="AJ331" s="25" t="str">
        <f aca="false">IF(AT331="","","")</f>
        <v/>
      </c>
      <c r="AK331" s="25" t="str">
        <f aca="false">IF(AT331="","",2)</f>
        <v/>
      </c>
      <c r="AL331" s="25" t="str">
        <f aca="false">IF(AT331="","","")</f>
        <v/>
      </c>
      <c r="AM331" s="25" t="str">
        <f aca="false">IF(AT331="","","")</f>
        <v/>
      </c>
      <c r="AN331" s="25" t="str">
        <f aca="false">IF(AT331="","",INDEX(入力シート!$C$5:$C$204,AT331))</f>
        <v/>
      </c>
      <c r="AO331" s="25" t="str">
        <f aca="false">IF(AT331="","","")</f>
        <v/>
      </c>
      <c r="AP331" s="25" t="str">
        <f aca="false">IF(AT331="","","")</f>
        <v/>
      </c>
      <c r="AQ331" s="25" t="str">
        <f aca="false">IF(AT331="","","")</f>
        <v/>
      </c>
      <c r="AT331" s="27" t="str">
        <f aca="false">IFERROR(MATCH(131,入力シート!$T$5:$T$204,0),"")</f>
        <v/>
      </c>
    </row>
    <row r="332" customFormat="false" ht="15" hidden="false" customHeight="true" outlineLevel="0" collapsed="false">
      <c r="A332" s="25" t="str">
        <f aca="false">IF(AT332="","",1)</f>
        <v/>
      </c>
      <c r="B332" s="25" t="str">
        <f aca="false">IF(AT332="","",1)</f>
        <v/>
      </c>
      <c r="C332" s="25" t="str">
        <f aca="false">IF(AT332="","",0)</f>
        <v/>
      </c>
      <c r="D332" s="25" t="str">
        <f aca="false">IF(AT332="","",TEXT(INDEX(入力シート!$A$5:$A$204,AT332),"YYYYMMDD"))</f>
        <v/>
      </c>
      <c r="E332" s="25" t="str">
        <f aca="false">IF(AT332="","",TEXT(INDEX(入力シート!$Q$5:$Q$204,AT332),"00000000"))</f>
        <v/>
      </c>
      <c r="F332" s="25" t="str">
        <f aca="false">IF(AT332="","",14)</f>
        <v/>
      </c>
      <c r="G332" s="25" t="str">
        <f aca="false">IF(AT332="","",1)</f>
        <v/>
      </c>
      <c r="H332" s="25" t="str">
        <f aca="false">IF(AT332="","",1)</f>
        <v/>
      </c>
      <c r="I332" s="25" t="str">
        <f aca="false">IF(AT332="","",3)</f>
        <v/>
      </c>
      <c r="J332" s="25" t="str">
        <f aca="false">IF(AT332="","",1)</f>
        <v/>
      </c>
      <c r="K332" s="25" t="str">
        <f aca="false">IF(AT332="","",INDEX(入力シート!$B$5:$B$204,AT332))</f>
        <v/>
      </c>
      <c r="L332" s="25" t="str">
        <f aca="false">IF(AT332="","","")</f>
        <v/>
      </c>
      <c r="M332" s="25" t="str">
        <f aca="false">IF(AT332="","","")</f>
        <v/>
      </c>
      <c r="N332" s="25" t="str">
        <f aca="false">IF(AT332="","",COUNTIF(入力シート!$Q$5:$Q$204,INDEX(入力シート!$Q$5:$Q$204,AT332))+1)</f>
        <v/>
      </c>
      <c r="O332" s="25" t="str">
        <f aca="false">IF(AT332="","",99)</f>
        <v/>
      </c>
      <c r="P332" s="25" t="str">
        <f aca="false">IF(AT332="","","")</f>
        <v/>
      </c>
      <c r="Q332" s="25" t="str">
        <f aca="false">IF(AT332="","","")</f>
        <v/>
      </c>
      <c r="R332" s="25" t="str">
        <f aca="false">IF(AT332="","","消費税")</f>
        <v/>
      </c>
      <c r="S332" s="25" t="str">
        <f aca="false">IF(AT332="","",0)</f>
        <v/>
      </c>
      <c r="T332" s="25" t="str">
        <f aca="false">IF(AT332="","","")</f>
        <v/>
      </c>
      <c r="U332" s="25" t="str">
        <f aca="false">IF(AT332="","",0)</f>
        <v/>
      </c>
      <c r="V332" s="25" t="str">
        <f aca="false">IF(AT332="","",0)</f>
        <v/>
      </c>
      <c r="W332" s="25" t="str">
        <f aca="false">IF(AT332="","","")</f>
        <v/>
      </c>
      <c r="X332" s="25" t="str">
        <f aca="false">IF(AT332="","",0)</f>
        <v/>
      </c>
      <c r="Y332" s="25" t="str">
        <f aca="false">IF(AT332="","",0)</f>
        <v/>
      </c>
      <c r="Z332" s="25" t="str">
        <f aca="false">IF(AT332="","",ROUNDDOWN(SUMIF(入力シート!$Q$5:$Q$204,INDEX(入力シート!$Q$5:$Q$204,AT332),入力シート!$P$5:$P$204)*IF(INDEX(入力シート!$L$5:$L$204,AT332)=13,0.1,IF(INDEX(入力シート!$L$5:$L$204,AT332)=30,0.08,0)),0))</f>
        <v/>
      </c>
      <c r="AA332" s="25" t="str">
        <f aca="false">IF(AT332="","","")</f>
        <v/>
      </c>
      <c r="AB332" s="25" t="str">
        <f aca="false">IF(AT332="","",0)</f>
        <v/>
      </c>
      <c r="AC332" s="25" t="str">
        <f aca="false">IF(AT332="","",0)</f>
        <v/>
      </c>
      <c r="AD332" s="25" t="str">
        <f aca="false">IF(AT332="","",0)</f>
        <v/>
      </c>
      <c r="AE332" s="25" t="str">
        <f aca="false">IF(AT332="","","")</f>
        <v/>
      </c>
      <c r="AF332" s="25" t="str">
        <f aca="false">IF(AT332="","",0)</f>
        <v/>
      </c>
      <c r="AG332" s="25" t="str">
        <f aca="false">IF(AT332="","",0)</f>
        <v/>
      </c>
      <c r="AH332" s="25" t="str">
        <f aca="false">IF(AT332="","","")</f>
        <v/>
      </c>
      <c r="AI332" s="25" t="str">
        <f aca="false">IF(AT332="","","")</f>
        <v/>
      </c>
      <c r="AJ332" s="25" t="str">
        <f aca="false">IF(AT332="","","")</f>
        <v/>
      </c>
      <c r="AK332" s="25" t="str">
        <f aca="false">IF(AT332="","",2)</f>
        <v/>
      </c>
      <c r="AL332" s="25" t="str">
        <f aca="false">IF(AT332="","","")</f>
        <v/>
      </c>
      <c r="AM332" s="25" t="str">
        <f aca="false">IF(AT332="","","")</f>
        <v/>
      </c>
      <c r="AN332" s="25" t="str">
        <f aca="false">IF(AT332="","",INDEX(入力シート!$C$5:$C$204,AT332))</f>
        <v/>
      </c>
      <c r="AO332" s="25" t="str">
        <f aca="false">IF(AT332="","","")</f>
        <v/>
      </c>
      <c r="AP332" s="25" t="str">
        <f aca="false">IF(AT332="","","")</f>
        <v/>
      </c>
      <c r="AQ332" s="25" t="str">
        <f aca="false">IF(AT332="","","")</f>
        <v/>
      </c>
      <c r="AT332" s="27" t="str">
        <f aca="false">IFERROR(MATCH(132,入力シート!$T$5:$T$204,0),"")</f>
        <v/>
      </c>
    </row>
    <row r="333" customFormat="false" ht="15" hidden="false" customHeight="true" outlineLevel="0" collapsed="false">
      <c r="A333" s="25" t="str">
        <f aca="false">IF(AT333="","",1)</f>
        <v/>
      </c>
      <c r="B333" s="25" t="str">
        <f aca="false">IF(AT333="","",1)</f>
        <v/>
      </c>
      <c r="C333" s="25" t="str">
        <f aca="false">IF(AT333="","",0)</f>
        <v/>
      </c>
      <c r="D333" s="25" t="str">
        <f aca="false">IF(AT333="","",TEXT(INDEX(入力シート!$A$5:$A$204,AT333),"YYYYMMDD"))</f>
        <v/>
      </c>
      <c r="E333" s="25" t="str">
        <f aca="false">IF(AT333="","",TEXT(INDEX(入力シート!$Q$5:$Q$204,AT333),"00000000"))</f>
        <v/>
      </c>
      <c r="F333" s="25" t="str">
        <f aca="false">IF(AT333="","",14)</f>
        <v/>
      </c>
      <c r="G333" s="25" t="str">
        <f aca="false">IF(AT333="","",1)</f>
        <v/>
      </c>
      <c r="H333" s="25" t="str">
        <f aca="false">IF(AT333="","",1)</f>
        <v/>
      </c>
      <c r="I333" s="25" t="str">
        <f aca="false">IF(AT333="","",3)</f>
        <v/>
      </c>
      <c r="J333" s="25" t="str">
        <f aca="false">IF(AT333="","",1)</f>
        <v/>
      </c>
      <c r="K333" s="25" t="str">
        <f aca="false">IF(AT333="","",INDEX(入力シート!$B$5:$B$204,AT333))</f>
        <v/>
      </c>
      <c r="L333" s="25" t="str">
        <f aca="false">IF(AT333="","","")</f>
        <v/>
      </c>
      <c r="M333" s="25" t="str">
        <f aca="false">IF(AT333="","","")</f>
        <v/>
      </c>
      <c r="N333" s="25" t="str">
        <f aca="false">IF(AT333="","",COUNTIF(入力シート!$Q$5:$Q$204,INDEX(入力シート!$Q$5:$Q$204,AT333))+1)</f>
        <v/>
      </c>
      <c r="O333" s="25" t="str">
        <f aca="false">IF(AT333="","",99)</f>
        <v/>
      </c>
      <c r="P333" s="25" t="str">
        <f aca="false">IF(AT333="","","")</f>
        <v/>
      </c>
      <c r="Q333" s="25" t="str">
        <f aca="false">IF(AT333="","","")</f>
        <v/>
      </c>
      <c r="R333" s="25" t="str">
        <f aca="false">IF(AT333="","","消費税")</f>
        <v/>
      </c>
      <c r="S333" s="25" t="str">
        <f aca="false">IF(AT333="","",0)</f>
        <v/>
      </c>
      <c r="T333" s="25" t="str">
        <f aca="false">IF(AT333="","","")</f>
        <v/>
      </c>
      <c r="U333" s="25" t="str">
        <f aca="false">IF(AT333="","",0)</f>
        <v/>
      </c>
      <c r="V333" s="25" t="str">
        <f aca="false">IF(AT333="","",0)</f>
        <v/>
      </c>
      <c r="W333" s="25" t="str">
        <f aca="false">IF(AT333="","","")</f>
        <v/>
      </c>
      <c r="X333" s="25" t="str">
        <f aca="false">IF(AT333="","",0)</f>
        <v/>
      </c>
      <c r="Y333" s="25" t="str">
        <f aca="false">IF(AT333="","",0)</f>
        <v/>
      </c>
      <c r="Z333" s="25" t="str">
        <f aca="false">IF(AT333="","",ROUNDDOWN(SUMIF(入力シート!$Q$5:$Q$204,INDEX(入力シート!$Q$5:$Q$204,AT333),入力シート!$P$5:$P$204)*IF(INDEX(入力シート!$L$5:$L$204,AT333)=13,0.1,IF(INDEX(入力シート!$L$5:$L$204,AT333)=30,0.08,0)),0))</f>
        <v/>
      </c>
      <c r="AA333" s="25" t="str">
        <f aca="false">IF(AT333="","","")</f>
        <v/>
      </c>
      <c r="AB333" s="25" t="str">
        <f aca="false">IF(AT333="","",0)</f>
        <v/>
      </c>
      <c r="AC333" s="25" t="str">
        <f aca="false">IF(AT333="","",0)</f>
        <v/>
      </c>
      <c r="AD333" s="25" t="str">
        <f aca="false">IF(AT333="","",0)</f>
        <v/>
      </c>
      <c r="AE333" s="25" t="str">
        <f aca="false">IF(AT333="","","")</f>
        <v/>
      </c>
      <c r="AF333" s="25" t="str">
        <f aca="false">IF(AT333="","",0)</f>
        <v/>
      </c>
      <c r="AG333" s="25" t="str">
        <f aca="false">IF(AT333="","",0)</f>
        <v/>
      </c>
      <c r="AH333" s="25" t="str">
        <f aca="false">IF(AT333="","","")</f>
        <v/>
      </c>
      <c r="AI333" s="25" t="str">
        <f aca="false">IF(AT333="","","")</f>
        <v/>
      </c>
      <c r="AJ333" s="25" t="str">
        <f aca="false">IF(AT333="","","")</f>
        <v/>
      </c>
      <c r="AK333" s="25" t="str">
        <f aca="false">IF(AT333="","",2)</f>
        <v/>
      </c>
      <c r="AL333" s="25" t="str">
        <f aca="false">IF(AT333="","","")</f>
        <v/>
      </c>
      <c r="AM333" s="25" t="str">
        <f aca="false">IF(AT333="","","")</f>
        <v/>
      </c>
      <c r="AN333" s="25" t="str">
        <f aca="false">IF(AT333="","",INDEX(入力シート!$C$5:$C$204,AT333))</f>
        <v/>
      </c>
      <c r="AO333" s="25" t="str">
        <f aca="false">IF(AT333="","","")</f>
        <v/>
      </c>
      <c r="AP333" s="25" t="str">
        <f aca="false">IF(AT333="","","")</f>
        <v/>
      </c>
      <c r="AQ333" s="25" t="str">
        <f aca="false">IF(AT333="","","")</f>
        <v/>
      </c>
      <c r="AT333" s="27" t="str">
        <f aca="false">IFERROR(MATCH(133,入力シート!$T$5:$T$204,0),"")</f>
        <v/>
      </c>
    </row>
    <row r="334" customFormat="false" ht="15" hidden="false" customHeight="true" outlineLevel="0" collapsed="false">
      <c r="A334" s="25" t="str">
        <f aca="false">IF(AT334="","",1)</f>
        <v/>
      </c>
      <c r="B334" s="25" t="str">
        <f aca="false">IF(AT334="","",1)</f>
        <v/>
      </c>
      <c r="C334" s="25" t="str">
        <f aca="false">IF(AT334="","",0)</f>
        <v/>
      </c>
      <c r="D334" s="25" t="str">
        <f aca="false">IF(AT334="","",TEXT(INDEX(入力シート!$A$5:$A$204,AT334),"YYYYMMDD"))</f>
        <v/>
      </c>
      <c r="E334" s="25" t="str">
        <f aca="false">IF(AT334="","",TEXT(INDEX(入力シート!$Q$5:$Q$204,AT334),"00000000"))</f>
        <v/>
      </c>
      <c r="F334" s="25" t="str">
        <f aca="false">IF(AT334="","",14)</f>
        <v/>
      </c>
      <c r="G334" s="25" t="str">
        <f aca="false">IF(AT334="","",1)</f>
        <v/>
      </c>
      <c r="H334" s="25" t="str">
        <f aca="false">IF(AT334="","",1)</f>
        <v/>
      </c>
      <c r="I334" s="25" t="str">
        <f aca="false">IF(AT334="","",3)</f>
        <v/>
      </c>
      <c r="J334" s="25" t="str">
        <f aca="false">IF(AT334="","",1)</f>
        <v/>
      </c>
      <c r="K334" s="25" t="str">
        <f aca="false">IF(AT334="","",INDEX(入力シート!$B$5:$B$204,AT334))</f>
        <v/>
      </c>
      <c r="L334" s="25" t="str">
        <f aca="false">IF(AT334="","","")</f>
        <v/>
      </c>
      <c r="M334" s="25" t="str">
        <f aca="false">IF(AT334="","","")</f>
        <v/>
      </c>
      <c r="N334" s="25" t="str">
        <f aca="false">IF(AT334="","",COUNTIF(入力シート!$Q$5:$Q$204,INDEX(入力シート!$Q$5:$Q$204,AT334))+1)</f>
        <v/>
      </c>
      <c r="O334" s="25" t="str">
        <f aca="false">IF(AT334="","",99)</f>
        <v/>
      </c>
      <c r="P334" s="25" t="str">
        <f aca="false">IF(AT334="","","")</f>
        <v/>
      </c>
      <c r="Q334" s="25" t="str">
        <f aca="false">IF(AT334="","","")</f>
        <v/>
      </c>
      <c r="R334" s="25" t="str">
        <f aca="false">IF(AT334="","","消費税")</f>
        <v/>
      </c>
      <c r="S334" s="25" t="str">
        <f aca="false">IF(AT334="","",0)</f>
        <v/>
      </c>
      <c r="T334" s="25" t="str">
        <f aca="false">IF(AT334="","","")</f>
        <v/>
      </c>
      <c r="U334" s="25" t="str">
        <f aca="false">IF(AT334="","",0)</f>
        <v/>
      </c>
      <c r="V334" s="25" t="str">
        <f aca="false">IF(AT334="","",0)</f>
        <v/>
      </c>
      <c r="W334" s="25" t="str">
        <f aca="false">IF(AT334="","","")</f>
        <v/>
      </c>
      <c r="X334" s="25" t="str">
        <f aca="false">IF(AT334="","",0)</f>
        <v/>
      </c>
      <c r="Y334" s="25" t="str">
        <f aca="false">IF(AT334="","",0)</f>
        <v/>
      </c>
      <c r="Z334" s="25" t="str">
        <f aca="false">IF(AT334="","",ROUNDDOWN(SUMIF(入力シート!$Q$5:$Q$204,INDEX(入力シート!$Q$5:$Q$204,AT334),入力シート!$P$5:$P$204)*IF(INDEX(入力シート!$L$5:$L$204,AT334)=13,0.1,IF(INDEX(入力シート!$L$5:$L$204,AT334)=30,0.08,0)),0))</f>
        <v/>
      </c>
      <c r="AA334" s="25" t="str">
        <f aca="false">IF(AT334="","","")</f>
        <v/>
      </c>
      <c r="AB334" s="25" t="str">
        <f aca="false">IF(AT334="","",0)</f>
        <v/>
      </c>
      <c r="AC334" s="25" t="str">
        <f aca="false">IF(AT334="","",0)</f>
        <v/>
      </c>
      <c r="AD334" s="25" t="str">
        <f aca="false">IF(AT334="","",0)</f>
        <v/>
      </c>
      <c r="AE334" s="25" t="str">
        <f aca="false">IF(AT334="","","")</f>
        <v/>
      </c>
      <c r="AF334" s="25" t="str">
        <f aca="false">IF(AT334="","",0)</f>
        <v/>
      </c>
      <c r="AG334" s="25" t="str">
        <f aca="false">IF(AT334="","",0)</f>
        <v/>
      </c>
      <c r="AH334" s="25" t="str">
        <f aca="false">IF(AT334="","","")</f>
        <v/>
      </c>
      <c r="AI334" s="25" t="str">
        <f aca="false">IF(AT334="","","")</f>
        <v/>
      </c>
      <c r="AJ334" s="25" t="str">
        <f aca="false">IF(AT334="","","")</f>
        <v/>
      </c>
      <c r="AK334" s="25" t="str">
        <f aca="false">IF(AT334="","",2)</f>
        <v/>
      </c>
      <c r="AL334" s="25" t="str">
        <f aca="false">IF(AT334="","","")</f>
        <v/>
      </c>
      <c r="AM334" s="25" t="str">
        <f aca="false">IF(AT334="","","")</f>
        <v/>
      </c>
      <c r="AN334" s="25" t="str">
        <f aca="false">IF(AT334="","",INDEX(入力シート!$C$5:$C$204,AT334))</f>
        <v/>
      </c>
      <c r="AO334" s="25" t="str">
        <f aca="false">IF(AT334="","","")</f>
        <v/>
      </c>
      <c r="AP334" s="25" t="str">
        <f aca="false">IF(AT334="","","")</f>
        <v/>
      </c>
      <c r="AQ334" s="25" t="str">
        <f aca="false">IF(AT334="","","")</f>
        <v/>
      </c>
      <c r="AT334" s="27" t="str">
        <f aca="false">IFERROR(MATCH(134,入力シート!$T$5:$T$204,0),"")</f>
        <v/>
      </c>
    </row>
    <row r="335" customFormat="false" ht="15" hidden="false" customHeight="true" outlineLevel="0" collapsed="false">
      <c r="A335" s="25" t="str">
        <f aca="false">IF(AT335="","",1)</f>
        <v/>
      </c>
      <c r="B335" s="25" t="str">
        <f aca="false">IF(AT335="","",1)</f>
        <v/>
      </c>
      <c r="C335" s="25" t="str">
        <f aca="false">IF(AT335="","",0)</f>
        <v/>
      </c>
      <c r="D335" s="25" t="str">
        <f aca="false">IF(AT335="","",TEXT(INDEX(入力シート!$A$5:$A$204,AT335),"YYYYMMDD"))</f>
        <v/>
      </c>
      <c r="E335" s="25" t="str">
        <f aca="false">IF(AT335="","",TEXT(INDEX(入力シート!$Q$5:$Q$204,AT335),"00000000"))</f>
        <v/>
      </c>
      <c r="F335" s="25" t="str">
        <f aca="false">IF(AT335="","",14)</f>
        <v/>
      </c>
      <c r="G335" s="25" t="str">
        <f aca="false">IF(AT335="","",1)</f>
        <v/>
      </c>
      <c r="H335" s="25" t="str">
        <f aca="false">IF(AT335="","",1)</f>
        <v/>
      </c>
      <c r="I335" s="25" t="str">
        <f aca="false">IF(AT335="","",3)</f>
        <v/>
      </c>
      <c r="J335" s="25" t="str">
        <f aca="false">IF(AT335="","",1)</f>
        <v/>
      </c>
      <c r="K335" s="25" t="str">
        <f aca="false">IF(AT335="","",INDEX(入力シート!$B$5:$B$204,AT335))</f>
        <v/>
      </c>
      <c r="L335" s="25" t="str">
        <f aca="false">IF(AT335="","","")</f>
        <v/>
      </c>
      <c r="M335" s="25" t="str">
        <f aca="false">IF(AT335="","","")</f>
        <v/>
      </c>
      <c r="N335" s="25" t="str">
        <f aca="false">IF(AT335="","",COUNTIF(入力シート!$Q$5:$Q$204,INDEX(入力シート!$Q$5:$Q$204,AT335))+1)</f>
        <v/>
      </c>
      <c r="O335" s="25" t="str">
        <f aca="false">IF(AT335="","",99)</f>
        <v/>
      </c>
      <c r="P335" s="25" t="str">
        <f aca="false">IF(AT335="","","")</f>
        <v/>
      </c>
      <c r="Q335" s="25" t="str">
        <f aca="false">IF(AT335="","","")</f>
        <v/>
      </c>
      <c r="R335" s="25" t="str">
        <f aca="false">IF(AT335="","","消費税")</f>
        <v/>
      </c>
      <c r="S335" s="25" t="str">
        <f aca="false">IF(AT335="","",0)</f>
        <v/>
      </c>
      <c r="T335" s="25" t="str">
        <f aca="false">IF(AT335="","","")</f>
        <v/>
      </c>
      <c r="U335" s="25" t="str">
        <f aca="false">IF(AT335="","",0)</f>
        <v/>
      </c>
      <c r="V335" s="25" t="str">
        <f aca="false">IF(AT335="","",0)</f>
        <v/>
      </c>
      <c r="W335" s="25" t="str">
        <f aca="false">IF(AT335="","","")</f>
        <v/>
      </c>
      <c r="X335" s="25" t="str">
        <f aca="false">IF(AT335="","",0)</f>
        <v/>
      </c>
      <c r="Y335" s="25" t="str">
        <f aca="false">IF(AT335="","",0)</f>
        <v/>
      </c>
      <c r="Z335" s="25" t="str">
        <f aca="false">IF(AT335="","",ROUNDDOWN(SUMIF(入力シート!$Q$5:$Q$204,INDEX(入力シート!$Q$5:$Q$204,AT335),入力シート!$P$5:$P$204)*IF(INDEX(入力シート!$L$5:$L$204,AT335)=13,0.1,IF(INDEX(入力シート!$L$5:$L$204,AT335)=30,0.08,0)),0))</f>
        <v/>
      </c>
      <c r="AA335" s="25" t="str">
        <f aca="false">IF(AT335="","","")</f>
        <v/>
      </c>
      <c r="AB335" s="25" t="str">
        <f aca="false">IF(AT335="","",0)</f>
        <v/>
      </c>
      <c r="AC335" s="25" t="str">
        <f aca="false">IF(AT335="","",0)</f>
        <v/>
      </c>
      <c r="AD335" s="25" t="str">
        <f aca="false">IF(AT335="","",0)</f>
        <v/>
      </c>
      <c r="AE335" s="25" t="str">
        <f aca="false">IF(AT335="","","")</f>
        <v/>
      </c>
      <c r="AF335" s="25" t="str">
        <f aca="false">IF(AT335="","",0)</f>
        <v/>
      </c>
      <c r="AG335" s="25" t="str">
        <f aca="false">IF(AT335="","",0)</f>
        <v/>
      </c>
      <c r="AH335" s="25" t="str">
        <f aca="false">IF(AT335="","","")</f>
        <v/>
      </c>
      <c r="AI335" s="25" t="str">
        <f aca="false">IF(AT335="","","")</f>
        <v/>
      </c>
      <c r="AJ335" s="25" t="str">
        <f aca="false">IF(AT335="","","")</f>
        <v/>
      </c>
      <c r="AK335" s="25" t="str">
        <f aca="false">IF(AT335="","",2)</f>
        <v/>
      </c>
      <c r="AL335" s="25" t="str">
        <f aca="false">IF(AT335="","","")</f>
        <v/>
      </c>
      <c r="AM335" s="25" t="str">
        <f aca="false">IF(AT335="","","")</f>
        <v/>
      </c>
      <c r="AN335" s="25" t="str">
        <f aca="false">IF(AT335="","",INDEX(入力シート!$C$5:$C$204,AT335))</f>
        <v/>
      </c>
      <c r="AO335" s="25" t="str">
        <f aca="false">IF(AT335="","","")</f>
        <v/>
      </c>
      <c r="AP335" s="25" t="str">
        <f aca="false">IF(AT335="","","")</f>
        <v/>
      </c>
      <c r="AQ335" s="25" t="str">
        <f aca="false">IF(AT335="","","")</f>
        <v/>
      </c>
      <c r="AT335" s="27" t="str">
        <f aca="false">IFERROR(MATCH(135,入力シート!$T$5:$T$204,0),"")</f>
        <v/>
      </c>
    </row>
    <row r="336" customFormat="false" ht="15" hidden="false" customHeight="true" outlineLevel="0" collapsed="false">
      <c r="A336" s="25" t="str">
        <f aca="false">IF(AT336="","",1)</f>
        <v/>
      </c>
      <c r="B336" s="25" t="str">
        <f aca="false">IF(AT336="","",1)</f>
        <v/>
      </c>
      <c r="C336" s="25" t="str">
        <f aca="false">IF(AT336="","",0)</f>
        <v/>
      </c>
      <c r="D336" s="25" t="str">
        <f aca="false">IF(AT336="","",TEXT(INDEX(入力シート!$A$5:$A$204,AT336),"YYYYMMDD"))</f>
        <v/>
      </c>
      <c r="E336" s="25" t="str">
        <f aca="false">IF(AT336="","",TEXT(INDEX(入力シート!$Q$5:$Q$204,AT336),"00000000"))</f>
        <v/>
      </c>
      <c r="F336" s="25" t="str">
        <f aca="false">IF(AT336="","",14)</f>
        <v/>
      </c>
      <c r="G336" s="25" t="str">
        <f aca="false">IF(AT336="","",1)</f>
        <v/>
      </c>
      <c r="H336" s="25" t="str">
        <f aca="false">IF(AT336="","",1)</f>
        <v/>
      </c>
      <c r="I336" s="25" t="str">
        <f aca="false">IF(AT336="","",3)</f>
        <v/>
      </c>
      <c r="J336" s="25" t="str">
        <f aca="false">IF(AT336="","",1)</f>
        <v/>
      </c>
      <c r="K336" s="25" t="str">
        <f aca="false">IF(AT336="","",INDEX(入力シート!$B$5:$B$204,AT336))</f>
        <v/>
      </c>
      <c r="L336" s="25" t="str">
        <f aca="false">IF(AT336="","","")</f>
        <v/>
      </c>
      <c r="M336" s="25" t="str">
        <f aca="false">IF(AT336="","","")</f>
        <v/>
      </c>
      <c r="N336" s="25" t="str">
        <f aca="false">IF(AT336="","",COUNTIF(入力シート!$Q$5:$Q$204,INDEX(入力シート!$Q$5:$Q$204,AT336))+1)</f>
        <v/>
      </c>
      <c r="O336" s="25" t="str">
        <f aca="false">IF(AT336="","",99)</f>
        <v/>
      </c>
      <c r="P336" s="25" t="str">
        <f aca="false">IF(AT336="","","")</f>
        <v/>
      </c>
      <c r="Q336" s="25" t="str">
        <f aca="false">IF(AT336="","","")</f>
        <v/>
      </c>
      <c r="R336" s="25" t="str">
        <f aca="false">IF(AT336="","","消費税")</f>
        <v/>
      </c>
      <c r="S336" s="25" t="str">
        <f aca="false">IF(AT336="","",0)</f>
        <v/>
      </c>
      <c r="T336" s="25" t="str">
        <f aca="false">IF(AT336="","","")</f>
        <v/>
      </c>
      <c r="U336" s="25" t="str">
        <f aca="false">IF(AT336="","",0)</f>
        <v/>
      </c>
      <c r="V336" s="25" t="str">
        <f aca="false">IF(AT336="","",0)</f>
        <v/>
      </c>
      <c r="W336" s="25" t="str">
        <f aca="false">IF(AT336="","","")</f>
        <v/>
      </c>
      <c r="X336" s="25" t="str">
        <f aca="false">IF(AT336="","",0)</f>
        <v/>
      </c>
      <c r="Y336" s="25" t="str">
        <f aca="false">IF(AT336="","",0)</f>
        <v/>
      </c>
      <c r="Z336" s="25" t="str">
        <f aca="false">IF(AT336="","",ROUNDDOWN(SUMIF(入力シート!$Q$5:$Q$204,INDEX(入力シート!$Q$5:$Q$204,AT336),入力シート!$P$5:$P$204)*IF(INDEX(入力シート!$L$5:$L$204,AT336)=13,0.1,IF(INDEX(入力シート!$L$5:$L$204,AT336)=30,0.08,0)),0))</f>
        <v/>
      </c>
      <c r="AA336" s="25" t="str">
        <f aca="false">IF(AT336="","","")</f>
        <v/>
      </c>
      <c r="AB336" s="25" t="str">
        <f aca="false">IF(AT336="","",0)</f>
        <v/>
      </c>
      <c r="AC336" s="25" t="str">
        <f aca="false">IF(AT336="","",0)</f>
        <v/>
      </c>
      <c r="AD336" s="25" t="str">
        <f aca="false">IF(AT336="","",0)</f>
        <v/>
      </c>
      <c r="AE336" s="25" t="str">
        <f aca="false">IF(AT336="","","")</f>
        <v/>
      </c>
      <c r="AF336" s="25" t="str">
        <f aca="false">IF(AT336="","",0)</f>
        <v/>
      </c>
      <c r="AG336" s="25" t="str">
        <f aca="false">IF(AT336="","",0)</f>
        <v/>
      </c>
      <c r="AH336" s="25" t="str">
        <f aca="false">IF(AT336="","","")</f>
        <v/>
      </c>
      <c r="AI336" s="25" t="str">
        <f aca="false">IF(AT336="","","")</f>
        <v/>
      </c>
      <c r="AJ336" s="25" t="str">
        <f aca="false">IF(AT336="","","")</f>
        <v/>
      </c>
      <c r="AK336" s="25" t="str">
        <f aca="false">IF(AT336="","",2)</f>
        <v/>
      </c>
      <c r="AL336" s="25" t="str">
        <f aca="false">IF(AT336="","","")</f>
        <v/>
      </c>
      <c r="AM336" s="25" t="str">
        <f aca="false">IF(AT336="","","")</f>
        <v/>
      </c>
      <c r="AN336" s="25" t="str">
        <f aca="false">IF(AT336="","",INDEX(入力シート!$C$5:$C$204,AT336))</f>
        <v/>
      </c>
      <c r="AO336" s="25" t="str">
        <f aca="false">IF(AT336="","","")</f>
        <v/>
      </c>
      <c r="AP336" s="25" t="str">
        <f aca="false">IF(AT336="","","")</f>
        <v/>
      </c>
      <c r="AQ336" s="25" t="str">
        <f aca="false">IF(AT336="","","")</f>
        <v/>
      </c>
      <c r="AT336" s="27" t="str">
        <f aca="false">IFERROR(MATCH(136,入力シート!$T$5:$T$204,0),"")</f>
        <v/>
      </c>
    </row>
    <row r="337" customFormat="false" ht="15" hidden="false" customHeight="true" outlineLevel="0" collapsed="false">
      <c r="A337" s="25" t="str">
        <f aca="false">IF(AT337="","",1)</f>
        <v/>
      </c>
      <c r="B337" s="25" t="str">
        <f aca="false">IF(AT337="","",1)</f>
        <v/>
      </c>
      <c r="C337" s="25" t="str">
        <f aca="false">IF(AT337="","",0)</f>
        <v/>
      </c>
      <c r="D337" s="25" t="str">
        <f aca="false">IF(AT337="","",TEXT(INDEX(入力シート!$A$5:$A$204,AT337),"YYYYMMDD"))</f>
        <v/>
      </c>
      <c r="E337" s="25" t="str">
        <f aca="false">IF(AT337="","",TEXT(INDEX(入力シート!$Q$5:$Q$204,AT337),"00000000"))</f>
        <v/>
      </c>
      <c r="F337" s="25" t="str">
        <f aca="false">IF(AT337="","",14)</f>
        <v/>
      </c>
      <c r="G337" s="25" t="str">
        <f aca="false">IF(AT337="","",1)</f>
        <v/>
      </c>
      <c r="H337" s="25" t="str">
        <f aca="false">IF(AT337="","",1)</f>
        <v/>
      </c>
      <c r="I337" s="25" t="str">
        <f aca="false">IF(AT337="","",3)</f>
        <v/>
      </c>
      <c r="J337" s="25" t="str">
        <f aca="false">IF(AT337="","",1)</f>
        <v/>
      </c>
      <c r="K337" s="25" t="str">
        <f aca="false">IF(AT337="","",INDEX(入力シート!$B$5:$B$204,AT337))</f>
        <v/>
      </c>
      <c r="L337" s="25" t="str">
        <f aca="false">IF(AT337="","","")</f>
        <v/>
      </c>
      <c r="M337" s="25" t="str">
        <f aca="false">IF(AT337="","","")</f>
        <v/>
      </c>
      <c r="N337" s="25" t="str">
        <f aca="false">IF(AT337="","",COUNTIF(入力シート!$Q$5:$Q$204,INDEX(入力シート!$Q$5:$Q$204,AT337))+1)</f>
        <v/>
      </c>
      <c r="O337" s="25" t="str">
        <f aca="false">IF(AT337="","",99)</f>
        <v/>
      </c>
      <c r="P337" s="25" t="str">
        <f aca="false">IF(AT337="","","")</f>
        <v/>
      </c>
      <c r="Q337" s="25" t="str">
        <f aca="false">IF(AT337="","","")</f>
        <v/>
      </c>
      <c r="R337" s="25" t="str">
        <f aca="false">IF(AT337="","","消費税")</f>
        <v/>
      </c>
      <c r="S337" s="25" t="str">
        <f aca="false">IF(AT337="","",0)</f>
        <v/>
      </c>
      <c r="T337" s="25" t="str">
        <f aca="false">IF(AT337="","","")</f>
        <v/>
      </c>
      <c r="U337" s="25" t="str">
        <f aca="false">IF(AT337="","",0)</f>
        <v/>
      </c>
      <c r="V337" s="25" t="str">
        <f aca="false">IF(AT337="","",0)</f>
        <v/>
      </c>
      <c r="W337" s="25" t="str">
        <f aca="false">IF(AT337="","","")</f>
        <v/>
      </c>
      <c r="X337" s="25" t="str">
        <f aca="false">IF(AT337="","",0)</f>
        <v/>
      </c>
      <c r="Y337" s="25" t="str">
        <f aca="false">IF(AT337="","",0)</f>
        <v/>
      </c>
      <c r="Z337" s="25" t="str">
        <f aca="false">IF(AT337="","",ROUNDDOWN(SUMIF(入力シート!$Q$5:$Q$204,INDEX(入力シート!$Q$5:$Q$204,AT337),入力シート!$P$5:$P$204)*IF(INDEX(入力シート!$L$5:$L$204,AT337)=13,0.1,IF(INDEX(入力シート!$L$5:$L$204,AT337)=30,0.08,0)),0))</f>
        <v/>
      </c>
      <c r="AA337" s="25" t="str">
        <f aca="false">IF(AT337="","","")</f>
        <v/>
      </c>
      <c r="AB337" s="25" t="str">
        <f aca="false">IF(AT337="","",0)</f>
        <v/>
      </c>
      <c r="AC337" s="25" t="str">
        <f aca="false">IF(AT337="","",0)</f>
        <v/>
      </c>
      <c r="AD337" s="25" t="str">
        <f aca="false">IF(AT337="","",0)</f>
        <v/>
      </c>
      <c r="AE337" s="25" t="str">
        <f aca="false">IF(AT337="","","")</f>
        <v/>
      </c>
      <c r="AF337" s="25" t="str">
        <f aca="false">IF(AT337="","",0)</f>
        <v/>
      </c>
      <c r="AG337" s="25" t="str">
        <f aca="false">IF(AT337="","",0)</f>
        <v/>
      </c>
      <c r="AH337" s="25" t="str">
        <f aca="false">IF(AT337="","","")</f>
        <v/>
      </c>
      <c r="AI337" s="25" t="str">
        <f aca="false">IF(AT337="","","")</f>
        <v/>
      </c>
      <c r="AJ337" s="25" t="str">
        <f aca="false">IF(AT337="","","")</f>
        <v/>
      </c>
      <c r="AK337" s="25" t="str">
        <f aca="false">IF(AT337="","",2)</f>
        <v/>
      </c>
      <c r="AL337" s="25" t="str">
        <f aca="false">IF(AT337="","","")</f>
        <v/>
      </c>
      <c r="AM337" s="25" t="str">
        <f aca="false">IF(AT337="","","")</f>
        <v/>
      </c>
      <c r="AN337" s="25" t="str">
        <f aca="false">IF(AT337="","",INDEX(入力シート!$C$5:$C$204,AT337))</f>
        <v/>
      </c>
      <c r="AO337" s="25" t="str">
        <f aca="false">IF(AT337="","","")</f>
        <v/>
      </c>
      <c r="AP337" s="25" t="str">
        <f aca="false">IF(AT337="","","")</f>
        <v/>
      </c>
      <c r="AQ337" s="25" t="str">
        <f aca="false">IF(AT337="","","")</f>
        <v/>
      </c>
      <c r="AT337" s="27" t="str">
        <f aca="false">IFERROR(MATCH(137,入力シート!$T$5:$T$204,0),"")</f>
        <v/>
      </c>
    </row>
    <row r="338" customFormat="false" ht="15" hidden="false" customHeight="true" outlineLevel="0" collapsed="false">
      <c r="A338" s="25" t="str">
        <f aca="false">IF(AT338="","",1)</f>
        <v/>
      </c>
      <c r="B338" s="25" t="str">
        <f aca="false">IF(AT338="","",1)</f>
        <v/>
      </c>
      <c r="C338" s="25" t="str">
        <f aca="false">IF(AT338="","",0)</f>
        <v/>
      </c>
      <c r="D338" s="25" t="str">
        <f aca="false">IF(AT338="","",TEXT(INDEX(入力シート!$A$5:$A$204,AT338),"YYYYMMDD"))</f>
        <v/>
      </c>
      <c r="E338" s="25" t="str">
        <f aca="false">IF(AT338="","",TEXT(INDEX(入力シート!$Q$5:$Q$204,AT338),"00000000"))</f>
        <v/>
      </c>
      <c r="F338" s="25" t="str">
        <f aca="false">IF(AT338="","",14)</f>
        <v/>
      </c>
      <c r="G338" s="25" t="str">
        <f aca="false">IF(AT338="","",1)</f>
        <v/>
      </c>
      <c r="H338" s="25" t="str">
        <f aca="false">IF(AT338="","",1)</f>
        <v/>
      </c>
      <c r="I338" s="25" t="str">
        <f aca="false">IF(AT338="","",3)</f>
        <v/>
      </c>
      <c r="J338" s="25" t="str">
        <f aca="false">IF(AT338="","",1)</f>
        <v/>
      </c>
      <c r="K338" s="25" t="str">
        <f aca="false">IF(AT338="","",INDEX(入力シート!$B$5:$B$204,AT338))</f>
        <v/>
      </c>
      <c r="L338" s="25" t="str">
        <f aca="false">IF(AT338="","","")</f>
        <v/>
      </c>
      <c r="M338" s="25" t="str">
        <f aca="false">IF(AT338="","","")</f>
        <v/>
      </c>
      <c r="N338" s="25" t="str">
        <f aca="false">IF(AT338="","",COUNTIF(入力シート!$Q$5:$Q$204,INDEX(入力シート!$Q$5:$Q$204,AT338))+1)</f>
        <v/>
      </c>
      <c r="O338" s="25" t="str">
        <f aca="false">IF(AT338="","",99)</f>
        <v/>
      </c>
      <c r="P338" s="25" t="str">
        <f aca="false">IF(AT338="","","")</f>
        <v/>
      </c>
      <c r="Q338" s="25" t="str">
        <f aca="false">IF(AT338="","","")</f>
        <v/>
      </c>
      <c r="R338" s="25" t="str">
        <f aca="false">IF(AT338="","","消費税")</f>
        <v/>
      </c>
      <c r="S338" s="25" t="str">
        <f aca="false">IF(AT338="","",0)</f>
        <v/>
      </c>
      <c r="T338" s="25" t="str">
        <f aca="false">IF(AT338="","","")</f>
        <v/>
      </c>
      <c r="U338" s="25" t="str">
        <f aca="false">IF(AT338="","",0)</f>
        <v/>
      </c>
      <c r="V338" s="25" t="str">
        <f aca="false">IF(AT338="","",0)</f>
        <v/>
      </c>
      <c r="W338" s="25" t="str">
        <f aca="false">IF(AT338="","","")</f>
        <v/>
      </c>
      <c r="X338" s="25" t="str">
        <f aca="false">IF(AT338="","",0)</f>
        <v/>
      </c>
      <c r="Y338" s="25" t="str">
        <f aca="false">IF(AT338="","",0)</f>
        <v/>
      </c>
      <c r="Z338" s="25" t="str">
        <f aca="false">IF(AT338="","",ROUNDDOWN(SUMIF(入力シート!$Q$5:$Q$204,INDEX(入力シート!$Q$5:$Q$204,AT338),入力シート!$P$5:$P$204)*IF(INDEX(入力シート!$L$5:$L$204,AT338)=13,0.1,IF(INDEX(入力シート!$L$5:$L$204,AT338)=30,0.08,0)),0))</f>
        <v/>
      </c>
      <c r="AA338" s="25" t="str">
        <f aca="false">IF(AT338="","","")</f>
        <v/>
      </c>
      <c r="AB338" s="25" t="str">
        <f aca="false">IF(AT338="","",0)</f>
        <v/>
      </c>
      <c r="AC338" s="25" t="str">
        <f aca="false">IF(AT338="","",0)</f>
        <v/>
      </c>
      <c r="AD338" s="25" t="str">
        <f aca="false">IF(AT338="","",0)</f>
        <v/>
      </c>
      <c r="AE338" s="25" t="str">
        <f aca="false">IF(AT338="","","")</f>
        <v/>
      </c>
      <c r="AF338" s="25" t="str">
        <f aca="false">IF(AT338="","",0)</f>
        <v/>
      </c>
      <c r="AG338" s="25" t="str">
        <f aca="false">IF(AT338="","",0)</f>
        <v/>
      </c>
      <c r="AH338" s="25" t="str">
        <f aca="false">IF(AT338="","","")</f>
        <v/>
      </c>
      <c r="AI338" s="25" t="str">
        <f aca="false">IF(AT338="","","")</f>
        <v/>
      </c>
      <c r="AJ338" s="25" t="str">
        <f aca="false">IF(AT338="","","")</f>
        <v/>
      </c>
      <c r="AK338" s="25" t="str">
        <f aca="false">IF(AT338="","",2)</f>
        <v/>
      </c>
      <c r="AL338" s="25" t="str">
        <f aca="false">IF(AT338="","","")</f>
        <v/>
      </c>
      <c r="AM338" s="25" t="str">
        <f aca="false">IF(AT338="","","")</f>
        <v/>
      </c>
      <c r="AN338" s="25" t="str">
        <f aca="false">IF(AT338="","",INDEX(入力シート!$C$5:$C$204,AT338))</f>
        <v/>
      </c>
      <c r="AO338" s="25" t="str">
        <f aca="false">IF(AT338="","","")</f>
        <v/>
      </c>
      <c r="AP338" s="25" t="str">
        <f aca="false">IF(AT338="","","")</f>
        <v/>
      </c>
      <c r="AQ338" s="25" t="str">
        <f aca="false">IF(AT338="","","")</f>
        <v/>
      </c>
      <c r="AT338" s="27" t="str">
        <f aca="false">IFERROR(MATCH(138,入力シート!$T$5:$T$204,0),"")</f>
        <v/>
      </c>
    </row>
    <row r="339" customFormat="false" ht="15" hidden="false" customHeight="true" outlineLevel="0" collapsed="false">
      <c r="A339" s="25" t="str">
        <f aca="false">IF(AT339="","",1)</f>
        <v/>
      </c>
      <c r="B339" s="25" t="str">
        <f aca="false">IF(AT339="","",1)</f>
        <v/>
      </c>
      <c r="C339" s="25" t="str">
        <f aca="false">IF(AT339="","",0)</f>
        <v/>
      </c>
      <c r="D339" s="25" t="str">
        <f aca="false">IF(AT339="","",TEXT(INDEX(入力シート!$A$5:$A$204,AT339),"YYYYMMDD"))</f>
        <v/>
      </c>
      <c r="E339" s="25" t="str">
        <f aca="false">IF(AT339="","",TEXT(INDEX(入力シート!$Q$5:$Q$204,AT339),"00000000"))</f>
        <v/>
      </c>
      <c r="F339" s="25" t="str">
        <f aca="false">IF(AT339="","",14)</f>
        <v/>
      </c>
      <c r="G339" s="25" t="str">
        <f aca="false">IF(AT339="","",1)</f>
        <v/>
      </c>
      <c r="H339" s="25" t="str">
        <f aca="false">IF(AT339="","",1)</f>
        <v/>
      </c>
      <c r="I339" s="25" t="str">
        <f aca="false">IF(AT339="","",3)</f>
        <v/>
      </c>
      <c r="J339" s="25" t="str">
        <f aca="false">IF(AT339="","",1)</f>
        <v/>
      </c>
      <c r="K339" s="25" t="str">
        <f aca="false">IF(AT339="","",INDEX(入力シート!$B$5:$B$204,AT339))</f>
        <v/>
      </c>
      <c r="L339" s="25" t="str">
        <f aca="false">IF(AT339="","","")</f>
        <v/>
      </c>
      <c r="M339" s="25" t="str">
        <f aca="false">IF(AT339="","","")</f>
        <v/>
      </c>
      <c r="N339" s="25" t="str">
        <f aca="false">IF(AT339="","",COUNTIF(入力シート!$Q$5:$Q$204,INDEX(入力シート!$Q$5:$Q$204,AT339))+1)</f>
        <v/>
      </c>
      <c r="O339" s="25" t="str">
        <f aca="false">IF(AT339="","",99)</f>
        <v/>
      </c>
      <c r="P339" s="25" t="str">
        <f aca="false">IF(AT339="","","")</f>
        <v/>
      </c>
      <c r="Q339" s="25" t="str">
        <f aca="false">IF(AT339="","","")</f>
        <v/>
      </c>
      <c r="R339" s="25" t="str">
        <f aca="false">IF(AT339="","","消費税")</f>
        <v/>
      </c>
      <c r="S339" s="25" t="str">
        <f aca="false">IF(AT339="","",0)</f>
        <v/>
      </c>
      <c r="T339" s="25" t="str">
        <f aca="false">IF(AT339="","","")</f>
        <v/>
      </c>
      <c r="U339" s="25" t="str">
        <f aca="false">IF(AT339="","",0)</f>
        <v/>
      </c>
      <c r="V339" s="25" t="str">
        <f aca="false">IF(AT339="","",0)</f>
        <v/>
      </c>
      <c r="W339" s="25" t="str">
        <f aca="false">IF(AT339="","","")</f>
        <v/>
      </c>
      <c r="X339" s="25" t="str">
        <f aca="false">IF(AT339="","",0)</f>
        <v/>
      </c>
      <c r="Y339" s="25" t="str">
        <f aca="false">IF(AT339="","",0)</f>
        <v/>
      </c>
      <c r="Z339" s="25" t="str">
        <f aca="false">IF(AT339="","",ROUNDDOWN(SUMIF(入力シート!$Q$5:$Q$204,INDEX(入力シート!$Q$5:$Q$204,AT339),入力シート!$P$5:$P$204)*IF(INDEX(入力シート!$L$5:$L$204,AT339)=13,0.1,IF(INDEX(入力シート!$L$5:$L$204,AT339)=30,0.08,0)),0))</f>
        <v/>
      </c>
      <c r="AA339" s="25" t="str">
        <f aca="false">IF(AT339="","","")</f>
        <v/>
      </c>
      <c r="AB339" s="25" t="str">
        <f aca="false">IF(AT339="","",0)</f>
        <v/>
      </c>
      <c r="AC339" s="25" t="str">
        <f aca="false">IF(AT339="","",0)</f>
        <v/>
      </c>
      <c r="AD339" s="25" t="str">
        <f aca="false">IF(AT339="","",0)</f>
        <v/>
      </c>
      <c r="AE339" s="25" t="str">
        <f aca="false">IF(AT339="","","")</f>
        <v/>
      </c>
      <c r="AF339" s="25" t="str">
        <f aca="false">IF(AT339="","",0)</f>
        <v/>
      </c>
      <c r="AG339" s="25" t="str">
        <f aca="false">IF(AT339="","",0)</f>
        <v/>
      </c>
      <c r="AH339" s="25" t="str">
        <f aca="false">IF(AT339="","","")</f>
        <v/>
      </c>
      <c r="AI339" s="25" t="str">
        <f aca="false">IF(AT339="","","")</f>
        <v/>
      </c>
      <c r="AJ339" s="25" t="str">
        <f aca="false">IF(AT339="","","")</f>
        <v/>
      </c>
      <c r="AK339" s="25" t="str">
        <f aca="false">IF(AT339="","",2)</f>
        <v/>
      </c>
      <c r="AL339" s="25" t="str">
        <f aca="false">IF(AT339="","","")</f>
        <v/>
      </c>
      <c r="AM339" s="25" t="str">
        <f aca="false">IF(AT339="","","")</f>
        <v/>
      </c>
      <c r="AN339" s="25" t="str">
        <f aca="false">IF(AT339="","",INDEX(入力シート!$C$5:$C$204,AT339))</f>
        <v/>
      </c>
      <c r="AO339" s="25" t="str">
        <f aca="false">IF(AT339="","","")</f>
        <v/>
      </c>
      <c r="AP339" s="25" t="str">
        <f aca="false">IF(AT339="","","")</f>
        <v/>
      </c>
      <c r="AQ339" s="25" t="str">
        <f aca="false">IF(AT339="","","")</f>
        <v/>
      </c>
      <c r="AT339" s="27" t="str">
        <f aca="false">IFERROR(MATCH(139,入力シート!$T$5:$T$204,0),"")</f>
        <v/>
      </c>
    </row>
    <row r="340" customFormat="false" ht="15" hidden="false" customHeight="true" outlineLevel="0" collapsed="false">
      <c r="A340" s="25" t="str">
        <f aca="false">IF(AT340="","",1)</f>
        <v/>
      </c>
      <c r="B340" s="25" t="str">
        <f aca="false">IF(AT340="","",1)</f>
        <v/>
      </c>
      <c r="C340" s="25" t="str">
        <f aca="false">IF(AT340="","",0)</f>
        <v/>
      </c>
      <c r="D340" s="25" t="str">
        <f aca="false">IF(AT340="","",TEXT(INDEX(入力シート!$A$5:$A$204,AT340),"YYYYMMDD"))</f>
        <v/>
      </c>
      <c r="E340" s="25" t="str">
        <f aca="false">IF(AT340="","",TEXT(INDEX(入力シート!$Q$5:$Q$204,AT340),"00000000"))</f>
        <v/>
      </c>
      <c r="F340" s="25" t="str">
        <f aca="false">IF(AT340="","",14)</f>
        <v/>
      </c>
      <c r="G340" s="25" t="str">
        <f aca="false">IF(AT340="","",1)</f>
        <v/>
      </c>
      <c r="H340" s="25" t="str">
        <f aca="false">IF(AT340="","",1)</f>
        <v/>
      </c>
      <c r="I340" s="25" t="str">
        <f aca="false">IF(AT340="","",3)</f>
        <v/>
      </c>
      <c r="J340" s="25" t="str">
        <f aca="false">IF(AT340="","",1)</f>
        <v/>
      </c>
      <c r="K340" s="25" t="str">
        <f aca="false">IF(AT340="","",INDEX(入力シート!$B$5:$B$204,AT340))</f>
        <v/>
      </c>
      <c r="L340" s="25" t="str">
        <f aca="false">IF(AT340="","","")</f>
        <v/>
      </c>
      <c r="M340" s="25" t="str">
        <f aca="false">IF(AT340="","","")</f>
        <v/>
      </c>
      <c r="N340" s="25" t="str">
        <f aca="false">IF(AT340="","",COUNTIF(入力シート!$Q$5:$Q$204,INDEX(入力シート!$Q$5:$Q$204,AT340))+1)</f>
        <v/>
      </c>
      <c r="O340" s="25" t="str">
        <f aca="false">IF(AT340="","",99)</f>
        <v/>
      </c>
      <c r="P340" s="25" t="str">
        <f aca="false">IF(AT340="","","")</f>
        <v/>
      </c>
      <c r="Q340" s="25" t="str">
        <f aca="false">IF(AT340="","","")</f>
        <v/>
      </c>
      <c r="R340" s="25" t="str">
        <f aca="false">IF(AT340="","","消費税")</f>
        <v/>
      </c>
      <c r="S340" s="25" t="str">
        <f aca="false">IF(AT340="","",0)</f>
        <v/>
      </c>
      <c r="T340" s="25" t="str">
        <f aca="false">IF(AT340="","","")</f>
        <v/>
      </c>
      <c r="U340" s="25" t="str">
        <f aca="false">IF(AT340="","",0)</f>
        <v/>
      </c>
      <c r="V340" s="25" t="str">
        <f aca="false">IF(AT340="","",0)</f>
        <v/>
      </c>
      <c r="W340" s="25" t="str">
        <f aca="false">IF(AT340="","","")</f>
        <v/>
      </c>
      <c r="X340" s="25" t="str">
        <f aca="false">IF(AT340="","",0)</f>
        <v/>
      </c>
      <c r="Y340" s="25" t="str">
        <f aca="false">IF(AT340="","",0)</f>
        <v/>
      </c>
      <c r="Z340" s="25" t="str">
        <f aca="false">IF(AT340="","",ROUNDDOWN(SUMIF(入力シート!$Q$5:$Q$204,INDEX(入力シート!$Q$5:$Q$204,AT340),入力シート!$P$5:$P$204)*IF(INDEX(入力シート!$L$5:$L$204,AT340)=13,0.1,IF(INDEX(入力シート!$L$5:$L$204,AT340)=30,0.08,0)),0))</f>
        <v/>
      </c>
      <c r="AA340" s="25" t="str">
        <f aca="false">IF(AT340="","","")</f>
        <v/>
      </c>
      <c r="AB340" s="25" t="str">
        <f aca="false">IF(AT340="","",0)</f>
        <v/>
      </c>
      <c r="AC340" s="25" t="str">
        <f aca="false">IF(AT340="","",0)</f>
        <v/>
      </c>
      <c r="AD340" s="25" t="str">
        <f aca="false">IF(AT340="","",0)</f>
        <v/>
      </c>
      <c r="AE340" s="25" t="str">
        <f aca="false">IF(AT340="","","")</f>
        <v/>
      </c>
      <c r="AF340" s="25" t="str">
        <f aca="false">IF(AT340="","",0)</f>
        <v/>
      </c>
      <c r="AG340" s="25" t="str">
        <f aca="false">IF(AT340="","",0)</f>
        <v/>
      </c>
      <c r="AH340" s="25" t="str">
        <f aca="false">IF(AT340="","","")</f>
        <v/>
      </c>
      <c r="AI340" s="25" t="str">
        <f aca="false">IF(AT340="","","")</f>
        <v/>
      </c>
      <c r="AJ340" s="25" t="str">
        <f aca="false">IF(AT340="","","")</f>
        <v/>
      </c>
      <c r="AK340" s="25" t="str">
        <f aca="false">IF(AT340="","",2)</f>
        <v/>
      </c>
      <c r="AL340" s="25" t="str">
        <f aca="false">IF(AT340="","","")</f>
        <v/>
      </c>
      <c r="AM340" s="25" t="str">
        <f aca="false">IF(AT340="","","")</f>
        <v/>
      </c>
      <c r="AN340" s="25" t="str">
        <f aca="false">IF(AT340="","",INDEX(入力シート!$C$5:$C$204,AT340))</f>
        <v/>
      </c>
      <c r="AO340" s="25" t="str">
        <f aca="false">IF(AT340="","","")</f>
        <v/>
      </c>
      <c r="AP340" s="25" t="str">
        <f aca="false">IF(AT340="","","")</f>
        <v/>
      </c>
      <c r="AQ340" s="25" t="str">
        <f aca="false">IF(AT340="","","")</f>
        <v/>
      </c>
      <c r="AT340" s="27" t="str">
        <f aca="false">IFERROR(MATCH(140,入力シート!$T$5:$T$204,0),"")</f>
        <v/>
      </c>
    </row>
    <row r="341" customFormat="false" ht="15" hidden="false" customHeight="true" outlineLevel="0" collapsed="false">
      <c r="A341" s="25" t="str">
        <f aca="false">IF(AT341="","",1)</f>
        <v/>
      </c>
      <c r="B341" s="25" t="str">
        <f aca="false">IF(AT341="","",1)</f>
        <v/>
      </c>
      <c r="C341" s="25" t="str">
        <f aca="false">IF(AT341="","",0)</f>
        <v/>
      </c>
      <c r="D341" s="25" t="str">
        <f aca="false">IF(AT341="","",TEXT(INDEX(入力シート!$A$5:$A$204,AT341),"YYYYMMDD"))</f>
        <v/>
      </c>
      <c r="E341" s="25" t="str">
        <f aca="false">IF(AT341="","",TEXT(INDEX(入力シート!$Q$5:$Q$204,AT341),"00000000"))</f>
        <v/>
      </c>
      <c r="F341" s="25" t="str">
        <f aca="false">IF(AT341="","",14)</f>
        <v/>
      </c>
      <c r="G341" s="25" t="str">
        <f aca="false">IF(AT341="","",1)</f>
        <v/>
      </c>
      <c r="H341" s="25" t="str">
        <f aca="false">IF(AT341="","",1)</f>
        <v/>
      </c>
      <c r="I341" s="25" t="str">
        <f aca="false">IF(AT341="","",3)</f>
        <v/>
      </c>
      <c r="J341" s="25" t="str">
        <f aca="false">IF(AT341="","",1)</f>
        <v/>
      </c>
      <c r="K341" s="25" t="str">
        <f aca="false">IF(AT341="","",INDEX(入力シート!$B$5:$B$204,AT341))</f>
        <v/>
      </c>
      <c r="L341" s="25" t="str">
        <f aca="false">IF(AT341="","","")</f>
        <v/>
      </c>
      <c r="M341" s="25" t="str">
        <f aca="false">IF(AT341="","","")</f>
        <v/>
      </c>
      <c r="N341" s="25" t="str">
        <f aca="false">IF(AT341="","",COUNTIF(入力シート!$Q$5:$Q$204,INDEX(入力シート!$Q$5:$Q$204,AT341))+1)</f>
        <v/>
      </c>
      <c r="O341" s="25" t="str">
        <f aca="false">IF(AT341="","",99)</f>
        <v/>
      </c>
      <c r="P341" s="25" t="str">
        <f aca="false">IF(AT341="","","")</f>
        <v/>
      </c>
      <c r="Q341" s="25" t="str">
        <f aca="false">IF(AT341="","","")</f>
        <v/>
      </c>
      <c r="R341" s="25" t="str">
        <f aca="false">IF(AT341="","","消費税")</f>
        <v/>
      </c>
      <c r="S341" s="25" t="str">
        <f aca="false">IF(AT341="","",0)</f>
        <v/>
      </c>
      <c r="T341" s="25" t="str">
        <f aca="false">IF(AT341="","","")</f>
        <v/>
      </c>
      <c r="U341" s="25" t="str">
        <f aca="false">IF(AT341="","",0)</f>
        <v/>
      </c>
      <c r="V341" s="25" t="str">
        <f aca="false">IF(AT341="","",0)</f>
        <v/>
      </c>
      <c r="W341" s="25" t="str">
        <f aca="false">IF(AT341="","","")</f>
        <v/>
      </c>
      <c r="X341" s="25" t="str">
        <f aca="false">IF(AT341="","",0)</f>
        <v/>
      </c>
      <c r="Y341" s="25" t="str">
        <f aca="false">IF(AT341="","",0)</f>
        <v/>
      </c>
      <c r="Z341" s="25" t="str">
        <f aca="false">IF(AT341="","",ROUNDDOWN(SUMIF(入力シート!$Q$5:$Q$204,INDEX(入力シート!$Q$5:$Q$204,AT341),入力シート!$P$5:$P$204)*IF(INDEX(入力シート!$L$5:$L$204,AT341)=13,0.1,IF(INDEX(入力シート!$L$5:$L$204,AT341)=30,0.08,0)),0))</f>
        <v/>
      </c>
      <c r="AA341" s="25" t="str">
        <f aca="false">IF(AT341="","","")</f>
        <v/>
      </c>
      <c r="AB341" s="25" t="str">
        <f aca="false">IF(AT341="","",0)</f>
        <v/>
      </c>
      <c r="AC341" s="25" t="str">
        <f aca="false">IF(AT341="","",0)</f>
        <v/>
      </c>
      <c r="AD341" s="25" t="str">
        <f aca="false">IF(AT341="","",0)</f>
        <v/>
      </c>
      <c r="AE341" s="25" t="str">
        <f aca="false">IF(AT341="","","")</f>
        <v/>
      </c>
      <c r="AF341" s="25" t="str">
        <f aca="false">IF(AT341="","",0)</f>
        <v/>
      </c>
      <c r="AG341" s="25" t="str">
        <f aca="false">IF(AT341="","",0)</f>
        <v/>
      </c>
      <c r="AH341" s="25" t="str">
        <f aca="false">IF(AT341="","","")</f>
        <v/>
      </c>
      <c r="AI341" s="25" t="str">
        <f aca="false">IF(AT341="","","")</f>
        <v/>
      </c>
      <c r="AJ341" s="25" t="str">
        <f aca="false">IF(AT341="","","")</f>
        <v/>
      </c>
      <c r="AK341" s="25" t="str">
        <f aca="false">IF(AT341="","",2)</f>
        <v/>
      </c>
      <c r="AL341" s="25" t="str">
        <f aca="false">IF(AT341="","","")</f>
        <v/>
      </c>
      <c r="AM341" s="25" t="str">
        <f aca="false">IF(AT341="","","")</f>
        <v/>
      </c>
      <c r="AN341" s="25" t="str">
        <f aca="false">IF(AT341="","",INDEX(入力シート!$C$5:$C$204,AT341))</f>
        <v/>
      </c>
      <c r="AO341" s="25" t="str">
        <f aca="false">IF(AT341="","","")</f>
        <v/>
      </c>
      <c r="AP341" s="25" t="str">
        <f aca="false">IF(AT341="","","")</f>
        <v/>
      </c>
      <c r="AQ341" s="25" t="str">
        <f aca="false">IF(AT341="","","")</f>
        <v/>
      </c>
      <c r="AT341" s="27" t="str">
        <f aca="false">IFERROR(MATCH(141,入力シート!$T$5:$T$204,0),"")</f>
        <v/>
      </c>
    </row>
    <row r="342" customFormat="false" ht="15" hidden="false" customHeight="true" outlineLevel="0" collapsed="false">
      <c r="A342" s="25" t="str">
        <f aca="false">IF(AT342="","",1)</f>
        <v/>
      </c>
      <c r="B342" s="25" t="str">
        <f aca="false">IF(AT342="","",1)</f>
        <v/>
      </c>
      <c r="C342" s="25" t="str">
        <f aca="false">IF(AT342="","",0)</f>
        <v/>
      </c>
      <c r="D342" s="25" t="str">
        <f aca="false">IF(AT342="","",TEXT(INDEX(入力シート!$A$5:$A$204,AT342),"YYYYMMDD"))</f>
        <v/>
      </c>
      <c r="E342" s="25" t="str">
        <f aca="false">IF(AT342="","",TEXT(INDEX(入力シート!$Q$5:$Q$204,AT342),"00000000"))</f>
        <v/>
      </c>
      <c r="F342" s="25" t="str">
        <f aca="false">IF(AT342="","",14)</f>
        <v/>
      </c>
      <c r="G342" s="25" t="str">
        <f aca="false">IF(AT342="","",1)</f>
        <v/>
      </c>
      <c r="H342" s="25" t="str">
        <f aca="false">IF(AT342="","",1)</f>
        <v/>
      </c>
      <c r="I342" s="25" t="str">
        <f aca="false">IF(AT342="","",3)</f>
        <v/>
      </c>
      <c r="J342" s="25" t="str">
        <f aca="false">IF(AT342="","",1)</f>
        <v/>
      </c>
      <c r="K342" s="25" t="str">
        <f aca="false">IF(AT342="","",INDEX(入力シート!$B$5:$B$204,AT342))</f>
        <v/>
      </c>
      <c r="L342" s="25" t="str">
        <f aca="false">IF(AT342="","","")</f>
        <v/>
      </c>
      <c r="M342" s="25" t="str">
        <f aca="false">IF(AT342="","","")</f>
        <v/>
      </c>
      <c r="N342" s="25" t="str">
        <f aca="false">IF(AT342="","",COUNTIF(入力シート!$Q$5:$Q$204,INDEX(入力シート!$Q$5:$Q$204,AT342))+1)</f>
        <v/>
      </c>
      <c r="O342" s="25" t="str">
        <f aca="false">IF(AT342="","",99)</f>
        <v/>
      </c>
      <c r="P342" s="25" t="str">
        <f aca="false">IF(AT342="","","")</f>
        <v/>
      </c>
      <c r="Q342" s="25" t="str">
        <f aca="false">IF(AT342="","","")</f>
        <v/>
      </c>
      <c r="R342" s="25" t="str">
        <f aca="false">IF(AT342="","","消費税")</f>
        <v/>
      </c>
      <c r="S342" s="25" t="str">
        <f aca="false">IF(AT342="","",0)</f>
        <v/>
      </c>
      <c r="T342" s="25" t="str">
        <f aca="false">IF(AT342="","","")</f>
        <v/>
      </c>
      <c r="U342" s="25" t="str">
        <f aca="false">IF(AT342="","",0)</f>
        <v/>
      </c>
      <c r="V342" s="25" t="str">
        <f aca="false">IF(AT342="","",0)</f>
        <v/>
      </c>
      <c r="W342" s="25" t="str">
        <f aca="false">IF(AT342="","","")</f>
        <v/>
      </c>
      <c r="X342" s="25" t="str">
        <f aca="false">IF(AT342="","",0)</f>
        <v/>
      </c>
      <c r="Y342" s="25" t="str">
        <f aca="false">IF(AT342="","",0)</f>
        <v/>
      </c>
      <c r="Z342" s="25" t="str">
        <f aca="false">IF(AT342="","",ROUNDDOWN(SUMIF(入力シート!$Q$5:$Q$204,INDEX(入力シート!$Q$5:$Q$204,AT342),入力シート!$P$5:$P$204)*IF(INDEX(入力シート!$L$5:$L$204,AT342)=13,0.1,IF(INDEX(入力シート!$L$5:$L$204,AT342)=30,0.08,0)),0))</f>
        <v/>
      </c>
      <c r="AA342" s="25" t="str">
        <f aca="false">IF(AT342="","","")</f>
        <v/>
      </c>
      <c r="AB342" s="25" t="str">
        <f aca="false">IF(AT342="","",0)</f>
        <v/>
      </c>
      <c r="AC342" s="25" t="str">
        <f aca="false">IF(AT342="","",0)</f>
        <v/>
      </c>
      <c r="AD342" s="25" t="str">
        <f aca="false">IF(AT342="","",0)</f>
        <v/>
      </c>
      <c r="AE342" s="25" t="str">
        <f aca="false">IF(AT342="","","")</f>
        <v/>
      </c>
      <c r="AF342" s="25" t="str">
        <f aca="false">IF(AT342="","",0)</f>
        <v/>
      </c>
      <c r="AG342" s="25" t="str">
        <f aca="false">IF(AT342="","",0)</f>
        <v/>
      </c>
      <c r="AH342" s="25" t="str">
        <f aca="false">IF(AT342="","","")</f>
        <v/>
      </c>
      <c r="AI342" s="25" t="str">
        <f aca="false">IF(AT342="","","")</f>
        <v/>
      </c>
      <c r="AJ342" s="25" t="str">
        <f aca="false">IF(AT342="","","")</f>
        <v/>
      </c>
      <c r="AK342" s="25" t="str">
        <f aca="false">IF(AT342="","",2)</f>
        <v/>
      </c>
      <c r="AL342" s="25" t="str">
        <f aca="false">IF(AT342="","","")</f>
        <v/>
      </c>
      <c r="AM342" s="25" t="str">
        <f aca="false">IF(AT342="","","")</f>
        <v/>
      </c>
      <c r="AN342" s="25" t="str">
        <f aca="false">IF(AT342="","",INDEX(入力シート!$C$5:$C$204,AT342))</f>
        <v/>
      </c>
      <c r="AO342" s="25" t="str">
        <f aca="false">IF(AT342="","","")</f>
        <v/>
      </c>
      <c r="AP342" s="25" t="str">
        <f aca="false">IF(AT342="","","")</f>
        <v/>
      </c>
      <c r="AQ342" s="25" t="str">
        <f aca="false">IF(AT342="","","")</f>
        <v/>
      </c>
      <c r="AT342" s="27" t="str">
        <f aca="false">IFERROR(MATCH(142,入力シート!$T$5:$T$204,0),"")</f>
        <v/>
      </c>
    </row>
    <row r="343" customFormat="false" ht="15" hidden="false" customHeight="true" outlineLevel="0" collapsed="false">
      <c r="A343" s="25" t="str">
        <f aca="false">IF(AT343="","",1)</f>
        <v/>
      </c>
      <c r="B343" s="25" t="str">
        <f aca="false">IF(AT343="","",1)</f>
        <v/>
      </c>
      <c r="C343" s="25" t="str">
        <f aca="false">IF(AT343="","",0)</f>
        <v/>
      </c>
      <c r="D343" s="25" t="str">
        <f aca="false">IF(AT343="","",TEXT(INDEX(入力シート!$A$5:$A$204,AT343),"YYYYMMDD"))</f>
        <v/>
      </c>
      <c r="E343" s="25" t="str">
        <f aca="false">IF(AT343="","",TEXT(INDEX(入力シート!$Q$5:$Q$204,AT343),"00000000"))</f>
        <v/>
      </c>
      <c r="F343" s="25" t="str">
        <f aca="false">IF(AT343="","",14)</f>
        <v/>
      </c>
      <c r="G343" s="25" t="str">
        <f aca="false">IF(AT343="","",1)</f>
        <v/>
      </c>
      <c r="H343" s="25" t="str">
        <f aca="false">IF(AT343="","",1)</f>
        <v/>
      </c>
      <c r="I343" s="25" t="str">
        <f aca="false">IF(AT343="","",3)</f>
        <v/>
      </c>
      <c r="J343" s="25" t="str">
        <f aca="false">IF(AT343="","",1)</f>
        <v/>
      </c>
      <c r="K343" s="25" t="str">
        <f aca="false">IF(AT343="","",INDEX(入力シート!$B$5:$B$204,AT343))</f>
        <v/>
      </c>
      <c r="L343" s="25" t="str">
        <f aca="false">IF(AT343="","","")</f>
        <v/>
      </c>
      <c r="M343" s="25" t="str">
        <f aca="false">IF(AT343="","","")</f>
        <v/>
      </c>
      <c r="N343" s="25" t="str">
        <f aca="false">IF(AT343="","",COUNTIF(入力シート!$Q$5:$Q$204,INDEX(入力シート!$Q$5:$Q$204,AT343))+1)</f>
        <v/>
      </c>
      <c r="O343" s="25" t="str">
        <f aca="false">IF(AT343="","",99)</f>
        <v/>
      </c>
      <c r="P343" s="25" t="str">
        <f aca="false">IF(AT343="","","")</f>
        <v/>
      </c>
      <c r="Q343" s="25" t="str">
        <f aca="false">IF(AT343="","","")</f>
        <v/>
      </c>
      <c r="R343" s="25" t="str">
        <f aca="false">IF(AT343="","","消費税")</f>
        <v/>
      </c>
      <c r="S343" s="25" t="str">
        <f aca="false">IF(AT343="","",0)</f>
        <v/>
      </c>
      <c r="T343" s="25" t="str">
        <f aca="false">IF(AT343="","","")</f>
        <v/>
      </c>
      <c r="U343" s="25" t="str">
        <f aca="false">IF(AT343="","",0)</f>
        <v/>
      </c>
      <c r="V343" s="25" t="str">
        <f aca="false">IF(AT343="","",0)</f>
        <v/>
      </c>
      <c r="W343" s="25" t="str">
        <f aca="false">IF(AT343="","","")</f>
        <v/>
      </c>
      <c r="X343" s="25" t="str">
        <f aca="false">IF(AT343="","",0)</f>
        <v/>
      </c>
      <c r="Y343" s="25" t="str">
        <f aca="false">IF(AT343="","",0)</f>
        <v/>
      </c>
      <c r="Z343" s="25" t="str">
        <f aca="false">IF(AT343="","",ROUNDDOWN(SUMIF(入力シート!$Q$5:$Q$204,INDEX(入力シート!$Q$5:$Q$204,AT343),入力シート!$P$5:$P$204)*IF(INDEX(入力シート!$L$5:$L$204,AT343)=13,0.1,IF(INDEX(入力シート!$L$5:$L$204,AT343)=30,0.08,0)),0))</f>
        <v/>
      </c>
      <c r="AA343" s="25" t="str">
        <f aca="false">IF(AT343="","","")</f>
        <v/>
      </c>
      <c r="AB343" s="25" t="str">
        <f aca="false">IF(AT343="","",0)</f>
        <v/>
      </c>
      <c r="AC343" s="25" t="str">
        <f aca="false">IF(AT343="","",0)</f>
        <v/>
      </c>
      <c r="AD343" s="25" t="str">
        <f aca="false">IF(AT343="","",0)</f>
        <v/>
      </c>
      <c r="AE343" s="25" t="str">
        <f aca="false">IF(AT343="","","")</f>
        <v/>
      </c>
      <c r="AF343" s="25" t="str">
        <f aca="false">IF(AT343="","",0)</f>
        <v/>
      </c>
      <c r="AG343" s="25" t="str">
        <f aca="false">IF(AT343="","",0)</f>
        <v/>
      </c>
      <c r="AH343" s="25" t="str">
        <f aca="false">IF(AT343="","","")</f>
        <v/>
      </c>
      <c r="AI343" s="25" t="str">
        <f aca="false">IF(AT343="","","")</f>
        <v/>
      </c>
      <c r="AJ343" s="25" t="str">
        <f aca="false">IF(AT343="","","")</f>
        <v/>
      </c>
      <c r="AK343" s="25" t="str">
        <f aca="false">IF(AT343="","",2)</f>
        <v/>
      </c>
      <c r="AL343" s="25" t="str">
        <f aca="false">IF(AT343="","","")</f>
        <v/>
      </c>
      <c r="AM343" s="25" t="str">
        <f aca="false">IF(AT343="","","")</f>
        <v/>
      </c>
      <c r="AN343" s="25" t="str">
        <f aca="false">IF(AT343="","",INDEX(入力シート!$C$5:$C$204,AT343))</f>
        <v/>
      </c>
      <c r="AO343" s="25" t="str">
        <f aca="false">IF(AT343="","","")</f>
        <v/>
      </c>
      <c r="AP343" s="25" t="str">
        <f aca="false">IF(AT343="","","")</f>
        <v/>
      </c>
      <c r="AQ343" s="25" t="str">
        <f aca="false">IF(AT343="","","")</f>
        <v/>
      </c>
      <c r="AT343" s="27" t="str">
        <f aca="false">IFERROR(MATCH(143,入力シート!$T$5:$T$204,0),"")</f>
        <v/>
      </c>
    </row>
    <row r="344" customFormat="false" ht="15" hidden="false" customHeight="true" outlineLevel="0" collapsed="false">
      <c r="A344" s="25" t="str">
        <f aca="false">IF(AT344="","",1)</f>
        <v/>
      </c>
      <c r="B344" s="25" t="str">
        <f aca="false">IF(AT344="","",1)</f>
        <v/>
      </c>
      <c r="C344" s="25" t="str">
        <f aca="false">IF(AT344="","",0)</f>
        <v/>
      </c>
      <c r="D344" s="25" t="str">
        <f aca="false">IF(AT344="","",TEXT(INDEX(入力シート!$A$5:$A$204,AT344),"YYYYMMDD"))</f>
        <v/>
      </c>
      <c r="E344" s="25" t="str">
        <f aca="false">IF(AT344="","",TEXT(INDEX(入力シート!$Q$5:$Q$204,AT344),"00000000"))</f>
        <v/>
      </c>
      <c r="F344" s="25" t="str">
        <f aca="false">IF(AT344="","",14)</f>
        <v/>
      </c>
      <c r="G344" s="25" t="str">
        <f aca="false">IF(AT344="","",1)</f>
        <v/>
      </c>
      <c r="H344" s="25" t="str">
        <f aca="false">IF(AT344="","",1)</f>
        <v/>
      </c>
      <c r="I344" s="25" t="str">
        <f aca="false">IF(AT344="","",3)</f>
        <v/>
      </c>
      <c r="J344" s="25" t="str">
        <f aca="false">IF(AT344="","",1)</f>
        <v/>
      </c>
      <c r="K344" s="25" t="str">
        <f aca="false">IF(AT344="","",INDEX(入力シート!$B$5:$B$204,AT344))</f>
        <v/>
      </c>
      <c r="L344" s="25" t="str">
        <f aca="false">IF(AT344="","","")</f>
        <v/>
      </c>
      <c r="M344" s="25" t="str">
        <f aca="false">IF(AT344="","","")</f>
        <v/>
      </c>
      <c r="N344" s="25" t="str">
        <f aca="false">IF(AT344="","",COUNTIF(入力シート!$Q$5:$Q$204,INDEX(入力シート!$Q$5:$Q$204,AT344))+1)</f>
        <v/>
      </c>
      <c r="O344" s="25" t="str">
        <f aca="false">IF(AT344="","",99)</f>
        <v/>
      </c>
      <c r="P344" s="25" t="str">
        <f aca="false">IF(AT344="","","")</f>
        <v/>
      </c>
      <c r="Q344" s="25" t="str">
        <f aca="false">IF(AT344="","","")</f>
        <v/>
      </c>
      <c r="R344" s="25" t="str">
        <f aca="false">IF(AT344="","","消費税")</f>
        <v/>
      </c>
      <c r="S344" s="25" t="str">
        <f aca="false">IF(AT344="","",0)</f>
        <v/>
      </c>
      <c r="T344" s="25" t="str">
        <f aca="false">IF(AT344="","","")</f>
        <v/>
      </c>
      <c r="U344" s="25" t="str">
        <f aca="false">IF(AT344="","",0)</f>
        <v/>
      </c>
      <c r="V344" s="25" t="str">
        <f aca="false">IF(AT344="","",0)</f>
        <v/>
      </c>
      <c r="W344" s="25" t="str">
        <f aca="false">IF(AT344="","","")</f>
        <v/>
      </c>
      <c r="X344" s="25" t="str">
        <f aca="false">IF(AT344="","",0)</f>
        <v/>
      </c>
      <c r="Y344" s="25" t="str">
        <f aca="false">IF(AT344="","",0)</f>
        <v/>
      </c>
      <c r="Z344" s="25" t="str">
        <f aca="false">IF(AT344="","",ROUNDDOWN(SUMIF(入力シート!$Q$5:$Q$204,INDEX(入力シート!$Q$5:$Q$204,AT344),入力シート!$P$5:$P$204)*IF(INDEX(入力シート!$L$5:$L$204,AT344)=13,0.1,IF(INDEX(入力シート!$L$5:$L$204,AT344)=30,0.08,0)),0))</f>
        <v/>
      </c>
      <c r="AA344" s="25" t="str">
        <f aca="false">IF(AT344="","","")</f>
        <v/>
      </c>
      <c r="AB344" s="25" t="str">
        <f aca="false">IF(AT344="","",0)</f>
        <v/>
      </c>
      <c r="AC344" s="25" t="str">
        <f aca="false">IF(AT344="","",0)</f>
        <v/>
      </c>
      <c r="AD344" s="25" t="str">
        <f aca="false">IF(AT344="","",0)</f>
        <v/>
      </c>
      <c r="AE344" s="25" t="str">
        <f aca="false">IF(AT344="","","")</f>
        <v/>
      </c>
      <c r="AF344" s="25" t="str">
        <f aca="false">IF(AT344="","",0)</f>
        <v/>
      </c>
      <c r="AG344" s="25" t="str">
        <f aca="false">IF(AT344="","",0)</f>
        <v/>
      </c>
      <c r="AH344" s="25" t="str">
        <f aca="false">IF(AT344="","","")</f>
        <v/>
      </c>
      <c r="AI344" s="25" t="str">
        <f aca="false">IF(AT344="","","")</f>
        <v/>
      </c>
      <c r="AJ344" s="25" t="str">
        <f aca="false">IF(AT344="","","")</f>
        <v/>
      </c>
      <c r="AK344" s="25" t="str">
        <f aca="false">IF(AT344="","",2)</f>
        <v/>
      </c>
      <c r="AL344" s="25" t="str">
        <f aca="false">IF(AT344="","","")</f>
        <v/>
      </c>
      <c r="AM344" s="25" t="str">
        <f aca="false">IF(AT344="","","")</f>
        <v/>
      </c>
      <c r="AN344" s="25" t="str">
        <f aca="false">IF(AT344="","",INDEX(入力シート!$C$5:$C$204,AT344))</f>
        <v/>
      </c>
      <c r="AO344" s="25" t="str">
        <f aca="false">IF(AT344="","","")</f>
        <v/>
      </c>
      <c r="AP344" s="25" t="str">
        <f aca="false">IF(AT344="","","")</f>
        <v/>
      </c>
      <c r="AQ344" s="25" t="str">
        <f aca="false">IF(AT344="","","")</f>
        <v/>
      </c>
      <c r="AT344" s="27" t="str">
        <f aca="false">IFERROR(MATCH(144,入力シート!$T$5:$T$204,0),"")</f>
        <v/>
      </c>
    </row>
    <row r="345" customFormat="false" ht="15" hidden="false" customHeight="true" outlineLevel="0" collapsed="false">
      <c r="A345" s="25" t="str">
        <f aca="false">IF(AT345="","",1)</f>
        <v/>
      </c>
      <c r="B345" s="25" t="str">
        <f aca="false">IF(AT345="","",1)</f>
        <v/>
      </c>
      <c r="C345" s="25" t="str">
        <f aca="false">IF(AT345="","",0)</f>
        <v/>
      </c>
      <c r="D345" s="25" t="str">
        <f aca="false">IF(AT345="","",TEXT(INDEX(入力シート!$A$5:$A$204,AT345),"YYYYMMDD"))</f>
        <v/>
      </c>
      <c r="E345" s="25" t="str">
        <f aca="false">IF(AT345="","",TEXT(INDEX(入力シート!$Q$5:$Q$204,AT345),"00000000"))</f>
        <v/>
      </c>
      <c r="F345" s="25" t="str">
        <f aca="false">IF(AT345="","",14)</f>
        <v/>
      </c>
      <c r="G345" s="25" t="str">
        <f aca="false">IF(AT345="","",1)</f>
        <v/>
      </c>
      <c r="H345" s="25" t="str">
        <f aca="false">IF(AT345="","",1)</f>
        <v/>
      </c>
      <c r="I345" s="25" t="str">
        <f aca="false">IF(AT345="","",3)</f>
        <v/>
      </c>
      <c r="J345" s="25" t="str">
        <f aca="false">IF(AT345="","",1)</f>
        <v/>
      </c>
      <c r="K345" s="25" t="str">
        <f aca="false">IF(AT345="","",INDEX(入力シート!$B$5:$B$204,AT345))</f>
        <v/>
      </c>
      <c r="L345" s="25" t="str">
        <f aca="false">IF(AT345="","","")</f>
        <v/>
      </c>
      <c r="M345" s="25" t="str">
        <f aca="false">IF(AT345="","","")</f>
        <v/>
      </c>
      <c r="N345" s="25" t="str">
        <f aca="false">IF(AT345="","",COUNTIF(入力シート!$Q$5:$Q$204,INDEX(入力シート!$Q$5:$Q$204,AT345))+1)</f>
        <v/>
      </c>
      <c r="O345" s="25" t="str">
        <f aca="false">IF(AT345="","",99)</f>
        <v/>
      </c>
      <c r="P345" s="25" t="str">
        <f aca="false">IF(AT345="","","")</f>
        <v/>
      </c>
      <c r="Q345" s="25" t="str">
        <f aca="false">IF(AT345="","","")</f>
        <v/>
      </c>
      <c r="R345" s="25" t="str">
        <f aca="false">IF(AT345="","","消費税")</f>
        <v/>
      </c>
      <c r="S345" s="25" t="str">
        <f aca="false">IF(AT345="","",0)</f>
        <v/>
      </c>
      <c r="T345" s="25" t="str">
        <f aca="false">IF(AT345="","","")</f>
        <v/>
      </c>
      <c r="U345" s="25" t="str">
        <f aca="false">IF(AT345="","",0)</f>
        <v/>
      </c>
      <c r="V345" s="25" t="str">
        <f aca="false">IF(AT345="","",0)</f>
        <v/>
      </c>
      <c r="W345" s="25" t="str">
        <f aca="false">IF(AT345="","","")</f>
        <v/>
      </c>
      <c r="X345" s="25" t="str">
        <f aca="false">IF(AT345="","",0)</f>
        <v/>
      </c>
      <c r="Y345" s="25" t="str">
        <f aca="false">IF(AT345="","",0)</f>
        <v/>
      </c>
      <c r="Z345" s="25" t="str">
        <f aca="false">IF(AT345="","",ROUNDDOWN(SUMIF(入力シート!$Q$5:$Q$204,INDEX(入力シート!$Q$5:$Q$204,AT345),入力シート!$P$5:$P$204)*IF(INDEX(入力シート!$L$5:$L$204,AT345)=13,0.1,IF(INDEX(入力シート!$L$5:$L$204,AT345)=30,0.08,0)),0))</f>
        <v/>
      </c>
      <c r="AA345" s="25" t="str">
        <f aca="false">IF(AT345="","","")</f>
        <v/>
      </c>
      <c r="AB345" s="25" t="str">
        <f aca="false">IF(AT345="","",0)</f>
        <v/>
      </c>
      <c r="AC345" s="25" t="str">
        <f aca="false">IF(AT345="","",0)</f>
        <v/>
      </c>
      <c r="AD345" s="25" t="str">
        <f aca="false">IF(AT345="","",0)</f>
        <v/>
      </c>
      <c r="AE345" s="25" t="str">
        <f aca="false">IF(AT345="","","")</f>
        <v/>
      </c>
      <c r="AF345" s="25" t="str">
        <f aca="false">IF(AT345="","",0)</f>
        <v/>
      </c>
      <c r="AG345" s="25" t="str">
        <f aca="false">IF(AT345="","",0)</f>
        <v/>
      </c>
      <c r="AH345" s="25" t="str">
        <f aca="false">IF(AT345="","","")</f>
        <v/>
      </c>
      <c r="AI345" s="25" t="str">
        <f aca="false">IF(AT345="","","")</f>
        <v/>
      </c>
      <c r="AJ345" s="25" t="str">
        <f aca="false">IF(AT345="","","")</f>
        <v/>
      </c>
      <c r="AK345" s="25" t="str">
        <f aca="false">IF(AT345="","",2)</f>
        <v/>
      </c>
      <c r="AL345" s="25" t="str">
        <f aca="false">IF(AT345="","","")</f>
        <v/>
      </c>
      <c r="AM345" s="25" t="str">
        <f aca="false">IF(AT345="","","")</f>
        <v/>
      </c>
      <c r="AN345" s="25" t="str">
        <f aca="false">IF(AT345="","",INDEX(入力シート!$C$5:$C$204,AT345))</f>
        <v/>
      </c>
      <c r="AO345" s="25" t="str">
        <f aca="false">IF(AT345="","","")</f>
        <v/>
      </c>
      <c r="AP345" s="25" t="str">
        <f aca="false">IF(AT345="","","")</f>
        <v/>
      </c>
      <c r="AQ345" s="25" t="str">
        <f aca="false">IF(AT345="","","")</f>
        <v/>
      </c>
      <c r="AT345" s="27" t="str">
        <f aca="false">IFERROR(MATCH(145,入力シート!$T$5:$T$204,0),"")</f>
        <v/>
      </c>
    </row>
    <row r="346" customFormat="false" ht="15" hidden="false" customHeight="true" outlineLevel="0" collapsed="false">
      <c r="A346" s="25" t="str">
        <f aca="false">IF(AT346="","",1)</f>
        <v/>
      </c>
      <c r="B346" s="25" t="str">
        <f aca="false">IF(AT346="","",1)</f>
        <v/>
      </c>
      <c r="C346" s="25" t="str">
        <f aca="false">IF(AT346="","",0)</f>
        <v/>
      </c>
      <c r="D346" s="25" t="str">
        <f aca="false">IF(AT346="","",TEXT(INDEX(入力シート!$A$5:$A$204,AT346),"YYYYMMDD"))</f>
        <v/>
      </c>
      <c r="E346" s="25" t="str">
        <f aca="false">IF(AT346="","",TEXT(INDEX(入力シート!$Q$5:$Q$204,AT346),"00000000"))</f>
        <v/>
      </c>
      <c r="F346" s="25" t="str">
        <f aca="false">IF(AT346="","",14)</f>
        <v/>
      </c>
      <c r="G346" s="25" t="str">
        <f aca="false">IF(AT346="","",1)</f>
        <v/>
      </c>
      <c r="H346" s="25" t="str">
        <f aca="false">IF(AT346="","",1)</f>
        <v/>
      </c>
      <c r="I346" s="25" t="str">
        <f aca="false">IF(AT346="","",3)</f>
        <v/>
      </c>
      <c r="J346" s="25" t="str">
        <f aca="false">IF(AT346="","",1)</f>
        <v/>
      </c>
      <c r="K346" s="25" t="str">
        <f aca="false">IF(AT346="","",INDEX(入力シート!$B$5:$B$204,AT346))</f>
        <v/>
      </c>
      <c r="L346" s="25" t="str">
        <f aca="false">IF(AT346="","","")</f>
        <v/>
      </c>
      <c r="M346" s="25" t="str">
        <f aca="false">IF(AT346="","","")</f>
        <v/>
      </c>
      <c r="N346" s="25" t="str">
        <f aca="false">IF(AT346="","",COUNTIF(入力シート!$Q$5:$Q$204,INDEX(入力シート!$Q$5:$Q$204,AT346))+1)</f>
        <v/>
      </c>
      <c r="O346" s="25" t="str">
        <f aca="false">IF(AT346="","",99)</f>
        <v/>
      </c>
      <c r="P346" s="25" t="str">
        <f aca="false">IF(AT346="","","")</f>
        <v/>
      </c>
      <c r="Q346" s="25" t="str">
        <f aca="false">IF(AT346="","","")</f>
        <v/>
      </c>
      <c r="R346" s="25" t="str">
        <f aca="false">IF(AT346="","","消費税")</f>
        <v/>
      </c>
      <c r="S346" s="25" t="str">
        <f aca="false">IF(AT346="","",0)</f>
        <v/>
      </c>
      <c r="T346" s="25" t="str">
        <f aca="false">IF(AT346="","","")</f>
        <v/>
      </c>
      <c r="U346" s="25" t="str">
        <f aca="false">IF(AT346="","",0)</f>
        <v/>
      </c>
      <c r="V346" s="25" t="str">
        <f aca="false">IF(AT346="","",0)</f>
        <v/>
      </c>
      <c r="W346" s="25" t="str">
        <f aca="false">IF(AT346="","","")</f>
        <v/>
      </c>
      <c r="X346" s="25" t="str">
        <f aca="false">IF(AT346="","",0)</f>
        <v/>
      </c>
      <c r="Y346" s="25" t="str">
        <f aca="false">IF(AT346="","",0)</f>
        <v/>
      </c>
      <c r="Z346" s="25" t="str">
        <f aca="false">IF(AT346="","",ROUNDDOWN(SUMIF(入力シート!$Q$5:$Q$204,INDEX(入力シート!$Q$5:$Q$204,AT346),入力シート!$P$5:$P$204)*IF(INDEX(入力シート!$L$5:$L$204,AT346)=13,0.1,IF(INDEX(入力シート!$L$5:$L$204,AT346)=30,0.08,0)),0))</f>
        <v/>
      </c>
      <c r="AA346" s="25" t="str">
        <f aca="false">IF(AT346="","","")</f>
        <v/>
      </c>
      <c r="AB346" s="25" t="str">
        <f aca="false">IF(AT346="","",0)</f>
        <v/>
      </c>
      <c r="AC346" s="25" t="str">
        <f aca="false">IF(AT346="","",0)</f>
        <v/>
      </c>
      <c r="AD346" s="25" t="str">
        <f aca="false">IF(AT346="","",0)</f>
        <v/>
      </c>
      <c r="AE346" s="25" t="str">
        <f aca="false">IF(AT346="","","")</f>
        <v/>
      </c>
      <c r="AF346" s="25" t="str">
        <f aca="false">IF(AT346="","",0)</f>
        <v/>
      </c>
      <c r="AG346" s="25" t="str">
        <f aca="false">IF(AT346="","",0)</f>
        <v/>
      </c>
      <c r="AH346" s="25" t="str">
        <f aca="false">IF(AT346="","","")</f>
        <v/>
      </c>
      <c r="AI346" s="25" t="str">
        <f aca="false">IF(AT346="","","")</f>
        <v/>
      </c>
      <c r="AJ346" s="25" t="str">
        <f aca="false">IF(AT346="","","")</f>
        <v/>
      </c>
      <c r="AK346" s="25" t="str">
        <f aca="false">IF(AT346="","",2)</f>
        <v/>
      </c>
      <c r="AL346" s="25" t="str">
        <f aca="false">IF(AT346="","","")</f>
        <v/>
      </c>
      <c r="AM346" s="25" t="str">
        <f aca="false">IF(AT346="","","")</f>
        <v/>
      </c>
      <c r="AN346" s="25" t="str">
        <f aca="false">IF(AT346="","",INDEX(入力シート!$C$5:$C$204,AT346))</f>
        <v/>
      </c>
      <c r="AO346" s="25" t="str">
        <f aca="false">IF(AT346="","","")</f>
        <v/>
      </c>
      <c r="AP346" s="25" t="str">
        <f aca="false">IF(AT346="","","")</f>
        <v/>
      </c>
      <c r="AQ346" s="25" t="str">
        <f aca="false">IF(AT346="","","")</f>
        <v/>
      </c>
      <c r="AT346" s="27" t="str">
        <f aca="false">IFERROR(MATCH(146,入力シート!$T$5:$T$204,0),"")</f>
        <v/>
      </c>
    </row>
    <row r="347" customFormat="false" ht="15" hidden="false" customHeight="true" outlineLevel="0" collapsed="false">
      <c r="A347" s="25" t="str">
        <f aca="false">IF(AT347="","",1)</f>
        <v/>
      </c>
      <c r="B347" s="25" t="str">
        <f aca="false">IF(AT347="","",1)</f>
        <v/>
      </c>
      <c r="C347" s="25" t="str">
        <f aca="false">IF(AT347="","",0)</f>
        <v/>
      </c>
      <c r="D347" s="25" t="str">
        <f aca="false">IF(AT347="","",TEXT(INDEX(入力シート!$A$5:$A$204,AT347),"YYYYMMDD"))</f>
        <v/>
      </c>
      <c r="E347" s="25" t="str">
        <f aca="false">IF(AT347="","",TEXT(INDEX(入力シート!$Q$5:$Q$204,AT347),"00000000"))</f>
        <v/>
      </c>
      <c r="F347" s="25" t="str">
        <f aca="false">IF(AT347="","",14)</f>
        <v/>
      </c>
      <c r="G347" s="25" t="str">
        <f aca="false">IF(AT347="","",1)</f>
        <v/>
      </c>
      <c r="H347" s="25" t="str">
        <f aca="false">IF(AT347="","",1)</f>
        <v/>
      </c>
      <c r="I347" s="25" t="str">
        <f aca="false">IF(AT347="","",3)</f>
        <v/>
      </c>
      <c r="J347" s="25" t="str">
        <f aca="false">IF(AT347="","",1)</f>
        <v/>
      </c>
      <c r="K347" s="25" t="str">
        <f aca="false">IF(AT347="","",INDEX(入力シート!$B$5:$B$204,AT347))</f>
        <v/>
      </c>
      <c r="L347" s="25" t="str">
        <f aca="false">IF(AT347="","","")</f>
        <v/>
      </c>
      <c r="M347" s="25" t="str">
        <f aca="false">IF(AT347="","","")</f>
        <v/>
      </c>
      <c r="N347" s="25" t="str">
        <f aca="false">IF(AT347="","",COUNTIF(入力シート!$Q$5:$Q$204,INDEX(入力シート!$Q$5:$Q$204,AT347))+1)</f>
        <v/>
      </c>
      <c r="O347" s="25" t="str">
        <f aca="false">IF(AT347="","",99)</f>
        <v/>
      </c>
      <c r="P347" s="25" t="str">
        <f aca="false">IF(AT347="","","")</f>
        <v/>
      </c>
      <c r="Q347" s="25" t="str">
        <f aca="false">IF(AT347="","","")</f>
        <v/>
      </c>
      <c r="R347" s="25" t="str">
        <f aca="false">IF(AT347="","","消費税")</f>
        <v/>
      </c>
      <c r="S347" s="25" t="str">
        <f aca="false">IF(AT347="","",0)</f>
        <v/>
      </c>
      <c r="T347" s="25" t="str">
        <f aca="false">IF(AT347="","","")</f>
        <v/>
      </c>
      <c r="U347" s="25" t="str">
        <f aca="false">IF(AT347="","",0)</f>
        <v/>
      </c>
      <c r="V347" s="25" t="str">
        <f aca="false">IF(AT347="","",0)</f>
        <v/>
      </c>
      <c r="W347" s="25" t="str">
        <f aca="false">IF(AT347="","","")</f>
        <v/>
      </c>
      <c r="X347" s="25" t="str">
        <f aca="false">IF(AT347="","",0)</f>
        <v/>
      </c>
      <c r="Y347" s="25" t="str">
        <f aca="false">IF(AT347="","",0)</f>
        <v/>
      </c>
      <c r="Z347" s="25" t="str">
        <f aca="false">IF(AT347="","",ROUNDDOWN(SUMIF(入力シート!$Q$5:$Q$204,INDEX(入力シート!$Q$5:$Q$204,AT347),入力シート!$P$5:$P$204)*IF(INDEX(入力シート!$L$5:$L$204,AT347)=13,0.1,IF(INDEX(入力シート!$L$5:$L$204,AT347)=30,0.08,0)),0))</f>
        <v/>
      </c>
      <c r="AA347" s="25" t="str">
        <f aca="false">IF(AT347="","","")</f>
        <v/>
      </c>
      <c r="AB347" s="25" t="str">
        <f aca="false">IF(AT347="","",0)</f>
        <v/>
      </c>
      <c r="AC347" s="25" t="str">
        <f aca="false">IF(AT347="","",0)</f>
        <v/>
      </c>
      <c r="AD347" s="25" t="str">
        <f aca="false">IF(AT347="","",0)</f>
        <v/>
      </c>
      <c r="AE347" s="25" t="str">
        <f aca="false">IF(AT347="","","")</f>
        <v/>
      </c>
      <c r="AF347" s="25" t="str">
        <f aca="false">IF(AT347="","",0)</f>
        <v/>
      </c>
      <c r="AG347" s="25" t="str">
        <f aca="false">IF(AT347="","",0)</f>
        <v/>
      </c>
      <c r="AH347" s="25" t="str">
        <f aca="false">IF(AT347="","","")</f>
        <v/>
      </c>
      <c r="AI347" s="25" t="str">
        <f aca="false">IF(AT347="","","")</f>
        <v/>
      </c>
      <c r="AJ347" s="25" t="str">
        <f aca="false">IF(AT347="","","")</f>
        <v/>
      </c>
      <c r="AK347" s="25" t="str">
        <f aca="false">IF(AT347="","",2)</f>
        <v/>
      </c>
      <c r="AL347" s="25" t="str">
        <f aca="false">IF(AT347="","","")</f>
        <v/>
      </c>
      <c r="AM347" s="25" t="str">
        <f aca="false">IF(AT347="","","")</f>
        <v/>
      </c>
      <c r="AN347" s="25" t="str">
        <f aca="false">IF(AT347="","",INDEX(入力シート!$C$5:$C$204,AT347))</f>
        <v/>
      </c>
      <c r="AO347" s="25" t="str">
        <f aca="false">IF(AT347="","","")</f>
        <v/>
      </c>
      <c r="AP347" s="25" t="str">
        <f aca="false">IF(AT347="","","")</f>
        <v/>
      </c>
      <c r="AQ347" s="25" t="str">
        <f aca="false">IF(AT347="","","")</f>
        <v/>
      </c>
      <c r="AT347" s="27" t="str">
        <f aca="false">IFERROR(MATCH(147,入力シート!$T$5:$T$204,0),"")</f>
        <v/>
      </c>
    </row>
    <row r="348" customFormat="false" ht="15" hidden="false" customHeight="true" outlineLevel="0" collapsed="false">
      <c r="A348" s="25" t="str">
        <f aca="false">IF(AT348="","",1)</f>
        <v/>
      </c>
      <c r="B348" s="25" t="str">
        <f aca="false">IF(AT348="","",1)</f>
        <v/>
      </c>
      <c r="C348" s="25" t="str">
        <f aca="false">IF(AT348="","",0)</f>
        <v/>
      </c>
      <c r="D348" s="25" t="str">
        <f aca="false">IF(AT348="","",TEXT(INDEX(入力シート!$A$5:$A$204,AT348),"YYYYMMDD"))</f>
        <v/>
      </c>
      <c r="E348" s="25" t="str">
        <f aca="false">IF(AT348="","",TEXT(INDEX(入力シート!$Q$5:$Q$204,AT348),"00000000"))</f>
        <v/>
      </c>
      <c r="F348" s="25" t="str">
        <f aca="false">IF(AT348="","",14)</f>
        <v/>
      </c>
      <c r="G348" s="25" t="str">
        <f aca="false">IF(AT348="","",1)</f>
        <v/>
      </c>
      <c r="H348" s="25" t="str">
        <f aca="false">IF(AT348="","",1)</f>
        <v/>
      </c>
      <c r="I348" s="25" t="str">
        <f aca="false">IF(AT348="","",3)</f>
        <v/>
      </c>
      <c r="J348" s="25" t="str">
        <f aca="false">IF(AT348="","",1)</f>
        <v/>
      </c>
      <c r="K348" s="25" t="str">
        <f aca="false">IF(AT348="","",INDEX(入力シート!$B$5:$B$204,AT348))</f>
        <v/>
      </c>
      <c r="L348" s="25" t="str">
        <f aca="false">IF(AT348="","","")</f>
        <v/>
      </c>
      <c r="M348" s="25" t="str">
        <f aca="false">IF(AT348="","","")</f>
        <v/>
      </c>
      <c r="N348" s="25" t="str">
        <f aca="false">IF(AT348="","",COUNTIF(入力シート!$Q$5:$Q$204,INDEX(入力シート!$Q$5:$Q$204,AT348))+1)</f>
        <v/>
      </c>
      <c r="O348" s="25" t="str">
        <f aca="false">IF(AT348="","",99)</f>
        <v/>
      </c>
      <c r="P348" s="25" t="str">
        <f aca="false">IF(AT348="","","")</f>
        <v/>
      </c>
      <c r="Q348" s="25" t="str">
        <f aca="false">IF(AT348="","","")</f>
        <v/>
      </c>
      <c r="R348" s="25" t="str">
        <f aca="false">IF(AT348="","","消費税")</f>
        <v/>
      </c>
      <c r="S348" s="25" t="str">
        <f aca="false">IF(AT348="","",0)</f>
        <v/>
      </c>
      <c r="T348" s="25" t="str">
        <f aca="false">IF(AT348="","","")</f>
        <v/>
      </c>
      <c r="U348" s="25" t="str">
        <f aca="false">IF(AT348="","",0)</f>
        <v/>
      </c>
      <c r="V348" s="25" t="str">
        <f aca="false">IF(AT348="","",0)</f>
        <v/>
      </c>
      <c r="W348" s="25" t="str">
        <f aca="false">IF(AT348="","","")</f>
        <v/>
      </c>
      <c r="X348" s="25" t="str">
        <f aca="false">IF(AT348="","",0)</f>
        <v/>
      </c>
      <c r="Y348" s="25" t="str">
        <f aca="false">IF(AT348="","",0)</f>
        <v/>
      </c>
      <c r="Z348" s="25" t="str">
        <f aca="false">IF(AT348="","",ROUNDDOWN(SUMIF(入力シート!$Q$5:$Q$204,INDEX(入力シート!$Q$5:$Q$204,AT348),入力シート!$P$5:$P$204)*IF(INDEX(入力シート!$L$5:$L$204,AT348)=13,0.1,IF(INDEX(入力シート!$L$5:$L$204,AT348)=30,0.08,0)),0))</f>
        <v/>
      </c>
      <c r="AA348" s="25" t="str">
        <f aca="false">IF(AT348="","","")</f>
        <v/>
      </c>
      <c r="AB348" s="25" t="str">
        <f aca="false">IF(AT348="","",0)</f>
        <v/>
      </c>
      <c r="AC348" s="25" t="str">
        <f aca="false">IF(AT348="","",0)</f>
        <v/>
      </c>
      <c r="AD348" s="25" t="str">
        <f aca="false">IF(AT348="","",0)</f>
        <v/>
      </c>
      <c r="AE348" s="25" t="str">
        <f aca="false">IF(AT348="","","")</f>
        <v/>
      </c>
      <c r="AF348" s="25" t="str">
        <f aca="false">IF(AT348="","",0)</f>
        <v/>
      </c>
      <c r="AG348" s="25" t="str">
        <f aca="false">IF(AT348="","",0)</f>
        <v/>
      </c>
      <c r="AH348" s="25" t="str">
        <f aca="false">IF(AT348="","","")</f>
        <v/>
      </c>
      <c r="AI348" s="25" t="str">
        <f aca="false">IF(AT348="","","")</f>
        <v/>
      </c>
      <c r="AJ348" s="25" t="str">
        <f aca="false">IF(AT348="","","")</f>
        <v/>
      </c>
      <c r="AK348" s="25" t="str">
        <f aca="false">IF(AT348="","",2)</f>
        <v/>
      </c>
      <c r="AL348" s="25" t="str">
        <f aca="false">IF(AT348="","","")</f>
        <v/>
      </c>
      <c r="AM348" s="25" t="str">
        <f aca="false">IF(AT348="","","")</f>
        <v/>
      </c>
      <c r="AN348" s="25" t="str">
        <f aca="false">IF(AT348="","",INDEX(入力シート!$C$5:$C$204,AT348))</f>
        <v/>
      </c>
      <c r="AO348" s="25" t="str">
        <f aca="false">IF(AT348="","","")</f>
        <v/>
      </c>
      <c r="AP348" s="25" t="str">
        <f aca="false">IF(AT348="","","")</f>
        <v/>
      </c>
      <c r="AQ348" s="25" t="str">
        <f aca="false">IF(AT348="","","")</f>
        <v/>
      </c>
      <c r="AT348" s="27" t="str">
        <f aca="false">IFERROR(MATCH(148,入力シート!$T$5:$T$204,0),"")</f>
        <v/>
      </c>
    </row>
    <row r="349" customFormat="false" ht="15" hidden="false" customHeight="true" outlineLevel="0" collapsed="false">
      <c r="A349" s="25" t="str">
        <f aca="false">IF(AT349="","",1)</f>
        <v/>
      </c>
      <c r="B349" s="25" t="str">
        <f aca="false">IF(AT349="","",1)</f>
        <v/>
      </c>
      <c r="C349" s="25" t="str">
        <f aca="false">IF(AT349="","",0)</f>
        <v/>
      </c>
      <c r="D349" s="25" t="str">
        <f aca="false">IF(AT349="","",TEXT(INDEX(入力シート!$A$5:$A$204,AT349),"YYYYMMDD"))</f>
        <v/>
      </c>
      <c r="E349" s="25" t="str">
        <f aca="false">IF(AT349="","",TEXT(INDEX(入力シート!$Q$5:$Q$204,AT349),"00000000"))</f>
        <v/>
      </c>
      <c r="F349" s="25" t="str">
        <f aca="false">IF(AT349="","",14)</f>
        <v/>
      </c>
      <c r="G349" s="25" t="str">
        <f aca="false">IF(AT349="","",1)</f>
        <v/>
      </c>
      <c r="H349" s="25" t="str">
        <f aca="false">IF(AT349="","",1)</f>
        <v/>
      </c>
      <c r="I349" s="25" t="str">
        <f aca="false">IF(AT349="","",3)</f>
        <v/>
      </c>
      <c r="J349" s="25" t="str">
        <f aca="false">IF(AT349="","",1)</f>
        <v/>
      </c>
      <c r="K349" s="25" t="str">
        <f aca="false">IF(AT349="","",INDEX(入力シート!$B$5:$B$204,AT349))</f>
        <v/>
      </c>
      <c r="L349" s="25" t="str">
        <f aca="false">IF(AT349="","","")</f>
        <v/>
      </c>
      <c r="M349" s="25" t="str">
        <f aca="false">IF(AT349="","","")</f>
        <v/>
      </c>
      <c r="N349" s="25" t="str">
        <f aca="false">IF(AT349="","",COUNTIF(入力シート!$Q$5:$Q$204,INDEX(入力シート!$Q$5:$Q$204,AT349))+1)</f>
        <v/>
      </c>
      <c r="O349" s="25" t="str">
        <f aca="false">IF(AT349="","",99)</f>
        <v/>
      </c>
      <c r="P349" s="25" t="str">
        <f aca="false">IF(AT349="","","")</f>
        <v/>
      </c>
      <c r="Q349" s="25" t="str">
        <f aca="false">IF(AT349="","","")</f>
        <v/>
      </c>
      <c r="R349" s="25" t="str">
        <f aca="false">IF(AT349="","","消費税")</f>
        <v/>
      </c>
      <c r="S349" s="25" t="str">
        <f aca="false">IF(AT349="","",0)</f>
        <v/>
      </c>
      <c r="T349" s="25" t="str">
        <f aca="false">IF(AT349="","","")</f>
        <v/>
      </c>
      <c r="U349" s="25" t="str">
        <f aca="false">IF(AT349="","",0)</f>
        <v/>
      </c>
      <c r="V349" s="25" t="str">
        <f aca="false">IF(AT349="","",0)</f>
        <v/>
      </c>
      <c r="W349" s="25" t="str">
        <f aca="false">IF(AT349="","","")</f>
        <v/>
      </c>
      <c r="X349" s="25" t="str">
        <f aca="false">IF(AT349="","",0)</f>
        <v/>
      </c>
      <c r="Y349" s="25" t="str">
        <f aca="false">IF(AT349="","",0)</f>
        <v/>
      </c>
      <c r="Z349" s="25" t="str">
        <f aca="false">IF(AT349="","",ROUNDDOWN(SUMIF(入力シート!$Q$5:$Q$204,INDEX(入力シート!$Q$5:$Q$204,AT349),入力シート!$P$5:$P$204)*IF(INDEX(入力シート!$L$5:$L$204,AT349)=13,0.1,IF(INDEX(入力シート!$L$5:$L$204,AT349)=30,0.08,0)),0))</f>
        <v/>
      </c>
      <c r="AA349" s="25" t="str">
        <f aca="false">IF(AT349="","","")</f>
        <v/>
      </c>
      <c r="AB349" s="25" t="str">
        <f aca="false">IF(AT349="","",0)</f>
        <v/>
      </c>
      <c r="AC349" s="25" t="str">
        <f aca="false">IF(AT349="","",0)</f>
        <v/>
      </c>
      <c r="AD349" s="25" t="str">
        <f aca="false">IF(AT349="","",0)</f>
        <v/>
      </c>
      <c r="AE349" s="25" t="str">
        <f aca="false">IF(AT349="","","")</f>
        <v/>
      </c>
      <c r="AF349" s="25" t="str">
        <f aca="false">IF(AT349="","",0)</f>
        <v/>
      </c>
      <c r="AG349" s="25" t="str">
        <f aca="false">IF(AT349="","",0)</f>
        <v/>
      </c>
      <c r="AH349" s="25" t="str">
        <f aca="false">IF(AT349="","","")</f>
        <v/>
      </c>
      <c r="AI349" s="25" t="str">
        <f aca="false">IF(AT349="","","")</f>
        <v/>
      </c>
      <c r="AJ349" s="25" t="str">
        <f aca="false">IF(AT349="","","")</f>
        <v/>
      </c>
      <c r="AK349" s="25" t="str">
        <f aca="false">IF(AT349="","",2)</f>
        <v/>
      </c>
      <c r="AL349" s="25" t="str">
        <f aca="false">IF(AT349="","","")</f>
        <v/>
      </c>
      <c r="AM349" s="25" t="str">
        <f aca="false">IF(AT349="","","")</f>
        <v/>
      </c>
      <c r="AN349" s="25" t="str">
        <f aca="false">IF(AT349="","",INDEX(入力シート!$C$5:$C$204,AT349))</f>
        <v/>
      </c>
      <c r="AO349" s="25" t="str">
        <f aca="false">IF(AT349="","","")</f>
        <v/>
      </c>
      <c r="AP349" s="25" t="str">
        <f aca="false">IF(AT349="","","")</f>
        <v/>
      </c>
      <c r="AQ349" s="25" t="str">
        <f aca="false">IF(AT349="","","")</f>
        <v/>
      </c>
      <c r="AT349" s="27" t="str">
        <f aca="false">IFERROR(MATCH(149,入力シート!$T$5:$T$204,0),"")</f>
        <v/>
      </c>
    </row>
    <row r="350" customFormat="false" ht="15" hidden="false" customHeight="true" outlineLevel="0" collapsed="false">
      <c r="A350" s="25" t="str">
        <f aca="false">IF(AT350="","",1)</f>
        <v/>
      </c>
      <c r="B350" s="25" t="str">
        <f aca="false">IF(AT350="","",1)</f>
        <v/>
      </c>
      <c r="C350" s="25" t="str">
        <f aca="false">IF(AT350="","",0)</f>
        <v/>
      </c>
      <c r="D350" s="25" t="str">
        <f aca="false">IF(AT350="","",TEXT(INDEX(入力シート!$A$5:$A$204,AT350),"YYYYMMDD"))</f>
        <v/>
      </c>
      <c r="E350" s="25" t="str">
        <f aca="false">IF(AT350="","",TEXT(INDEX(入力シート!$Q$5:$Q$204,AT350),"00000000"))</f>
        <v/>
      </c>
      <c r="F350" s="25" t="str">
        <f aca="false">IF(AT350="","",14)</f>
        <v/>
      </c>
      <c r="G350" s="25" t="str">
        <f aca="false">IF(AT350="","",1)</f>
        <v/>
      </c>
      <c r="H350" s="25" t="str">
        <f aca="false">IF(AT350="","",1)</f>
        <v/>
      </c>
      <c r="I350" s="25" t="str">
        <f aca="false">IF(AT350="","",3)</f>
        <v/>
      </c>
      <c r="J350" s="25" t="str">
        <f aca="false">IF(AT350="","",1)</f>
        <v/>
      </c>
      <c r="K350" s="25" t="str">
        <f aca="false">IF(AT350="","",INDEX(入力シート!$B$5:$B$204,AT350))</f>
        <v/>
      </c>
      <c r="L350" s="25" t="str">
        <f aca="false">IF(AT350="","","")</f>
        <v/>
      </c>
      <c r="M350" s="25" t="str">
        <f aca="false">IF(AT350="","","")</f>
        <v/>
      </c>
      <c r="N350" s="25" t="str">
        <f aca="false">IF(AT350="","",COUNTIF(入力シート!$Q$5:$Q$204,INDEX(入力シート!$Q$5:$Q$204,AT350))+1)</f>
        <v/>
      </c>
      <c r="O350" s="25" t="str">
        <f aca="false">IF(AT350="","",99)</f>
        <v/>
      </c>
      <c r="P350" s="25" t="str">
        <f aca="false">IF(AT350="","","")</f>
        <v/>
      </c>
      <c r="Q350" s="25" t="str">
        <f aca="false">IF(AT350="","","")</f>
        <v/>
      </c>
      <c r="R350" s="25" t="str">
        <f aca="false">IF(AT350="","","消費税")</f>
        <v/>
      </c>
      <c r="S350" s="25" t="str">
        <f aca="false">IF(AT350="","",0)</f>
        <v/>
      </c>
      <c r="T350" s="25" t="str">
        <f aca="false">IF(AT350="","","")</f>
        <v/>
      </c>
      <c r="U350" s="25" t="str">
        <f aca="false">IF(AT350="","",0)</f>
        <v/>
      </c>
      <c r="V350" s="25" t="str">
        <f aca="false">IF(AT350="","",0)</f>
        <v/>
      </c>
      <c r="W350" s="25" t="str">
        <f aca="false">IF(AT350="","","")</f>
        <v/>
      </c>
      <c r="X350" s="25" t="str">
        <f aca="false">IF(AT350="","",0)</f>
        <v/>
      </c>
      <c r="Y350" s="25" t="str">
        <f aca="false">IF(AT350="","",0)</f>
        <v/>
      </c>
      <c r="Z350" s="25" t="str">
        <f aca="false">IF(AT350="","",ROUNDDOWN(SUMIF(入力シート!$Q$5:$Q$204,INDEX(入力シート!$Q$5:$Q$204,AT350),入力シート!$P$5:$P$204)*IF(INDEX(入力シート!$L$5:$L$204,AT350)=13,0.1,IF(INDEX(入力シート!$L$5:$L$204,AT350)=30,0.08,0)),0))</f>
        <v/>
      </c>
      <c r="AA350" s="25" t="str">
        <f aca="false">IF(AT350="","","")</f>
        <v/>
      </c>
      <c r="AB350" s="25" t="str">
        <f aca="false">IF(AT350="","",0)</f>
        <v/>
      </c>
      <c r="AC350" s="25" t="str">
        <f aca="false">IF(AT350="","",0)</f>
        <v/>
      </c>
      <c r="AD350" s="25" t="str">
        <f aca="false">IF(AT350="","",0)</f>
        <v/>
      </c>
      <c r="AE350" s="25" t="str">
        <f aca="false">IF(AT350="","","")</f>
        <v/>
      </c>
      <c r="AF350" s="25" t="str">
        <f aca="false">IF(AT350="","",0)</f>
        <v/>
      </c>
      <c r="AG350" s="25" t="str">
        <f aca="false">IF(AT350="","",0)</f>
        <v/>
      </c>
      <c r="AH350" s="25" t="str">
        <f aca="false">IF(AT350="","","")</f>
        <v/>
      </c>
      <c r="AI350" s="25" t="str">
        <f aca="false">IF(AT350="","","")</f>
        <v/>
      </c>
      <c r="AJ350" s="25" t="str">
        <f aca="false">IF(AT350="","","")</f>
        <v/>
      </c>
      <c r="AK350" s="25" t="str">
        <f aca="false">IF(AT350="","",2)</f>
        <v/>
      </c>
      <c r="AL350" s="25" t="str">
        <f aca="false">IF(AT350="","","")</f>
        <v/>
      </c>
      <c r="AM350" s="25" t="str">
        <f aca="false">IF(AT350="","","")</f>
        <v/>
      </c>
      <c r="AN350" s="25" t="str">
        <f aca="false">IF(AT350="","",INDEX(入力シート!$C$5:$C$204,AT350))</f>
        <v/>
      </c>
      <c r="AO350" s="25" t="str">
        <f aca="false">IF(AT350="","","")</f>
        <v/>
      </c>
      <c r="AP350" s="25" t="str">
        <f aca="false">IF(AT350="","","")</f>
        <v/>
      </c>
      <c r="AQ350" s="25" t="str">
        <f aca="false">IF(AT350="","","")</f>
        <v/>
      </c>
      <c r="AT350" s="27" t="str">
        <f aca="false">IFERROR(MATCH(150,入力シート!$T$5:$T$204,0),"")</f>
        <v/>
      </c>
    </row>
    <row r="351" customFormat="false" ht="15" hidden="false" customHeight="true" outlineLevel="0" collapsed="false">
      <c r="A351" s="25" t="str">
        <f aca="false">IF(AT351="","",1)</f>
        <v/>
      </c>
      <c r="B351" s="25" t="str">
        <f aca="false">IF(AT351="","",1)</f>
        <v/>
      </c>
      <c r="C351" s="25" t="str">
        <f aca="false">IF(AT351="","",0)</f>
        <v/>
      </c>
      <c r="D351" s="25" t="str">
        <f aca="false">IF(AT351="","",TEXT(INDEX(入力シート!$A$5:$A$204,AT351),"YYYYMMDD"))</f>
        <v/>
      </c>
      <c r="E351" s="25" t="str">
        <f aca="false">IF(AT351="","",TEXT(INDEX(入力シート!$Q$5:$Q$204,AT351),"00000000"))</f>
        <v/>
      </c>
      <c r="F351" s="25" t="str">
        <f aca="false">IF(AT351="","",14)</f>
        <v/>
      </c>
      <c r="G351" s="25" t="str">
        <f aca="false">IF(AT351="","",1)</f>
        <v/>
      </c>
      <c r="H351" s="25" t="str">
        <f aca="false">IF(AT351="","",1)</f>
        <v/>
      </c>
      <c r="I351" s="25" t="str">
        <f aca="false">IF(AT351="","",3)</f>
        <v/>
      </c>
      <c r="J351" s="25" t="str">
        <f aca="false">IF(AT351="","",1)</f>
        <v/>
      </c>
      <c r="K351" s="25" t="str">
        <f aca="false">IF(AT351="","",INDEX(入力シート!$B$5:$B$204,AT351))</f>
        <v/>
      </c>
      <c r="L351" s="25" t="str">
        <f aca="false">IF(AT351="","","")</f>
        <v/>
      </c>
      <c r="M351" s="25" t="str">
        <f aca="false">IF(AT351="","","")</f>
        <v/>
      </c>
      <c r="N351" s="25" t="str">
        <f aca="false">IF(AT351="","",COUNTIF(入力シート!$Q$5:$Q$204,INDEX(入力シート!$Q$5:$Q$204,AT351))+1)</f>
        <v/>
      </c>
      <c r="O351" s="25" t="str">
        <f aca="false">IF(AT351="","",99)</f>
        <v/>
      </c>
      <c r="P351" s="25" t="str">
        <f aca="false">IF(AT351="","","")</f>
        <v/>
      </c>
      <c r="Q351" s="25" t="str">
        <f aca="false">IF(AT351="","","")</f>
        <v/>
      </c>
      <c r="R351" s="25" t="str">
        <f aca="false">IF(AT351="","","消費税")</f>
        <v/>
      </c>
      <c r="S351" s="25" t="str">
        <f aca="false">IF(AT351="","",0)</f>
        <v/>
      </c>
      <c r="T351" s="25" t="str">
        <f aca="false">IF(AT351="","","")</f>
        <v/>
      </c>
      <c r="U351" s="25" t="str">
        <f aca="false">IF(AT351="","",0)</f>
        <v/>
      </c>
      <c r="V351" s="25" t="str">
        <f aca="false">IF(AT351="","",0)</f>
        <v/>
      </c>
      <c r="W351" s="25" t="str">
        <f aca="false">IF(AT351="","","")</f>
        <v/>
      </c>
      <c r="X351" s="25" t="str">
        <f aca="false">IF(AT351="","",0)</f>
        <v/>
      </c>
      <c r="Y351" s="25" t="str">
        <f aca="false">IF(AT351="","",0)</f>
        <v/>
      </c>
      <c r="Z351" s="25" t="str">
        <f aca="false">IF(AT351="","",ROUNDDOWN(SUMIF(入力シート!$Q$5:$Q$204,INDEX(入力シート!$Q$5:$Q$204,AT351),入力シート!$P$5:$P$204)*IF(INDEX(入力シート!$L$5:$L$204,AT351)=13,0.1,IF(INDEX(入力シート!$L$5:$L$204,AT351)=30,0.08,0)),0))</f>
        <v/>
      </c>
      <c r="AA351" s="25" t="str">
        <f aca="false">IF(AT351="","","")</f>
        <v/>
      </c>
      <c r="AB351" s="25" t="str">
        <f aca="false">IF(AT351="","",0)</f>
        <v/>
      </c>
      <c r="AC351" s="25" t="str">
        <f aca="false">IF(AT351="","",0)</f>
        <v/>
      </c>
      <c r="AD351" s="25" t="str">
        <f aca="false">IF(AT351="","",0)</f>
        <v/>
      </c>
      <c r="AE351" s="25" t="str">
        <f aca="false">IF(AT351="","","")</f>
        <v/>
      </c>
      <c r="AF351" s="25" t="str">
        <f aca="false">IF(AT351="","",0)</f>
        <v/>
      </c>
      <c r="AG351" s="25" t="str">
        <f aca="false">IF(AT351="","",0)</f>
        <v/>
      </c>
      <c r="AH351" s="25" t="str">
        <f aca="false">IF(AT351="","","")</f>
        <v/>
      </c>
      <c r="AI351" s="25" t="str">
        <f aca="false">IF(AT351="","","")</f>
        <v/>
      </c>
      <c r="AJ351" s="25" t="str">
        <f aca="false">IF(AT351="","","")</f>
        <v/>
      </c>
      <c r="AK351" s="25" t="str">
        <f aca="false">IF(AT351="","",2)</f>
        <v/>
      </c>
      <c r="AL351" s="25" t="str">
        <f aca="false">IF(AT351="","","")</f>
        <v/>
      </c>
      <c r="AM351" s="25" t="str">
        <f aca="false">IF(AT351="","","")</f>
        <v/>
      </c>
      <c r="AN351" s="25" t="str">
        <f aca="false">IF(AT351="","",INDEX(入力シート!$C$5:$C$204,AT351))</f>
        <v/>
      </c>
      <c r="AO351" s="25" t="str">
        <f aca="false">IF(AT351="","","")</f>
        <v/>
      </c>
      <c r="AP351" s="25" t="str">
        <f aca="false">IF(AT351="","","")</f>
        <v/>
      </c>
      <c r="AQ351" s="25" t="str">
        <f aca="false">IF(AT351="","","")</f>
        <v/>
      </c>
      <c r="AT351" s="27" t="str">
        <f aca="false">IFERROR(MATCH(151,入力シート!$T$5:$T$204,0),"")</f>
        <v/>
      </c>
    </row>
    <row r="352" customFormat="false" ht="15" hidden="false" customHeight="true" outlineLevel="0" collapsed="false">
      <c r="A352" s="25" t="str">
        <f aca="false">IF(AT352="","",1)</f>
        <v/>
      </c>
      <c r="B352" s="25" t="str">
        <f aca="false">IF(AT352="","",1)</f>
        <v/>
      </c>
      <c r="C352" s="25" t="str">
        <f aca="false">IF(AT352="","",0)</f>
        <v/>
      </c>
      <c r="D352" s="25" t="str">
        <f aca="false">IF(AT352="","",TEXT(INDEX(入力シート!$A$5:$A$204,AT352),"YYYYMMDD"))</f>
        <v/>
      </c>
      <c r="E352" s="25" t="str">
        <f aca="false">IF(AT352="","",TEXT(INDEX(入力シート!$Q$5:$Q$204,AT352),"00000000"))</f>
        <v/>
      </c>
      <c r="F352" s="25" t="str">
        <f aca="false">IF(AT352="","",14)</f>
        <v/>
      </c>
      <c r="G352" s="25" t="str">
        <f aca="false">IF(AT352="","",1)</f>
        <v/>
      </c>
      <c r="H352" s="25" t="str">
        <f aca="false">IF(AT352="","",1)</f>
        <v/>
      </c>
      <c r="I352" s="25" t="str">
        <f aca="false">IF(AT352="","",3)</f>
        <v/>
      </c>
      <c r="J352" s="25" t="str">
        <f aca="false">IF(AT352="","",1)</f>
        <v/>
      </c>
      <c r="K352" s="25" t="str">
        <f aca="false">IF(AT352="","",INDEX(入力シート!$B$5:$B$204,AT352))</f>
        <v/>
      </c>
      <c r="L352" s="25" t="str">
        <f aca="false">IF(AT352="","","")</f>
        <v/>
      </c>
      <c r="M352" s="25" t="str">
        <f aca="false">IF(AT352="","","")</f>
        <v/>
      </c>
      <c r="N352" s="25" t="str">
        <f aca="false">IF(AT352="","",COUNTIF(入力シート!$Q$5:$Q$204,INDEX(入力シート!$Q$5:$Q$204,AT352))+1)</f>
        <v/>
      </c>
      <c r="O352" s="25" t="str">
        <f aca="false">IF(AT352="","",99)</f>
        <v/>
      </c>
      <c r="P352" s="25" t="str">
        <f aca="false">IF(AT352="","","")</f>
        <v/>
      </c>
      <c r="Q352" s="25" t="str">
        <f aca="false">IF(AT352="","","")</f>
        <v/>
      </c>
      <c r="R352" s="25" t="str">
        <f aca="false">IF(AT352="","","消費税")</f>
        <v/>
      </c>
      <c r="S352" s="25" t="str">
        <f aca="false">IF(AT352="","",0)</f>
        <v/>
      </c>
      <c r="T352" s="25" t="str">
        <f aca="false">IF(AT352="","","")</f>
        <v/>
      </c>
      <c r="U352" s="25" t="str">
        <f aca="false">IF(AT352="","",0)</f>
        <v/>
      </c>
      <c r="V352" s="25" t="str">
        <f aca="false">IF(AT352="","",0)</f>
        <v/>
      </c>
      <c r="W352" s="25" t="str">
        <f aca="false">IF(AT352="","","")</f>
        <v/>
      </c>
      <c r="X352" s="25" t="str">
        <f aca="false">IF(AT352="","",0)</f>
        <v/>
      </c>
      <c r="Y352" s="25" t="str">
        <f aca="false">IF(AT352="","",0)</f>
        <v/>
      </c>
      <c r="Z352" s="25" t="str">
        <f aca="false">IF(AT352="","",ROUNDDOWN(SUMIF(入力シート!$Q$5:$Q$204,INDEX(入力シート!$Q$5:$Q$204,AT352),入力シート!$P$5:$P$204)*IF(INDEX(入力シート!$L$5:$L$204,AT352)=13,0.1,IF(INDEX(入力シート!$L$5:$L$204,AT352)=30,0.08,0)),0))</f>
        <v/>
      </c>
      <c r="AA352" s="25" t="str">
        <f aca="false">IF(AT352="","","")</f>
        <v/>
      </c>
      <c r="AB352" s="25" t="str">
        <f aca="false">IF(AT352="","",0)</f>
        <v/>
      </c>
      <c r="AC352" s="25" t="str">
        <f aca="false">IF(AT352="","",0)</f>
        <v/>
      </c>
      <c r="AD352" s="25" t="str">
        <f aca="false">IF(AT352="","",0)</f>
        <v/>
      </c>
      <c r="AE352" s="25" t="str">
        <f aca="false">IF(AT352="","","")</f>
        <v/>
      </c>
      <c r="AF352" s="25" t="str">
        <f aca="false">IF(AT352="","",0)</f>
        <v/>
      </c>
      <c r="AG352" s="25" t="str">
        <f aca="false">IF(AT352="","",0)</f>
        <v/>
      </c>
      <c r="AH352" s="25" t="str">
        <f aca="false">IF(AT352="","","")</f>
        <v/>
      </c>
      <c r="AI352" s="25" t="str">
        <f aca="false">IF(AT352="","","")</f>
        <v/>
      </c>
      <c r="AJ352" s="25" t="str">
        <f aca="false">IF(AT352="","","")</f>
        <v/>
      </c>
      <c r="AK352" s="25" t="str">
        <f aca="false">IF(AT352="","",2)</f>
        <v/>
      </c>
      <c r="AL352" s="25" t="str">
        <f aca="false">IF(AT352="","","")</f>
        <v/>
      </c>
      <c r="AM352" s="25" t="str">
        <f aca="false">IF(AT352="","","")</f>
        <v/>
      </c>
      <c r="AN352" s="25" t="str">
        <f aca="false">IF(AT352="","",INDEX(入力シート!$C$5:$C$204,AT352))</f>
        <v/>
      </c>
      <c r="AO352" s="25" t="str">
        <f aca="false">IF(AT352="","","")</f>
        <v/>
      </c>
      <c r="AP352" s="25" t="str">
        <f aca="false">IF(AT352="","","")</f>
        <v/>
      </c>
      <c r="AQ352" s="25" t="str">
        <f aca="false">IF(AT352="","","")</f>
        <v/>
      </c>
      <c r="AT352" s="27" t="str">
        <f aca="false">IFERROR(MATCH(152,入力シート!$T$5:$T$204,0),"")</f>
        <v/>
      </c>
    </row>
    <row r="353" customFormat="false" ht="15" hidden="false" customHeight="true" outlineLevel="0" collapsed="false">
      <c r="A353" s="25" t="str">
        <f aca="false">IF(AT353="","",1)</f>
        <v/>
      </c>
      <c r="B353" s="25" t="str">
        <f aca="false">IF(AT353="","",1)</f>
        <v/>
      </c>
      <c r="C353" s="25" t="str">
        <f aca="false">IF(AT353="","",0)</f>
        <v/>
      </c>
      <c r="D353" s="25" t="str">
        <f aca="false">IF(AT353="","",TEXT(INDEX(入力シート!$A$5:$A$204,AT353),"YYYYMMDD"))</f>
        <v/>
      </c>
      <c r="E353" s="25" t="str">
        <f aca="false">IF(AT353="","",TEXT(INDEX(入力シート!$Q$5:$Q$204,AT353),"00000000"))</f>
        <v/>
      </c>
      <c r="F353" s="25" t="str">
        <f aca="false">IF(AT353="","",14)</f>
        <v/>
      </c>
      <c r="G353" s="25" t="str">
        <f aca="false">IF(AT353="","",1)</f>
        <v/>
      </c>
      <c r="H353" s="25" t="str">
        <f aca="false">IF(AT353="","",1)</f>
        <v/>
      </c>
      <c r="I353" s="25" t="str">
        <f aca="false">IF(AT353="","",3)</f>
        <v/>
      </c>
      <c r="J353" s="25" t="str">
        <f aca="false">IF(AT353="","",1)</f>
        <v/>
      </c>
      <c r="K353" s="25" t="str">
        <f aca="false">IF(AT353="","",INDEX(入力シート!$B$5:$B$204,AT353))</f>
        <v/>
      </c>
      <c r="L353" s="25" t="str">
        <f aca="false">IF(AT353="","","")</f>
        <v/>
      </c>
      <c r="M353" s="25" t="str">
        <f aca="false">IF(AT353="","","")</f>
        <v/>
      </c>
      <c r="N353" s="25" t="str">
        <f aca="false">IF(AT353="","",COUNTIF(入力シート!$Q$5:$Q$204,INDEX(入力シート!$Q$5:$Q$204,AT353))+1)</f>
        <v/>
      </c>
      <c r="O353" s="25" t="str">
        <f aca="false">IF(AT353="","",99)</f>
        <v/>
      </c>
      <c r="P353" s="25" t="str">
        <f aca="false">IF(AT353="","","")</f>
        <v/>
      </c>
      <c r="Q353" s="25" t="str">
        <f aca="false">IF(AT353="","","")</f>
        <v/>
      </c>
      <c r="R353" s="25" t="str">
        <f aca="false">IF(AT353="","","消費税")</f>
        <v/>
      </c>
      <c r="S353" s="25" t="str">
        <f aca="false">IF(AT353="","",0)</f>
        <v/>
      </c>
      <c r="T353" s="25" t="str">
        <f aca="false">IF(AT353="","","")</f>
        <v/>
      </c>
      <c r="U353" s="25" t="str">
        <f aca="false">IF(AT353="","",0)</f>
        <v/>
      </c>
      <c r="V353" s="25" t="str">
        <f aca="false">IF(AT353="","",0)</f>
        <v/>
      </c>
      <c r="W353" s="25" t="str">
        <f aca="false">IF(AT353="","","")</f>
        <v/>
      </c>
      <c r="X353" s="25" t="str">
        <f aca="false">IF(AT353="","",0)</f>
        <v/>
      </c>
      <c r="Y353" s="25" t="str">
        <f aca="false">IF(AT353="","",0)</f>
        <v/>
      </c>
      <c r="Z353" s="25" t="str">
        <f aca="false">IF(AT353="","",ROUNDDOWN(SUMIF(入力シート!$Q$5:$Q$204,INDEX(入力シート!$Q$5:$Q$204,AT353),入力シート!$P$5:$P$204)*IF(INDEX(入力シート!$L$5:$L$204,AT353)=13,0.1,IF(INDEX(入力シート!$L$5:$L$204,AT353)=30,0.08,0)),0))</f>
        <v/>
      </c>
      <c r="AA353" s="25" t="str">
        <f aca="false">IF(AT353="","","")</f>
        <v/>
      </c>
      <c r="AB353" s="25" t="str">
        <f aca="false">IF(AT353="","",0)</f>
        <v/>
      </c>
      <c r="AC353" s="25" t="str">
        <f aca="false">IF(AT353="","",0)</f>
        <v/>
      </c>
      <c r="AD353" s="25" t="str">
        <f aca="false">IF(AT353="","",0)</f>
        <v/>
      </c>
      <c r="AE353" s="25" t="str">
        <f aca="false">IF(AT353="","","")</f>
        <v/>
      </c>
      <c r="AF353" s="25" t="str">
        <f aca="false">IF(AT353="","",0)</f>
        <v/>
      </c>
      <c r="AG353" s="25" t="str">
        <f aca="false">IF(AT353="","",0)</f>
        <v/>
      </c>
      <c r="AH353" s="25" t="str">
        <f aca="false">IF(AT353="","","")</f>
        <v/>
      </c>
      <c r="AI353" s="25" t="str">
        <f aca="false">IF(AT353="","","")</f>
        <v/>
      </c>
      <c r="AJ353" s="25" t="str">
        <f aca="false">IF(AT353="","","")</f>
        <v/>
      </c>
      <c r="AK353" s="25" t="str">
        <f aca="false">IF(AT353="","",2)</f>
        <v/>
      </c>
      <c r="AL353" s="25" t="str">
        <f aca="false">IF(AT353="","","")</f>
        <v/>
      </c>
      <c r="AM353" s="25" t="str">
        <f aca="false">IF(AT353="","","")</f>
        <v/>
      </c>
      <c r="AN353" s="25" t="str">
        <f aca="false">IF(AT353="","",INDEX(入力シート!$C$5:$C$204,AT353))</f>
        <v/>
      </c>
      <c r="AO353" s="25" t="str">
        <f aca="false">IF(AT353="","","")</f>
        <v/>
      </c>
      <c r="AP353" s="25" t="str">
        <f aca="false">IF(AT353="","","")</f>
        <v/>
      </c>
      <c r="AQ353" s="25" t="str">
        <f aca="false">IF(AT353="","","")</f>
        <v/>
      </c>
      <c r="AT353" s="27" t="str">
        <f aca="false">IFERROR(MATCH(153,入力シート!$T$5:$T$204,0),"")</f>
        <v/>
      </c>
    </row>
    <row r="354" customFormat="false" ht="15" hidden="false" customHeight="true" outlineLevel="0" collapsed="false">
      <c r="A354" s="25" t="str">
        <f aca="false">IF(AT354="","",1)</f>
        <v/>
      </c>
      <c r="B354" s="25" t="str">
        <f aca="false">IF(AT354="","",1)</f>
        <v/>
      </c>
      <c r="C354" s="25" t="str">
        <f aca="false">IF(AT354="","",0)</f>
        <v/>
      </c>
      <c r="D354" s="25" t="str">
        <f aca="false">IF(AT354="","",TEXT(INDEX(入力シート!$A$5:$A$204,AT354),"YYYYMMDD"))</f>
        <v/>
      </c>
      <c r="E354" s="25" t="str">
        <f aca="false">IF(AT354="","",TEXT(INDEX(入力シート!$Q$5:$Q$204,AT354),"00000000"))</f>
        <v/>
      </c>
      <c r="F354" s="25" t="str">
        <f aca="false">IF(AT354="","",14)</f>
        <v/>
      </c>
      <c r="G354" s="25" t="str">
        <f aca="false">IF(AT354="","",1)</f>
        <v/>
      </c>
      <c r="H354" s="25" t="str">
        <f aca="false">IF(AT354="","",1)</f>
        <v/>
      </c>
      <c r="I354" s="25" t="str">
        <f aca="false">IF(AT354="","",3)</f>
        <v/>
      </c>
      <c r="J354" s="25" t="str">
        <f aca="false">IF(AT354="","",1)</f>
        <v/>
      </c>
      <c r="K354" s="25" t="str">
        <f aca="false">IF(AT354="","",INDEX(入力シート!$B$5:$B$204,AT354))</f>
        <v/>
      </c>
      <c r="L354" s="25" t="str">
        <f aca="false">IF(AT354="","","")</f>
        <v/>
      </c>
      <c r="M354" s="25" t="str">
        <f aca="false">IF(AT354="","","")</f>
        <v/>
      </c>
      <c r="N354" s="25" t="str">
        <f aca="false">IF(AT354="","",COUNTIF(入力シート!$Q$5:$Q$204,INDEX(入力シート!$Q$5:$Q$204,AT354))+1)</f>
        <v/>
      </c>
      <c r="O354" s="25" t="str">
        <f aca="false">IF(AT354="","",99)</f>
        <v/>
      </c>
      <c r="P354" s="25" t="str">
        <f aca="false">IF(AT354="","","")</f>
        <v/>
      </c>
      <c r="Q354" s="25" t="str">
        <f aca="false">IF(AT354="","","")</f>
        <v/>
      </c>
      <c r="R354" s="25" t="str">
        <f aca="false">IF(AT354="","","消費税")</f>
        <v/>
      </c>
      <c r="S354" s="25" t="str">
        <f aca="false">IF(AT354="","",0)</f>
        <v/>
      </c>
      <c r="T354" s="25" t="str">
        <f aca="false">IF(AT354="","","")</f>
        <v/>
      </c>
      <c r="U354" s="25" t="str">
        <f aca="false">IF(AT354="","",0)</f>
        <v/>
      </c>
      <c r="V354" s="25" t="str">
        <f aca="false">IF(AT354="","",0)</f>
        <v/>
      </c>
      <c r="W354" s="25" t="str">
        <f aca="false">IF(AT354="","","")</f>
        <v/>
      </c>
      <c r="X354" s="25" t="str">
        <f aca="false">IF(AT354="","",0)</f>
        <v/>
      </c>
      <c r="Y354" s="25" t="str">
        <f aca="false">IF(AT354="","",0)</f>
        <v/>
      </c>
      <c r="Z354" s="25" t="str">
        <f aca="false">IF(AT354="","",ROUNDDOWN(SUMIF(入力シート!$Q$5:$Q$204,INDEX(入力シート!$Q$5:$Q$204,AT354),入力シート!$P$5:$P$204)*IF(INDEX(入力シート!$L$5:$L$204,AT354)=13,0.1,IF(INDEX(入力シート!$L$5:$L$204,AT354)=30,0.08,0)),0))</f>
        <v/>
      </c>
      <c r="AA354" s="25" t="str">
        <f aca="false">IF(AT354="","","")</f>
        <v/>
      </c>
      <c r="AB354" s="25" t="str">
        <f aca="false">IF(AT354="","",0)</f>
        <v/>
      </c>
      <c r="AC354" s="25" t="str">
        <f aca="false">IF(AT354="","",0)</f>
        <v/>
      </c>
      <c r="AD354" s="25" t="str">
        <f aca="false">IF(AT354="","",0)</f>
        <v/>
      </c>
      <c r="AE354" s="25" t="str">
        <f aca="false">IF(AT354="","","")</f>
        <v/>
      </c>
      <c r="AF354" s="25" t="str">
        <f aca="false">IF(AT354="","",0)</f>
        <v/>
      </c>
      <c r="AG354" s="25" t="str">
        <f aca="false">IF(AT354="","",0)</f>
        <v/>
      </c>
      <c r="AH354" s="25" t="str">
        <f aca="false">IF(AT354="","","")</f>
        <v/>
      </c>
      <c r="AI354" s="25" t="str">
        <f aca="false">IF(AT354="","","")</f>
        <v/>
      </c>
      <c r="AJ354" s="25" t="str">
        <f aca="false">IF(AT354="","","")</f>
        <v/>
      </c>
      <c r="AK354" s="25" t="str">
        <f aca="false">IF(AT354="","",2)</f>
        <v/>
      </c>
      <c r="AL354" s="25" t="str">
        <f aca="false">IF(AT354="","","")</f>
        <v/>
      </c>
      <c r="AM354" s="25" t="str">
        <f aca="false">IF(AT354="","","")</f>
        <v/>
      </c>
      <c r="AN354" s="25" t="str">
        <f aca="false">IF(AT354="","",INDEX(入力シート!$C$5:$C$204,AT354))</f>
        <v/>
      </c>
      <c r="AO354" s="25" t="str">
        <f aca="false">IF(AT354="","","")</f>
        <v/>
      </c>
      <c r="AP354" s="25" t="str">
        <f aca="false">IF(AT354="","","")</f>
        <v/>
      </c>
      <c r="AQ354" s="25" t="str">
        <f aca="false">IF(AT354="","","")</f>
        <v/>
      </c>
      <c r="AT354" s="27" t="str">
        <f aca="false">IFERROR(MATCH(154,入力シート!$T$5:$T$204,0),"")</f>
        <v/>
      </c>
    </row>
    <row r="355" customFormat="false" ht="15" hidden="false" customHeight="true" outlineLevel="0" collapsed="false">
      <c r="A355" s="25" t="str">
        <f aca="false">IF(AT355="","",1)</f>
        <v/>
      </c>
      <c r="B355" s="25" t="str">
        <f aca="false">IF(AT355="","",1)</f>
        <v/>
      </c>
      <c r="C355" s="25" t="str">
        <f aca="false">IF(AT355="","",0)</f>
        <v/>
      </c>
      <c r="D355" s="25" t="str">
        <f aca="false">IF(AT355="","",TEXT(INDEX(入力シート!$A$5:$A$204,AT355),"YYYYMMDD"))</f>
        <v/>
      </c>
      <c r="E355" s="25" t="str">
        <f aca="false">IF(AT355="","",TEXT(INDEX(入力シート!$Q$5:$Q$204,AT355),"00000000"))</f>
        <v/>
      </c>
      <c r="F355" s="25" t="str">
        <f aca="false">IF(AT355="","",14)</f>
        <v/>
      </c>
      <c r="G355" s="25" t="str">
        <f aca="false">IF(AT355="","",1)</f>
        <v/>
      </c>
      <c r="H355" s="25" t="str">
        <f aca="false">IF(AT355="","",1)</f>
        <v/>
      </c>
      <c r="I355" s="25" t="str">
        <f aca="false">IF(AT355="","",3)</f>
        <v/>
      </c>
      <c r="J355" s="25" t="str">
        <f aca="false">IF(AT355="","",1)</f>
        <v/>
      </c>
      <c r="K355" s="25" t="str">
        <f aca="false">IF(AT355="","",INDEX(入力シート!$B$5:$B$204,AT355))</f>
        <v/>
      </c>
      <c r="L355" s="25" t="str">
        <f aca="false">IF(AT355="","","")</f>
        <v/>
      </c>
      <c r="M355" s="25" t="str">
        <f aca="false">IF(AT355="","","")</f>
        <v/>
      </c>
      <c r="N355" s="25" t="str">
        <f aca="false">IF(AT355="","",COUNTIF(入力シート!$Q$5:$Q$204,INDEX(入力シート!$Q$5:$Q$204,AT355))+1)</f>
        <v/>
      </c>
      <c r="O355" s="25" t="str">
        <f aca="false">IF(AT355="","",99)</f>
        <v/>
      </c>
      <c r="P355" s="25" t="str">
        <f aca="false">IF(AT355="","","")</f>
        <v/>
      </c>
      <c r="Q355" s="25" t="str">
        <f aca="false">IF(AT355="","","")</f>
        <v/>
      </c>
      <c r="R355" s="25" t="str">
        <f aca="false">IF(AT355="","","消費税")</f>
        <v/>
      </c>
      <c r="S355" s="25" t="str">
        <f aca="false">IF(AT355="","",0)</f>
        <v/>
      </c>
      <c r="T355" s="25" t="str">
        <f aca="false">IF(AT355="","","")</f>
        <v/>
      </c>
      <c r="U355" s="25" t="str">
        <f aca="false">IF(AT355="","",0)</f>
        <v/>
      </c>
      <c r="V355" s="25" t="str">
        <f aca="false">IF(AT355="","",0)</f>
        <v/>
      </c>
      <c r="W355" s="25" t="str">
        <f aca="false">IF(AT355="","","")</f>
        <v/>
      </c>
      <c r="X355" s="25" t="str">
        <f aca="false">IF(AT355="","",0)</f>
        <v/>
      </c>
      <c r="Y355" s="25" t="str">
        <f aca="false">IF(AT355="","",0)</f>
        <v/>
      </c>
      <c r="Z355" s="25" t="str">
        <f aca="false">IF(AT355="","",ROUNDDOWN(SUMIF(入力シート!$Q$5:$Q$204,INDEX(入力シート!$Q$5:$Q$204,AT355),入力シート!$P$5:$P$204)*IF(INDEX(入力シート!$L$5:$L$204,AT355)=13,0.1,IF(INDEX(入力シート!$L$5:$L$204,AT355)=30,0.08,0)),0))</f>
        <v/>
      </c>
      <c r="AA355" s="25" t="str">
        <f aca="false">IF(AT355="","","")</f>
        <v/>
      </c>
      <c r="AB355" s="25" t="str">
        <f aca="false">IF(AT355="","",0)</f>
        <v/>
      </c>
      <c r="AC355" s="25" t="str">
        <f aca="false">IF(AT355="","",0)</f>
        <v/>
      </c>
      <c r="AD355" s="25" t="str">
        <f aca="false">IF(AT355="","",0)</f>
        <v/>
      </c>
      <c r="AE355" s="25" t="str">
        <f aca="false">IF(AT355="","","")</f>
        <v/>
      </c>
      <c r="AF355" s="25" t="str">
        <f aca="false">IF(AT355="","",0)</f>
        <v/>
      </c>
      <c r="AG355" s="25" t="str">
        <f aca="false">IF(AT355="","",0)</f>
        <v/>
      </c>
      <c r="AH355" s="25" t="str">
        <f aca="false">IF(AT355="","","")</f>
        <v/>
      </c>
      <c r="AI355" s="25" t="str">
        <f aca="false">IF(AT355="","","")</f>
        <v/>
      </c>
      <c r="AJ355" s="25" t="str">
        <f aca="false">IF(AT355="","","")</f>
        <v/>
      </c>
      <c r="AK355" s="25" t="str">
        <f aca="false">IF(AT355="","",2)</f>
        <v/>
      </c>
      <c r="AL355" s="25" t="str">
        <f aca="false">IF(AT355="","","")</f>
        <v/>
      </c>
      <c r="AM355" s="25" t="str">
        <f aca="false">IF(AT355="","","")</f>
        <v/>
      </c>
      <c r="AN355" s="25" t="str">
        <f aca="false">IF(AT355="","",INDEX(入力シート!$C$5:$C$204,AT355))</f>
        <v/>
      </c>
      <c r="AO355" s="25" t="str">
        <f aca="false">IF(AT355="","","")</f>
        <v/>
      </c>
      <c r="AP355" s="25" t="str">
        <f aca="false">IF(AT355="","","")</f>
        <v/>
      </c>
      <c r="AQ355" s="25" t="str">
        <f aca="false">IF(AT355="","","")</f>
        <v/>
      </c>
      <c r="AT355" s="27" t="str">
        <f aca="false">IFERROR(MATCH(155,入力シート!$T$5:$T$204,0),"")</f>
        <v/>
      </c>
    </row>
    <row r="356" customFormat="false" ht="15" hidden="false" customHeight="true" outlineLevel="0" collapsed="false">
      <c r="A356" s="25" t="str">
        <f aca="false">IF(AT356="","",1)</f>
        <v/>
      </c>
      <c r="B356" s="25" t="str">
        <f aca="false">IF(AT356="","",1)</f>
        <v/>
      </c>
      <c r="C356" s="25" t="str">
        <f aca="false">IF(AT356="","",0)</f>
        <v/>
      </c>
      <c r="D356" s="25" t="str">
        <f aca="false">IF(AT356="","",TEXT(INDEX(入力シート!$A$5:$A$204,AT356),"YYYYMMDD"))</f>
        <v/>
      </c>
      <c r="E356" s="25" t="str">
        <f aca="false">IF(AT356="","",TEXT(INDEX(入力シート!$Q$5:$Q$204,AT356),"00000000"))</f>
        <v/>
      </c>
      <c r="F356" s="25" t="str">
        <f aca="false">IF(AT356="","",14)</f>
        <v/>
      </c>
      <c r="G356" s="25" t="str">
        <f aca="false">IF(AT356="","",1)</f>
        <v/>
      </c>
      <c r="H356" s="25" t="str">
        <f aca="false">IF(AT356="","",1)</f>
        <v/>
      </c>
      <c r="I356" s="25" t="str">
        <f aca="false">IF(AT356="","",3)</f>
        <v/>
      </c>
      <c r="J356" s="25" t="str">
        <f aca="false">IF(AT356="","",1)</f>
        <v/>
      </c>
      <c r="K356" s="25" t="str">
        <f aca="false">IF(AT356="","",INDEX(入力シート!$B$5:$B$204,AT356))</f>
        <v/>
      </c>
      <c r="L356" s="25" t="str">
        <f aca="false">IF(AT356="","","")</f>
        <v/>
      </c>
      <c r="M356" s="25" t="str">
        <f aca="false">IF(AT356="","","")</f>
        <v/>
      </c>
      <c r="N356" s="25" t="str">
        <f aca="false">IF(AT356="","",COUNTIF(入力シート!$Q$5:$Q$204,INDEX(入力シート!$Q$5:$Q$204,AT356))+1)</f>
        <v/>
      </c>
      <c r="O356" s="25" t="str">
        <f aca="false">IF(AT356="","",99)</f>
        <v/>
      </c>
      <c r="P356" s="25" t="str">
        <f aca="false">IF(AT356="","","")</f>
        <v/>
      </c>
      <c r="Q356" s="25" t="str">
        <f aca="false">IF(AT356="","","")</f>
        <v/>
      </c>
      <c r="R356" s="25" t="str">
        <f aca="false">IF(AT356="","","消費税")</f>
        <v/>
      </c>
      <c r="S356" s="25" t="str">
        <f aca="false">IF(AT356="","",0)</f>
        <v/>
      </c>
      <c r="T356" s="25" t="str">
        <f aca="false">IF(AT356="","","")</f>
        <v/>
      </c>
      <c r="U356" s="25" t="str">
        <f aca="false">IF(AT356="","",0)</f>
        <v/>
      </c>
      <c r="V356" s="25" t="str">
        <f aca="false">IF(AT356="","",0)</f>
        <v/>
      </c>
      <c r="W356" s="25" t="str">
        <f aca="false">IF(AT356="","","")</f>
        <v/>
      </c>
      <c r="X356" s="25" t="str">
        <f aca="false">IF(AT356="","",0)</f>
        <v/>
      </c>
      <c r="Y356" s="25" t="str">
        <f aca="false">IF(AT356="","",0)</f>
        <v/>
      </c>
      <c r="Z356" s="25" t="str">
        <f aca="false">IF(AT356="","",ROUNDDOWN(SUMIF(入力シート!$Q$5:$Q$204,INDEX(入力シート!$Q$5:$Q$204,AT356),入力シート!$P$5:$P$204)*IF(INDEX(入力シート!$L$5:$L$204,AT356)=13,0.1,IF(INDEX(入力シート!$L$5:$L$204,AT356)=30,0.08,0)),0))</f>
        <v/>
      </c>
      <c r="AA356" s="25" t="str">
        <f aca="false">IF(AT356="","","")</f>
        <v/>
      </c>
      <c r="AB356" s="25" t="str">
        <f aca="false">IF(AT356="","",0)</f>
        <v/>
      </c>
      <c r="AC356" s="25" t="str">
        <f aca="false">IF(AT356="","",0)</f>
        <v/>
      </c>
      <c r="AD356" s="25" t="str">
        <f aca="false">IF(AT356="","",0)</f>
        <v/>
      </c>
      <c r="AE356" s="25" t="str">
        <f aca="false">IF(AT356="","","")</f>
        <v/>
      </c>
      <c r="AF356" s="25" t="str">
        <f aca="false">IF(AT356="","",0)</f>
        <v/>
      </c>
      <c r="AG356" s="25" t="str">
        <f aca="false">IF(AT356="","",0)</f>
        <v/>
      </c>
      <c r="AH356" s="25" t="str">
        <f aca="false">IF(AT356="","","")</f>
        <v/>
      </c>
      <c r="AI356" s="25" t="str">
        <f aca="false">IF(AT356="","","")</f>
        <v/>
      </c>
      <c r="AJ356" s="25" t="str">
        <f aca="false">IF(AT356="","","")</f>
        <v/>
      </c>
      <c r="AK356" s="25" t="str">
        <f aca="false">IF(AT356="","",2)</f>
        <v/>
      </c>
      <c r="AL356" s="25" t="str">
        <f aca="false">IF(AT356="","","")</f>
        <v/>
      </c>
      <c r="AM356" s="25" t="str">
        <f aca="false">IF(AT356="","","")</f>
        <v/>
      </c>
      <c r="AN356" s="25" t="str">
        <f aca="false">IF(AT356="","",INDEX(入力シート!$C$5:$C$204,AT356))</f>
        <v/>
      </c>
      <c r="AO356" s="25" t="str">
        <f aca="false">IF(AT356="","","")</f>
        <v/>
      </c>
      <c r="AP356" s="25" t="str">
        <f aca="false">IF(AT356="","","")</f>
        <v/>
      </c>
      <c r="AQ356" s="25" t="str">
        <f aca="false">IF(AT356="","","")</f>
        <v/>
      </c>
      <c r="AT356" s="27" t="str">
        <f aca="false">IFERROR(MATCH(156,入力シート!$T$5:$T$204,0),"")</f>
        <v/>
      </c>
    </row>
    <row r="357" customFormat="false" ht="15" hidden="false" customHeight="true" outlineLevel="0" collapsed="false">
      <c r="A357" s="25" t="str">
        <f aca="false">IF(AT357="","",1)</f>
        <v/>
      </c>
      <c r="B357" s="25" t="str">
        <f aca="false">IF(AT357="","",1)</f>
        <v/>
      </c>
      <c r="C357" s="25" t="str">
        <f aca="false">IF(AT357="","",0)</f>
        <v/>
      </c>
      <c r="D357" s="25" t="str">
        <f aca="false">IF(AT357="","",TEXT(INDEX(入力シート!$A$5:$A$204,AT357),"YYYYMMDD"))</f>
        <v/>
      </c>
      <c r="E357" s="25" t="str">
        <f aca="false">IF(AT357="","",TEXT(INDEX(入力シート!$Q$5:$Q$204,AT357),"00000000"))</f>
        <v/>
      </c>
      <c r="F357" s="25" t="str">
        <f aca="false">IF(AT357="","",14)</f>
        <v/>
      </c>
      <c r="G357" s="25" t="str">
        <f aca="false">IF(AT357="","",1)</f>
        <v/>
      </c>
      <c r="H357" s="25" t="str">
        <f aca="false">IF(AT357="","",1)</f>
        <v/>
      </c>
      <c r="I357" s="25" t="str">
        <f aca="false">IF(AT357="","",3)</f>
        <v/>
      </c>
      <c r="J357" s="25" t="str">
        <f aca="false">IF(AT357="","",1)</f>
        <v/>
      </c>
      <c r="K357" s="25" t="str">
        <f aca="false">IF(AT357="","",INDEX(入力シート!$B$5:$B$204,AT357))</f>
        <v/>
      </c>
      <c r="L357" s="25" t="str">
        <f aca="false">IF(AT357="","","")</f>
        <v/>
      </c>
      <c r="M357" s="25" t="str">
        <f aca="false">IF(AT357="","","")</f>
        <v/>
      </c>
      <c r="N357" s="25" t="str">
        <f aca="false">IF(AT357="","",COUNTIF(入力シート!$Q$5:$Q$204,INDEX(入力シート!$Q$5:$Q$204,AT357))+1)</f>
        <v/>
      </c>
      <c r="O357" s="25" t="str">
        <f aca="false">IF(AT357="","",99)</f>
        <v/>
      </c>
      <c r="P357" s="25" t="str">
        <f aca="false">IF(AT357="","","")</f>
        <v/>
      </c>
      <c r="Q357" s="25" t="str">
        <f aca="false">IF(AT357="","","")</f>
        <v/>
      </c>
      <c r="R357" s="25" t="str">
        <f aca="false">IF(AT357="","","消費税")</f>
        <v/>
      </c>
      <c r="S357" s="25" t="str">
        <f aca="false">IF(AT357="","",0)</f>
        <v/>
      </c>
      <c r="T357" s="25" t="str">
        <f aca="false">IF(AT357="","","")</f>
        <v/>
      </c>
      <c r="U357" s="25" t="str">
        <f aca="false">IF(AT357="","",0)</f>
        <v/>
      </c>
      <c r="V357" s="25" t="str">
        <f aca="false">IF(AT357="","",0)</f>
        <v/>
      </c>
      <c r="W357" s="25" t="str">
        <f aca="false">IF(AT357="","","")</f>
        <v/>
      </c>
      <c r="X357" s="25" t="str">
        <f aca="false">IF(AT357="","",0)</f>
        <v/>
      </c>
      <c r="Y357" s="25" t="str">
        <f aca="false">IF(AT357="","",0)</f>
        <v/>
      </c>
      <c r="Z357" s="25" t="str">
        <f aca="false">IF(AT357="","",ROUNDDOWN(SUMIF(入力シート!$Q$5:$Q$204,INDEX(入力シート!$Q$5:$Q$204,AT357),入力シート!$P$5:$P$204)*IF(INDEX(入力シート!$L$5:$L$204,AT357)=13,0.1,IF(INDEX(入力シート!$L$5:$L$204,AT357)=30,0.08,0)),0))</f>
        <v/>
      </c>
      <c r="AA357" s="25" t="str">
        <f aca="false">IF(AT357="","","")</f>
        <v/>
      </c>
      <c r="AB357" s="25" t="str">
        <f aca="false">IF(AT357="","",0)</f>
        <v/>
      </c>
      <c r="AC357" s="25" t="str">
        <f aca="false">IF(AT357="","",0)</f>
        <v/>
      </c>
      <c r="AD357" s="25" t="str">
        <f aca="false">IF(AT357="","",0)</f>
        <v/>
      </c>
      <c r="AE357" s="25" t="str">
        <f aca="false">IF(AT357="","","")</f>
        <v/>
      </c>
      <c r="AF357" s="25" t="str">
        <f aca="false">IF(AT357="","",0)</f>
        <v/>
      </c>
      <c r="AG357" s="25" t="str">
        <f aca="false">IF(AT357="","",0)</f>
        <v/>
      </c>
      <c r="AH357" s="25" t="str">
        <f aca="false">IF(AT357="","","")</f>
        <v/>
      </c>
      <c r="AI357" s="25" t="str">
        <f aca="false">IF(AT357="","","")</f>
        <v/>
      </c>
      <c r="AJ357" s="25" t="str">
        <f aca="false">IF(AT357="","","")</f>
        <v/>
      </c>
      <c r="AK357" s="25" t="str">
        <f aca="false">IF(AT357="","",2)</f>
        <v/>
      </c>
      <c r="AL357" s="25" t="str">
        <f aca="false">IF(AT357="","","")</f>
        <v/>
      </c>
      <c r="AM357" s="25" t="str">
        <f aca="false">IF(AT357="","","")</f>
        <v/>
      </c>
      <c r="AN357" s="25" t="str">
        <f aca="false">IF(AT357="","",INDEX(入力シート!$C$5:$C$204,AT357))</f>
        <v/>
      </c>
      <c r="AO357" s="25" t="str">
        <f aca="false">IF(AT357="","","")</f>
        <v/>
      </c>
      <c r="AP357" s="25" t="str">
        <f aca="false">IF(AT357="","","")</f>
        <v/>
      </c>
      <c r="AQ357" s="25" t="str">
        <f aca="false">IF(AT357="","","")</f>
        <v/>
      </c>
      <c r="AT357" s="27" t="str">
        <f aca="false">IFERROR(MATCH(157,入力シート!$T$5:$T$204,0),"")</f>
        <v/>
      </c>
    </row>
    <row r="358" customFormat="false" ht="15" hidden="false" customHeight="true" outlineLevel="0" collapsed="false">
      <c r="A358" s="25" t="str">
        <f aca="false">IF(AT358="","",1)</f>
        <v/>
      </c>
      <c r="B358" s="25" t="str">
        <f aca="false">IF(AT358="","",1)</f>
        <v/>
      </c>
      <c r="C358" s="25" t="str">
        <f aca="false">IF(AT358="","",0)</f>
        <v/>
      </c>
      <c r="D358" s="25" t="str">
        <f aca="false">IF(AT358="","",TEXT(INDEX(入力シート!$A$5:$A$204,AT358),"YYYYMMDD"))</f>
        <v/>
      </c>
      <c r="E358" s="25" t="str">
        <f aca="false">IF(AT358="","",TEXT(INDEX(入力シート!$Q$5:$Q$204,AT358),"00000000"))</f>
        <v/>
      </c>
      <c r="F358" s="25" t="str">
        <f aca="false">IF(AT358="","",14)</f>
        <v/>
      </c>
      <c r="G358" s="25" t="str">
        <f aca="false">IF(AT358="","",1)</f>
        <v/>
      </c>
      <c r="H358" s="25" t="str">
        <f aca="false">IF(AT358="","",1)</f>
        <v/>
      </c>
      <c r="I358" s="25" t="str">
        <f aca="false">IF(AT358="","",3)</f>
        <v/>
      </c>
      <c r="J358" s="25" t="str">
        <f aca="false">IF(AT358="","",1)</f>
        <v/>
      </c>
      <c r="K358" s="25" t="str">
        <f aca="false">IF(AT358="","",INDEX(入力シート!$B$5:$B$204,AT358))</f>
        <v/>
      </c>
      <c r="L358" s="25" t="str">
        <f aca="false">IF(AT358="","","")</f>
        <v/>
      </c>
      <c r="M358" s="25" t="str">
        <f aca="false">IF(AT358="","","")</f>
        <v/>
      </c>
      <c r="N358" s="25" t="str">
        <f aca="false">IF(AT358="","",COUNTIF(入力シート!$Q$5:$Q$204,INDEX(入力シート!$Q$5:$Q$204,AT358))+1)</f>
        <v/>
      </c>
      <c r="O358" s="25" t="str">
        <f aca="false">IF(AT358="","",99)</f>
        <v/>
      </c>
      <c r="P358" s="25" t="str">
        <f aca="false">IF(AT358="","","")</f>
        <v/>
      </c>
      <c r="Q358" s="25" t="str">
        <f aca="false">IF(AT358="","","")</f>
        <v/>
      </c>
      <c r="R358" s="25" t="str">
        <f aca="false">IF(AT358="","","消費税")</f>
        <v/>
      </c>
      <c r="S358" s="25" t="str">
        <f aca="false">IF(AT358="","",0)</f>
        <v/>
      </c>
      <c r="T358" s="25" t="str">
        <f aca="false">IF(AT358="","","")</f>
        <v/>
      </c>
      <c r="U358" s="25" t="str">
        <f aca="false">IF(AT358="","",0)</f>
        <v/>
      </c>
      <c r="V358" s="25" t="str">
        <f aca="false">IF(AT358="","",0)</f>
        <v/>
      </c>
      <c r="W358" s="25" t="str">
        <f aca="false">IF(AT358="","","")</f>
        <v/>
      </c>
      <c r="X358" s="25" t="str">
        <f aca="false">IF(AT358="","",0)</f>
        <v/>
      </c>
      <c r="Y358" s="25" t="str">
        <f aca="false">IF(AT358="","",0)</f>
        <v/>
      </c>
      <c r="Z358" s="25" t="str">
        <f aca="false">IF(AT358="","",ROUNDDOWN(SUMIF(入力シート!$Q$5:$Q$204,INDEX(入力シート!$Q$5:$Q$204,AT358),入力シート!$P$5:$P$204)*IF(INDEX(入力シート!$L$5:$L$204,AT358)=13,0.1,IF(INDEX(入力シート!$L$5:$L$204,AT358)=30,0.08,0)),0))</f>
        <v/>
      </c>
      <c r="AA358" s="25" t="str">
        <f aca="false">IF(AT358="","","")</f>
        <v/>
      </c>
      <c r="AB358" s="25" t="str">
        <f aca="false">IF(AT358="","",0)</f>
        <v/>
      </c>
      <c r="AC358" s="25" t="str">
        <f aca="false">IF(AT358="","",0)</f>
        <v/>
      </c>
      <c r="AD358" s="25" t="str">
        <f aca="false">IF(AT358="","",0)</f>
        <v/>
      </c>
      <c r="AE358" s="25" t="str">
        <f aca="false">IF(AT358="","","")</f>
        <v/>
      </c>
      <c r="AF358" s="25" t="str">
        <f aca="false">IF(AT358="","",0)</f>
        <v/>
      </c>
      <c r="AG358" s="25" t="str">
        <f aca="false">IF(AT358="","",0)</f>
        <v/>
      </c>
      <c r="AH358" s="25" t="str">
        <f aca="false">IF(AT358="","","")</f>
        <v/>
      </c>
      <c r="AI358" s="25" t="str">
        <f aca="false">IF(AT358="","","")</f>
        <v/>
      </c>
      <c r="AJ358" s="25" t="str">
        <f aca="false">IF(AT358="","","")</f>
        <v/>
      </c>
      <c r="AK358" s="25" t="str">
        <f aca="false">IF(AT358="","",2)</f>
        <v/>
      </c>
      <c r="AL358" s="25" t="str">
        <f aca="false">IF(AT358="","","")</f>
        <v/>
      </c>
      <c r="AM358" s="25" t="str">
        <f aca="false">IF(AT358="","","")</f>
        <v/>
      </c>
      <c r="AN358" s="25" t="str">
        <f aca="false">IF(AT358="","",INDEX(入力シート!$C$5:$C$204,AT358))</f>
        <v/>
      </c>
      <c r="AO358" s="25" t="str">
        <f aca="false">IF(AT358="","","")</f>
        <v/>
      </c>
      <c r="AP358" s="25" t="str">
        <f aca="false">IF(AT358="","","")</f>
        <v/>
      </c>
      <c r="AQ358" s="25" t="str">
        <f aca="false">IF(AT358="","","")</f>
        <v/>
      </c>
      <c r="AT358" s="27" t="str">
        <f aca="false">IFERROR(MATCH(158,入力シート!$T$5:$T$204,0),"")</f>
        <v/>
      </c>
    </row>
    <row r="359" customFormat="false" ht="15" hidden="false" customHeight="true" outlineLevel="0" collapsed="false">
      <c r="A359" s="25" t="str">
        <f aca="false">IF(AT359="","",1)</f>
        <v/>
      </c>
      <c r="B359" s="25" t="str">
        <f aca="false">IF(AT359="","",1)</f>
        <v/>
      </c>
      <c r="C359" s="25" t="str">
        <f aca="false">IF(AT359="","",0)</f>
        <v/>
      </c>
      <c r="D359" s="25" t="str">
        <f aca="false">IF(AT359="","",TEXT(INDEX(入力シート!$A$5:$A$204,AT359),"YYYYMMDD"))</f>
        <v/>
      </c>
      <c r="E359" s="25" t="str">
        <f aca="false">IF(AT359="","",TEXT(INDEX(入力シート!$Q$5:$Q$204,AT359),"00000000"))</f>
        <v/>
      </c>
      <c r="F359" s="25" t="str">
        <f aca="false">IF(AT359="","",14)</f>
        <v/>
      </c>
      <c r="G359" s="25" t="str">
        <f aca="false">IF(AT359="","",1)</f>
        <v/>
      </c>
      <c r="H359" s="25" t="str">
        <f aca="false">IF(AT359="","",1)</f>
        <v/>
      </c>
      <c r="I359" s="25" t="str">
        <f aca="false">IF(AT359="","",3)</f>
        <v/>
      </c>
      <c r="J359" s="25" t="str">
        <f aca="false">IF(AT359="","",1)</f>
        <v/>
      </c>
      <c r="K359" s="25" t="str">
        <f aca="false">IF(AT359="","",INDEX(入力シート!$B$5:$B$204,AT359))</f>
        <v/>
      </c>
      <c r="L359" s="25" t="str">
        <f aca="false">IF(AT359="","","")</f>
        <v/>
      </c>
      <c r="M359" s="25" t="str">
        <f aca="false">IF(AT359="","","")</f>
        <v/>
      </c>
      <c r="N359" s="25" t="str">
        <f aca="false">IF(AT359="","",COUNTIF(入力シート!$Q$5:$Q$204,INDEX(入力シート!$Q$5:$Q$204,AT359))+1)</f>
        <v/>
      </c>
      <c r="O359" s="25" t="str">
        <f aca="false">IF(AT359="","",99)</f>
        <v/>
      </c>
      <c r="P359" s="25" t="str">
        <f aca="false">IF(AT359="","","")</f>
        <v/>
      </c>
      <c r="Q359" s="25" t="str">
        <f aca="false">IF(AT359="","","")</f>
        <v/>
      </c>
      <c r="R359" s="25" t="str">
        <f aca="false">IF(AT359="","","消費税")</f>
        <v/>
      </c>
      <c r="S359" s="25" t="str">
        <f aca="false">IF(AT359="","",0)</f>
        <v/>
      </c>
      <c r="T359" s="25" t="str">
        <f aca="false">IF(AT359="","","")</f>
        <v/>
      </c>
      <c r="U359" s="25" t="str">
        <f aca="false">IF(AT359="","",0)</f>
        <v/>
      </c>
      <c r="V359" s="25" t="str">
        <f aca="false">IF(AT359="","",0)</f>
        <v/>
      </c>
      <c r="W359" s="25" t="str">
        <f aca="false">IF(AT359="","","")</f>
        <v/>
      </c>
      <c r="X359" s="25" t="str">
        <f aca="false">IF(AT359="","",0)</f>
        <v/>
      </c>
      <c r="Y359" s="25" t="str">
        <f aca="false">IF(AT359="","",0)</f>
        <v/>
      </c>
      <c r="Z359" s="25" t="str">
        <f aca="false">IF(AT359="","",ROUNDDOWN(SUMIF(入力シート!$Q$5:$Q$204,INDEX(入力シート!$Q$5:$Q$204,AT359),入力シート!$P$5:$P$204)*IF(INDEX(入力シート!$L$5:$L$204,AT359)=13,0.1,IF(INDEX(入力シート!$L$5:$L$204,AT359)=30,0.08,0)),0))</f>
        <v/>
      </c>
      <c r="AA359" s="25" t="str">
        <f aca="false">IF(AT359="","","")</f>
        <v/>
      </c>
      <c r="AB359" s="25" t="str">
        <f aca="false">IF(AT359="","",0)</f>
        <v/>
      </c>
      <c r="AC359" s="25" t="str">
        <f aca="false">IF(AT359="","",0)</f>
        <v/>
      </c>
      <c r="AD359" s="25" t="str">
        <f aca="false">IF(AT359="","",0)</f>
        <v/>
      </c>
      <c r="AE359" s="25" t="str">
        <f aca="false">IF(AT359="","","")</f>
        <v/>
      </c>
      <c r="AF359" s="25" t="str">
        <f aca="false">IF(AT359="","",0)</f>
        <v/>
      </c>
      <c r="AG359" s="25" t="str">
        <f aca="false">IF(AT359="","",0)</f>
        <v/>
      </c>
      <c r="AH359" s="25" t="str">
        <f aca="false">IF(AT359="","","")</f>
        <v/>
      </c>
      <c r="AI359" s="25" t="str">
        <f aca="false">IF(AT359="","","")</f>
        <v/>
      </c>
      <c r="AJ359" s="25" t="str">
        <f aca="false">IF(AT359="","","")</f>
        <v/>
      </c>
      <c r="AK359" s="25" t="str">
        <f aca="false">IF(AT359="","",2)</f>
        <v/>
      </c>
      <c r="AL359" s="25" t="str">
        <f aca="false">IF(AT359="","","")</f>
        <v/>
      </c>
      <c r="AM359" s="25" t="str">
        <f aca="false">IF(AT359="","","")</f>
        <v/>
      </c>
      <c r="AN359" s="25" t="str">
        <f aca="false">IF(AT359="","",INDEX(入力シート!$C$5:$C$204,AT359))</f>
        <v/>
      </c>
      <c r="AO359" s="25" t="str">
        <f aca="false">IF(AT359="","","")</f>
        <v/>
      </c>
      <c r="AP359" s="25" t="str">
        <f aca="false">IF(AT359="","","")</f>
        <v/>
      </c>
      <c r="AQ359" s="25" t="str">
        <f aca="false">IF(AT359="","","")</f>
        <v/>
      </c>
      <c r="AT359" s="27" t="str">
        <f aca="false">IFERROR(MATCH(159,入力シート!$T$5:$T$204,0),"")</f>
        <v/>
      </c>
    </row>
    <row r="360" customFormat="false" ht="15" hidden="false" customHeight="true" outlineLevel="0" collapsed="false">
      <c r="A360" s="25" t="str">
        <f aca="false">IF(AT360="","",1)</f>
        <v/>
      </c>
      <c r="B360" s="25" t="str">
        <f aca="false">IF(AT360="","",1)</f>
        <v/>
      </c>
      <c r="C360" s="25" t="str">
        <f aca="false">IF(AT360="","",0)</f>
        <v/>
      </c>
      <c r="D360" s="25" t="str">
        <f aca="false">IF(AT360="","",TEXT(INDEX(入力シート!$A$5:$A$204,AT360),"YYYYMMDD"))</f>
        <v/>
      </c>
      <c r="E360" s="25" t="str">
        <f aca="false">IF(AT360="","",TEXT(INDEX(入力シート!$Q$5:$Q$204,AT360),"00000000"))</f>
        <v/>
      </c>
      <c r="F360" s="25" t="str">
        <f aca="false">IF(AT360="","",14)</f>
        <v/>
      </c>
      <c r="G360" s="25" t="str">
        <f aca="false">IF(AT360="","",1)</f>
        <v/>
      </c>
      <c r="H360" s="25" t="str">
        <f aca="false">IF(AT360="","",1)</f>
        <v/>
      </c>
      <c r="I360" s="25" t="str">
        <f aca="false">IF(AT360="","",3)</f>
        <v/>
      </c>
      <c r="J360" s="25" t="str">
        <f aca="false">IF(AT360="","",1)</f>
        <v/>
      </c>
      <c r="K360" s="25" t="str">
        <f aca="false">IF(AT360="","",INDEX(入力シート!$B$5:$B$204,AT360))</f>
        <v/>
      </c>
      <c r="L360" s="25" t="str">
        <f aca="false">IF(AT360="","","")</f>
        <v/>
      </c>
      <c r="M360" s="25" t="str">
        <f aca="false">IF(AT360="","","")</f>
        <v/>
      </c>
      <c r="N360" s="25" t="str">
        <f aca="false">IF(AT360="","",COUNTIF(入力シート!$Q$5:$Q$204,INDEX(入力シート!$Q$5:$Q$204,AT360))+1)</f>
        <v/>
      </c>
      <c r="O360" s="25" t="str">
        <f aca="false">IF(AT360="","",99)</f>
        <v/>
      </c>
      <c r="P360" s="25" t="str">
        <f aca="false">IF(AT360="","","")</f>
        <v/>
      </c>
      <c r="Q360" s="25" t="str">
        <f aca="false">IF(AT360="","","")</f>
        <v/>
      </c>
      <c r="R360" s="25" t="str">
        <f aca="false">IF(AT360="","","消費税")</f>
        <v/>
      </c>
      <c r="S360" s="25" t="str">
        <f aca="false">IF(AT360="","",0)</f>
        <v/>
      </c>
      <c r="T360" s="25" t="str">
        <f aca="false">IF(AT360="","","")</f>
        <v/>
      </c>
      <c r="U360" s="25" t="str">
        <f aca="false">IF(AT360="","",0)</f>
        <v/>
      </c>
      <c r="V360" s="25" t="str">
        <f aca="false">IF(AT360="","",0)</f>
        <v/>
      </c>
      <c r="W360" s="25" t="str">
        <f aca="false">IF(AT360="","","")</f>
        <v/>
      </c>
      <c r="X360" s="25" t="str">
        <f aca="false">IF(AT360="","",0)</f>
        <v/>
      </c>
      <c r="Y360" s="25" t="str">
        <f aca="false">IF(AT360="","",0)</f>
        <v/>
      </c>
      <c r="Z360" s="25" t="str">
        <f aca="false">IF(AT360="","",ROUNDDOWN(SUMIF(入力シート!$Q$5:$Q$204,INDEX(入力シート!$Q$5:$Q$204,AT360),入力シート!$P$5:$P$204)*IF(INDEX(入力シート!$L$5:$L$204,AT360)=13,0.1,IF(INDEX(入力シート!$L$5:$L$204,AT360)=30,0.08,0)),0))</f>
        <v/>
      </c>
      <c r="AA360" s="25" t="str">
        <f aca="false">IF(AT360="","","")</f>
        <v/>
      </c>
      <c r="AB360" s="25" t="str">
        <f aca="false">IF(AT360="","",0)</f>
        <v/>
      </c>
      <c r="AC360" s="25" t="str">
        <f aca="false">IF(AT360="","",0)</f>
        <v/>
      </c>
      <c r="AD360" s="25" t="str">
        <f aca="false">IF(AT360="","",0)</f>
        <v/>
      </c>
      <c r="AE360" s="25" t="str">
        <f aca="false">IF(AT360="","","")</f>
        <v/>
      </c>
      <c r="AF360" s="25" t="str">
        <f aca="false">IF(AT360="","",0)</f>
        <v/>
      </c>
      <c r="AG360" s="25" t="str">
        <f aca="false">IF(AT360="","",0)</f>
        <v/>
      </c>
      <c r="AH360" s="25" t="str">
        <f aca="false">IF(AT360="","","")</f>
        <v/>
      </c>
      <c r="AI360" s="25" t="str">
        <f aca="false">IF(AT360="","","")</f>
        <v/>
      </c>
      <c r="AJ360" s="25" t="str">
        <f aca="false">IF(AT360="","","")</f>
        <v/>
      </c>
      <c r="AK360" s="25" t="str">
        <f aca="false">IF(AT360="","",2)</f>
        <v/>
      </c>
      <c r="AL360" s="25" t="str">
        <f aca="false">IF(AT360="","","")</f>
        <v/>
      </c>
      <c r="AM360" s="25" t="str">
        <f aca="false">IF(AT360="","","")</f>
        <v/>
      </c>
      <c r="AN360" s="25" t="str">
        <f aca="false">IF(AT360="","",INDEX(入力シート!$C$5:$C$204,AT360))</f>
        <v/>
      </c>
      <c r="AO360" s="25" t="str">
        <f aca="false">IF(AT360="","","")</f>
        <v/>
      </c>
      <c r="AP360" s="25" t="str">
        <f aca="false">IF(AT360="","","")</f>
        <v/>
      </c>
      <c r="AQ360" s="25" t="str">
        <f aca="false">IF(AT360="","","")</f>
        <v/>
      </c>
      <c r="AT360" s="27" t="str">
        <f aca="false">IFERROR(MATCH(160,入力シート!$T$5:$T$204,0),"")</f>
        <v/>
      </c>
    </row>
    <row r="361" customFormat="false" ht="15" hidden="false" customHeight="true" outlineLevel="0" collapsed="false">
      <c r="A361" s="25" t="str">
        <f aca="false">IF(AT361="","",1)</f>
        <v/>
      </c>
      <c r="B361" s="25" t="str">
        <f aca="false">IF(AT361="","",1)</f>
        <v/>
      </c>
      <c r="C361" s="25" t="str">
        <f aca="false">IF(AT361="","",0)</f>
        <v/>
      </c>
      <c r="D361" s="25" t="str">
        <f aca="false">IF(AT361="","",TEXT(INDEX(入力シート!$A$5:$A$204,AT361),"YYYYMMDD"))</f>
        <v/>
      </c>
      <c r="E361" s="25" t="str">
        <f aca="false">IF(AT361="","",TEXT(INDEX(入力シート!$Q$5:$Q$204,AT361),"00000000"))</f>
        <v/>
      </c>
      <c r="F361" s="25" t="str">
        <f aca="false">IF(AT361="","",14)</f>
        <v/>
      </c>
      <c r="G361" s="25" t="str">
        <f aca="false">IF(AT361="","",1)</f>
        <v/>
      </c>
      <c r="H361" s="25" t="str">
        <f aca="false">IF(AT361="","",1)</f>
        <v/>
      </c>
      <c r="I361" s="25" t="str">
        <f aca="false">IF(AT361="","",3)</f>
        <v/>
      </c>
      <c r="J361" s="25" t="str">
        <f aca="false">IF(AT361="","",1)</f>
        <v/>
      </c>
      <c r="K361" s="25" t="str">
        <f aca="false">IF(AT361="","",INDEX(入力シート!$B$5:$B$204,AT361))</f>
        <v/>
      </c>
      <c r="L361" s="25" t="str">
        <f aca="false">IF(AT361="","","")</f>
        <v/>
      </c>
      <c r="M361" s="25" t="str">
        <f aca="false">IF(AT361="","","")</f>
        <v/>
      </c>
      <c r="N361" s="25" t="str">
        <f aca="false">IF(AT361="","",COUNTIF(入力シート!$Q$5:$Q$204,INDEX(入力シート!$Q$5:$Q$204,AT361))+1)</f>
        <v/>
      </c>
      <c r="O361" s="25" t="str">
        <f aca="false">IF(AT361="","",99)</f>
        <v/>
      </c>
      <c r="P361" s="25" t="str">
        <f aca="false">IF(AT361="","","")</f>
        <v/>
      </c>
      <c r="Q361" s="25" t="str">
        <f aca="false">IF(AT361="","","")</f>
        <v/>
      </c>
      <c r="R361" s="25" t="str">
        <f aca="false">IF(AT361="","","消費税")</f>
        <v/>
      </c>
      <c r="S361" s="25" t="str">
        <f aca="false">IF(AT361="","",0)</f>
        <v/>
      </c>
      <c r="T361" s="25" t="str">
        <f aca="false">IF(AT361="","","")</f>
        <v/>
      </c>
      <c r="U361" s="25" t="str">
        <f aca="false">IF(AT361="","",0)</f>
        <v/>
      </c>
      <c r="V361" s="25" t="str">
        <f aca="false">IF(AT361="","",0)</f>
        <v/>
      </c>
      <c r="W361" s="25" t="str">
        <f aca="false">IF(AT361="","","")</f>
        <v/>
      </c>
      <c r="X361" s="25" t="str">
        <f aca="false">IF(AT361="","",0)</f>
        <v/>
      </c>
      <c r="Y361" s="25" t="str">
        <f aca="false">IF(AT361="","",0)</f>
        <v/>
      </c>
      <c r="Z361" s="25" t="str">
        <f aca="false">IF(AT361="","",ROUNDDOWN(SUMIF(入力シート!$Q$5:$Q$204,INDEX(入力シート!$Q$5:$Q$204,AT361),入力シート!$P$5:$P$204)*IF(INDEX(入力シート!$L$5:$L$204,AT361)=13,0.1,IF(INDEX(入力シート!$L$5:$L$204,AT361)=30,0.08,0)),0))</f>
        <v/>
      </c>
      <c r="AA361" s="25" t="str">
        <f aca="false">IF(AT361="","","")</f>
        <v/>
      </c>
      <c r="AB361" s="25" t="str">
        <f aca="false">IF(AT361="","",0)</f>
        <v/>
      </c>
      <c r="AC361" s="25" t="str">
        <f aca="false">IF(AT361="","",0)</f>
        <v/>
      </c>
      <c r="AD361" s="25" t="str">
        <f aca="false">IF(AT361="","",0)</f>
        <v/>
      </c>
      <c r="AE361" s="25" t="str">
        <f aca="false">IF(AT361="","","")</f>
        <v/>
      </c>
      <c r="AF361" s="25" t="str">
        <f aca="false">IF(AT361="","",0)</f>
        <v/>
      </c>
      <c r="AG361" s="25" t="str">
        <f aca="false">IF(AT361="","",0)</f>
        <v/>
      </c>
      <c r="AH361" s="25" t="str">
        <f aca="false">IF(AT361="","","")</f>
        <v/>
      </c>
      <c r="AI361" s="25" t="str">
        <f aca="false">IF(AT361="","","")</f>
        <v/>
      </c>
      <c r="AJ361" s="25" t="str">
        <f aca="false">IF(AT361="","","")</f>
        <v/>
      </c>
      <c r="AK361" s="25" t="str">
        <f aca="false">IF(AT361="","",2)</f>
        <v/>
      </c>
      <c r="AL361" s="25" t="str">
        <f aca="false">IF(AT361="","","")</f>
        <v/>
      </c>
      <c r="AM361" s="25" t="str">
        <f aca="false">IF(AT361="","","")</f>
        <v/>
      </c>
      <c r="AN361" s="25" t="str">
        <f aca="false">IF(AT361="","",INDEX(入力シート!$C$5:$C$204,AT361))</f>
        <v/>
      </c>
      <c r="AO361" s="25" t="str">
        <f aca="false">IF(AT361="","","")</f>
        <v/>
      </c>
      <c r="AP361" s="25" t="str">
        <f aca="false">IF(AT361="","","")</f>
        <v/>
      </c>
      <c r="AQ361" s="25" t="str">
        <f aca="false">IF(AT361="","","")</f>
        <v/>
      </c>
      <c r="AT361" s="27" t="str">
        <f aca="false">IFERROR(MATCH(161,入力シート!$T$5:$T$204,0),"")</f>
        <v/>
      </c>
    </row>
    <row r="362" customFormat="false" ht="15" hidden="false" customHeight="true" outlineLevel="0" collapsed="false">
      <c r="A362" s="25" t="str">
        <f aca="false">IF(AT362="","",1)</f>
        <v/>
      </c>
      <c r="B362" s="25" t="str">
        <f aca="false">IF(AT362="","",1)</f>
        <v/>
      </c>
      <c r="C362" s="25" t="str">
        <f aca="false">IF(AT362="","",0)</f>
        <v/>
      </c>
      <c r="D362" s="25" t="str">
        <f aca="false">IF(AT362="","",TEXT(INDEX(入力シート!$A$5:$A$204,AT362),"YYYYMMDD"))</f>
        <v/>
      </c>
      <c r="E362" s="25" t="str">
        <f aca="false">IF(AT362="","",TEXT(INDEX(入力シート!$Q$5:$Q$204,AT362),"00000000"))</f>
        <v/>
      </c>
      <c r="F362" s="25" t="str">
        <f aca="false">IF(AT362="","",14)</f>
        <v/>
      </c>
      <c r="G362" s="25" t="str">
        <f aca="false">IF(AT362="","",1)</f>
        <v/>
      </c>
      <c r="H362" s="25" t="str">
        <f aca="false">IF(AT362="","",1)</f>
        <v/>
      </c>
      <c r="I362" s="25" t="str">
        <f aca="false">IF(AT362="","",3)</f>
        <v/>
      </c>
      <c r="J362" s="25" t="str">
        <f aca="false">IF(AT362="","",1)</f>
        <v/>
      </c>
      <c r="K362" s="25" t="str">
        <f aca="false">IF(AT362="","",INDEX(入力シート!$B$5:$B$204,AT362))</f>
        <v/>
      </c>
      <c r="L362" s="25" t="str">
        <f aca="false">IF(AT362="","","")</f>
        <v/>
      </c>
      <c r="M362" s="25" t="str">
        <f aca="false">IF(AT362="","","")</f>
        <v/>
      </c>
      <c r="N362" s="25" t="str">
        <f aca="false">IF(AT362="","",COUNTIF(入力シート!$Q$5:$Q$204,INDEX(入力シート!$Q$5:$Q$204,AT362))+1)</f>
        <v/>
      </c>
      <c r="O362" s="25" t="str">
        <f aca="false">IF(AT362="","",99)</f>
        <v/>
      </c>
      <c r="P362" s="25" t="str">
        <f aca="false">IF(AT362="","","")</f>
        <v/>
      </c>
      <c r="Q362" s="25" t="str">
        <f aca="false">IF(AT362="","","")</f>
        <v/>
      </c>
      <c r="R362" s="25" t="str">
        <f aca="false">IF(AT362="","","消費税")</f>
        <v/>
      </c>
      <c r="S362" s="25" t="str">
        <f aca="false">IF(AT362="","",0)</f>
        <v/>
      </c>
      <c r="T362" s="25" t="str">
        <f aca="false">IF(AT362="","","")</f>
        <v/>
      </c>
      <c r="U362" s="25" t="str">
        <f aca="false">IF(AT362="","",0)</f>
        <v/>
      </c>
      <c r="V362" s="25" t="str">
        <f aca="false">IF(AT362="","",0)</f>
        <v/>
      </c>
      <c r="W362" s="25" t="str">
        <f aca="false">IF(AT362="","","")</f>
        <v/>
      </c>
      <c r="X362" s="25" t="str">
        <f aca="false">IF(AT362="","",0)</f>
        <v/>
      </c>
      <c r="Y362" s="25" t="str">
        <f aca="false">IF(AT362="","",0)</f>
        <v/>
      </c>
      <c r="Z362" s="25" t="str">
        <f aca="false">IF(AT362="","",ROUNDDOWN(SUMIF(入力シート!$Q$5:$Q$204,INDEX(入力シート!$Q$5:$Q$204,AT362),入力シート!$P$5:$P$204)*IF(INDEX(入力シート!$L$5:$L$204,AT362)=13,0.1,IF(INDEX(入力シート!$L$5:$L$204,AT362)=30,0.08,0)),0))</f>
        <v/>
      </c>
      <c r="AA362" s="25" t="str">
        <f aca="false">IF(AT362="","","")</f>
        <v/>
      </c>
      <c r="AB362" s="25" t="str">
        <f aca="false">IF(AT362="","",0)</f>
        <v/>
      </c>
      <c r="AC362" s="25" t="str">
        <f aca="false">IF(AT362="","",0)</f>
        <v/>
      </c>
      <c r="AD362" s="25" t="str">
        <f aca="false">IF(AT362="","",0)</f>
        <v/>
      </c>
      <c r="AE362" s="25" t="str">
        <f aca="false">IF(AT362="","","")</f>
        <v/>
      </c>
      <c r="AF362" s="25" t="str">
        <f aca="false">IF(AT362="","",0)</f>
        <v/>
      </c>
      <c r="AG362" s="25" t="str">
        <f aca="false">IF(AT362="","",0)</f>
        <v/>
      </c>
      <c r="AH362" s="25" t="str">
        <f aca="false">IF(AT362="","","")</f>
        <v/>
      </c>
      <c r="AI362" s="25" t="str">
        <f aca="false">IF(AT362="","","")</f>
        <v/>
      </c>
      <c r="AJ362" s="25" t="str">
        <f aca="false">IF(AT362="","","")</f>
        <v/>
      </c>
      <c r="AK362" s="25" t="str">
        <f aca="false">IF(AT362="","",2)</f>
        <v/>
      </c>
      <c r="AL362" s="25" t="str">
        <f aca="false">IF(AT362="","","")</f>
        <v/>
      </c>
      <c r="AM362" s="25" t="str">
        <f aca="false">IF(AT362="","","")</f>
        <v/>
      </c>
      <c r="AN362" s="25" t="str">
        <f aca="false">IF(AT362="","",INDEX(入力シート!$C$5:$C$204,AT362))</f>
        <v/>
      </c>
      <c r="AO362" s="25" t="str">
        <f aca="false">IF(AT362="","","")</f>
        <v/>
      </c>
      <c r="AP362" s="25" t="str">
        <f aca="false">IF(AT362="","","")</f>
        <v/>
      </c>
      <c r="AQ362" s="25" t="str">
        <f aca="false">IF(AT362="","","")</f>
        <v/>
      </c>
      <c r="AT362" s="27" t="str">
        <f aca="false">IFERROR(MATCH(162,入力シート!$T$5:$T$204,0),"")</f>
        <v/>
      </c>
    </row>
    <row r="363" customFormat="false" ht="15" hidden="false" customHeight="true" outlineLevel="0" collapsed="false">
      <c r="A363" s="25" t="str">
        <f aca="false">IF(AT363="","",1)</f>
        <v/>
      </c>
      <c r="B363" s="25" t="str">
        <f aca="false">IF(AT363="","",1)</f>
        <v/>
      </c>
      <c r="C363" s="25" t="str">
        <f aca="false">IF(AT363="","",0)</f>
        <v/>
      </c>
      <c r="D363" s="25" t="str">
        <f aca="false">IF(AT363="","",TEXT(INDEX(入力シート!$A$5:$A$204,AT363),"YYYYMMDD"))</f>
        <v/>
      </c>
      <c r="E363" s="25" t="str">
        <f aca="false">IF(AT363="","",TEXT(INDEX(入力シート!$Q$5:$Q$204,AT363),"00000000"))</f>
        <v/>
      </c>
      <c r="F363" s="25" t="str">
        <f aca="false">IF(AT363="","",14)</f>
        <v/>
      </c>
      <c r="G363" s="25" t="str">
        <f aca="false">IF(AT363="","",1)</f>
        <v/>
      </c>
      <c r="H363" s="25" t="str">
        <f aca="false">IF(AT363="","",1)</f>
        <v/>
      </c>
      <c r="I363" s="25" t="str">
        <f aca="false">IF(AT363="","",3)</f>
        <v/>
      </c>
      <c r="J363" s="25" t="str">
        <f aca="false">IF(AT363="","",1)</f>
        <v/>
      </c>
      <c r="K363" s="25" t="str">
        <f aca="false">IF(AT363="","",INDEX(入力シート!$B$5:$B$204,AT363))</f>
        <v/>
      </c>
      <c r="L363" s="25" t="str">
        <f aca="false">IF(AT363="","","")</f>
        <v/>
      </c>
      <c r="M363" s="25" t="str">
        <f aca="false">IF(AT363="","","")</f>
        <v/>
      </c>
      <c r="N363" s="25" t="str">
        <f aca="false">IF(AT363="","",COUNTIF(入力シート!$Q$5:$Q$204,INDEX(入力シート!$Q$5:$Q$204,AT363))+1)</f>
        <v/>
      </c>
      <c r="O363" s="25" t="str">
        <f aca="false">IF(AT363="","",99)</f>
        <v/>
      </c>
      <c r="P363" s="25" t="str">
        <f aca="false">IF(AT363="","","")</f>
        <v/>
      </c>
      <c r="Q363" s="25" t="str">
        <f aca="false">IF(AT363="","","")</f>
        <v/>
      </c>
      <c r="R363" s="25" t="str">
        <f aca="false">IF(AT363="","","消費税")</f>
        <v/>
      </c>
      <c r="S363" s="25" t="str">
        <f aca="false">IF(AT363="","",0)</f>
        <v/>
      </c>
      <c r="T363" s="25" t="str">
        <f aca="false">IF(AT363="","","")</f>
        <v/>
      </c>
      <c r="U363" s="25" t="str">
        <f aca="false">IF(AT363="","",0)</f>
        <v/>
      </c>
      <c r="V363" s="25" t="str">
        <f aca="false">IF(AT363="","",0)</f>
        <v/>
      </c>
      <c r="W363" s="25" t="str">
        <f aca="false">IF(AT363="","","")</f>
        <v/>
      </c>
      <c r="X363" s="25" t="str">
        <f aca="false">IF(AT363="","",0)</f>
        <v/>
      </c>
      <c r="Y363" s="25" t="str">
        <f aca="false">IF(AT363="","",0)</f>
        <v/>
      </c>
      <c r="Z363" s="25" t="str">
        <f aca="false">IF(AT363="","",ROUNDDOWN(SUMIF(入力シート!$Q$5:$Q$204,INDEX(入力シート!$Q$5:$Q$204,AT363),入力シート!$P$5:$P$204)*IF(INDEX(入力シート!$L$5:$L$204,AT363)=13,0.1,IF(INDEX(入力シート!$L$5:$L$204,AT363)=30,0.08,0)),0))</f>
        <v/>
      </c>
      <c r="AA363" s="25" t="str">
        <f aca="false">IF(AT363="","","")</f>
        <v/>
      </c>
      <c r="AB363" s="25" t="str">
        <f aca="false">IF(AT363="","",0)</f>
        <v/>
      </c>
      <c r="AC363" s="25" t="str">
        <f aca="false">IF(AT363="","",0)</f>
        <v/>
      </c>
      <c r="AD363" s="25" t="str">
        <f aca="false">IF(AT363="","",0)</f>
        <v/>
      </c>
      <c r="AE363" s="25" t="str">
        <f aca="false">IF(AT363="","","")</f>
        <v/>
      </c>
      <c r="AF363" s="25" t="str">
        <f aca="false">IF(AT363="","",0)</f>
        <v/>
      </c>
      <c r="AG363" s="25" t="str">
        <f aca="false">IF(AT363="","",0)</f>
        <v/>
      </c>
      <c r="AH363" s="25" t="str">
        <f aca="false">IF(AT363="","","")</f>
        <v/>
      </c>
      <c r="AI363" s="25" t="str">
        <f aca="false">IF(AT363="","","")</f>
        <v/>
      </c>
      <c r="AJ363" s="25" t="str">
        <f aca="false">IF(AT363="","","")</f>
        <v/>
      </c>
      <c r="AK363" s="25" t="str">
        <f aca="false">IF(AT363="","",2)</f>
        <v/>
      </c>
      <c r="AL363" s="25" t="str">
        <f aca="false">IF(AT363="","","")</f>
        <v/>
      </c>
      <c r="AM363" s="25" t="str">
        <f aca="false">IF(AT363="","","")</f>
        <v/>
      </c>
      <c r="AN363" s="25" t="str">
        <f aca="false">IF(AT363="","",INDEX(入力シート!$C$5:$C$204,AT363))</f>
        <v/>
      </c>
      <c r="AO363" s="25" t="str">
        <f aca="false">IF(AT363="","","")</f>
        <v/>
      </c>
      <c r="AP363" s="25" t="str">
        <f aca="false">IF(AT363="","","")</f>
        <v/>
      </c>
      <c r="AQ363" s="25" t="str">
        <f aca="false">IF(AT363="","","")</f>
        <v/>
      </c>
      <c r="AT363" s="27" t="str">
        <f aca="false">IFERROR(MATCH(163,入力シート!$T$5:$T$204,0),"")</f>
        <v/>
      </c>
    </row>
    <row r="364" customFormat="false" ht="15" hidden="false" customHeight="true" outlineLevel="0" collapsed="false">
      <c r="A364" s="25" t="str">
        <f aca="false">IF(AT364="","",1)</f>
        <v/>
      </c>
      <c r="B364" s="25" t="str">
        <f aca="false">IF(AT364="","",1)</f>
        <v/>
      </c>
      <c r="C364" s="25" t="str">
        <f aca="false">IF(AT364="","",0)</f>
        <v/>
      </c>
      <c r="D364" s="25" t="str">
        <f aca="false">IF(AT364="","",TEXT(INDEX(入力シート!$A$5:$A$204,AT364),"YYYYMMDD"))</f>
        <v/>
      </c>
      <c r="E364" s="25" t="str">
        <f aca="false">IF(AT364="","",TEXT(INDEX(入力シート!$Q$5:$Q$204,AT364),"00000000"))</f>
        <v/>
      </c>
      <c r="F364" s="25" t="str">
        <f aca="false">IF(AT364="","",14)</f>
        <v/>
      </c>
      <c r="G364" s="25" t="str">
        <f aca="false">IF(AT364="","",1)</f>
        <v/>
      </c>
      <c r="H364" s="25" t="str">
        <f aca="false">IF(AT364="","",1)</f>
        <v/>
      </c>
      <c r="I364" s="25" t="str">
        <f aca="false">IF(AT364="","",3)</f>
        <v/>
      </c>
      <c r="J364" s="25" t="str">
        <f aca="false">IF(AT364="","",1)</f>
        <v/>
      </c>
      <c r="K364" s="25" t="str">
        <f aca="false">IF(AT364="","",INDEX(入力シート!$B$5:$B$204,AT364))</f>
        <v/>
      </c>
      <c r="L364" s="25" t="str">
        <f aca="false">IF(AT364="","","")</f>
        <v/>
      </c>
      <c r="M364" s="25" t="str">
        <f aca="false">IF(AT364="","","")</f>
        <v/>
      </c>
      <c r="N364" s="25" t="str">
        <f aca="false">IF(AT364="","",COUNTIF(入力シート!$Q$5:$Q$204,INDEX(入力シート!$Q$5:$Q$204,AT364))+1)</f>
        <v/>
      </c>
      <c r="O364" s="25" t="str">
        <f aca="false">IF(AT364="","",99)</f>
        <v/>
      </c>
      <c r="P364" s="25" t="str">
        <f aca="false">IF(AT364="","","")</f>
        <v/>
      </c>
      <c r="Q364" s="25" t="str">
        <f aca="false">IF(AT364="","","")</f>
        <v/>
      </c>
      <c r="R364" s="25" t="str">
        <f aca="false">IF(AT364="","","消費税")</f>
        <v/>
      </c>
      <c r="S364" s="25" t="str">
        <f aca="false">IF(AT364="","",0)</f>
        <v/>
      </c>
      <c r="T364" s="25" t="str">
        <f aca="false">IF(AT364="","","")</f>
        <v/>
      </c>
      <c r="U364" s="25" t="str">
        <f aca="false">IF(AT364="","",0)</f>
        <v/>
      </c>
      <c r="V364" s="25" t="str">
        <f aca="false">IF(AT364="","",0)</f>
        <v/>
      </c>
      <c r="W364" s="25" t="str">
        <f aca="false">IF(AT364="","","")</f>
        <v/>
      </c>
      <c r="X364" s="25" t="str">
        <f aca="false">IF(AT364="","",0)</f>
        <v/>
      </c>
      <c r="Y364" s="25" t="str">
        <f aca="false">IF(AT364="","",0)</f>
        <v/>
      </c>
      <c r="Z364" s="25" t="str">
        <f aca="false">IF(AT364="","",ROUNDDOWN(SUMIF(入力シート!$Q$5:$Q$204,INDEX(入力シート!$Q$5:$Q$204,AT364),入力シート!$P$5:$P$204)*IF(INDEX(入力シート!$L$5:$L$204,AT364)=13,0.1,IF(INDEX(入力シート!$L$5:$L$204,AT364)=30,0.08,0)),0))</f>
        <v/>
      </c>
      <c r="AA364" s="25" t="str">
        <f aca="false">IF(AT364="","","")</f>
        <v/>
      </c>
      <c r="AB364" s="25" t="str">
        <f aca="false">IF(AT364="","",0)</f>
        <v/>
      </c>
      <c r="AC364" s="25" t="str">
        <f aca="false">IF(AT364="","",0)</f>
        <v/>
      </c>
      <c r="AD364" s="25" t="str">
        <f aca="false">IF(AT364="","",0)</f>
        <v/>
      </c>
      <c r="AE364" s="25" t="str">
        <f aca="false">IF(AT364="","","")</f>
        <v/>
      </c>
      <c r="AF364" s="25" t="str">
        <f aca="false">IF(AT364="","",0)</f>
        <v/>
      </c>
      <c r="AG364" s="25" t="str">
        <f aca="false">IF(AT364="","",0)</f>
        <v/>
      </c>
      <c r="AH364" s="25" t="str">
        <f aca="false">IF(AT364="","","")</f>
        <v/>
      </c>
      <c r="AI364" s="25" t="str">
        <f aca="false">IF(AT364="","","")</f>
        <v/>
      </c>
      <c r="AJ364" s="25" t="str">
        <f aca="false">IF(AT364="","","")</f>
        <v/>
      </c>
      <c r="AK364" s="25" t="str">
        <f aca="false">IF(AT364="","",2)</f>
        <v/>
      </c>
      <c r="AL364" s="25" t="str">
        <f aca="false">IF(AT364="","","")</f>
        <v/>
      </c>
      <c r="AM364" s="25" t="str">
        <f aca="false">IF(AT364="","","")</f>
        <v/>
      </c>
      <c r="AN364" s="25" t="str">
        <f aca="false">IF(AT364="","",INDEX(入力シート!$C$5:$C$204,AT364))</f>
        <v/>
      </c>
      <c r="AO364" s="25" t="str">
        <f aca="false">IF(AT364="","","")</f>
        <v/>
      </c>
      <c r="AP364" s="25" t="str">
        <f aca="false">IF(AT364="","","")</f>
        <v/>
      </c>
      <c r="AQ364" s="25" t="str">
        <f aca="false">IF(AT364="","","")</f>
        <v/>
      </c>
      <c r="AT364" s="27" t="str">
        <f aca="false">IFERROR(MATCH(164,入力シート!$T$5:$T$204,0),"")</f>
        <v/>
      </c>
    </row>
    <row r="365" customFormat="false" ht="15" hidden="false" customHeight="true" outlineLevel="0" collapsed="false">
      <c r="A365" s="25" t="str">
        <f aca="false">IF(AT365="","",1)</f>
        <v/>
      </c>
      <c r="B365" s="25" t="str">
        <f aca="false">IF(AT365="","",1)</f>
        <v/>
      </c>
      <c r="C365" s="25" t="str">
        <f aca="false">IF(AT365="","",0)</f>
        <v/>
      </c>
      <c r="D365" s="25" t="str">
        <f aca="false">IF(AT365="","",TEXT(INDEX(入力シート!$A$5:$A$204,AT365),"YYYYMMDD"))</f>
        <v/>
      </c>
      <c r="E365" s="25" t="str">
        <f aca="false">IF(AT365="","",TEXT(INDEX(入力シート!$Q$5:$Q$204,AT365),"00000000"))</f>
        <v/>
      </c>
      <c r="F365" s="25" t="str">
        <f aca="false">IF(AT365="","",14)</f>
        <v/>
      </c>
      <c r="G365" s="25" t="str">
        <f aca="false">IF(AT365="","",1)</f>
        <v/>
      </c>
      <c r="H365" s="25" t="str">
        <f aca="false">IF(AT365="","",1)</f>
        <v/>
      </c>
      <c r="I365" s="25" t="str">
        <f aca="false">IF(AT365="","",3)</f>
        <v/>
      </c>
      <c r="J365" s="25" t="str">
        <f aca="false">IF(AT365="","",1)</f>
        <v/>
      </c>
      <c r="K365" s="25" t="str">
        <f aca="false">IF(AT365="","",INDEX(入力シート!$B$5:$B$204,AT365))</f>
        <v/>
      </c>
      <c r="L365" s="25" t="str">
        <f aca="false">IF(AT365="","","")</f>
        <v/>
      </c>
      <c r="M365" s="25" t="str">
        <f aca="false">IF(AT365="","","")</f>
        <v/>
      </c>
      <c r="N365" s="25" t="str">
        <f aca="false">IF(AT365="","",COUNTIF(入力シート!$Q$5:$Q$204,INDEX(入力シート!$Q$5:$Q$204,AT365))+1)</f>
        <v/>
      </c>
      <c r="O365" s="25" t="str">
        <f aca="false">IF(AT365="","",99)</f>
        <v/>
      </c>
      <c r="P365" s="25" t="str">
        <f aca="false">IF(AT365="","","")</f>
        <v/>
      </c>
      <c r="Q365" s="25" t="str">
        <f aca="false">IF(AT365="","","")</f>
        <v/>
      </c>
      <c r="R365" s="25" t="str">
        <f aca="false">IF(AT365="","","消費税")</f>
        <v/>
      </c>
      <c r="S365" s="25" t="str">
        <f aca="false">IF(AT365="","",0)</f>
        <v/>
      </c>
      <c r="T365" s="25" t="str">
        <f aca="false">IF(AT365="","","")</f>
        <v/>
      </c>
      <c r="U365" s="25" t="str">
        <f aca="false">IF(AT365="","",0)</f>
        <v/>
      </c>
      <c r="V365" s="25" t="str">
        <f aca="false">IF(AT365="","",0)</f>
        <v/>
      </c>
      <c r="W365" s="25" t="str">
        <f aca="false">IF(AT365="","","")</f>
        <v/>
      </c>
      <c r="X365" s="25" t="str">
        <f aca="false">IF(AT365="","",0)</f>
        <v/>
      </c>
      <c r="Y365" s="25" t="str">
        <f aca="false">IF(AT365="","",0)</f>
        <v/>
      </c>
      <c r="Z365" s="25" t="str">
        <f aca="false">IF(AT365="","",ROUNDDOWN(SUMIF(入力シート!$Q$5:$Q$204,INDEX(入力シート!$Q$5:$Q$204,AT365),入力シート!$P$5:$P$204)*IF(INDEX(入力シート!$L$5:$L$204,AT365)=13,0.1,IF(INDEX(入力シート!$L$5:$L$204,AT365)=30,0.08,0)),0))</f>
        <v/>
      </c>
      <c r="AA365" s="25" t="str">
        <f aca="false">IF(AT365="","","")</f>
        <v/>
      </c>
      <c r="AB365" s="25" t="str">
        <f aca="false">IF(AT365="","",0)</f>
        <v/>
      </c>
      <c r="AC365" s="25" t="str">
        <f aca="false">IF(AT365="","",0)</f>
        <v/>
      </c>
      <c r="AD365" s="25" t="str">
        <f aca="false">IF(AT365="","",0)</f>
        <v/>
      </c>
      <c r="AE365" s="25" t="str">
        <f aca="false">IF(AT365="","","")</f>
        <v/>
      </c>
      <c r="AF365" s="25" t="str">
        <f aca="false">IF(AT365="","",0)</f>
        <v/>
      </c>
      <c r="AG365" s="25" t="str">
        <f aca="false">IF(AT365="","",0)</f>
        <v/>
      </c>
      <c r="AH365" s="25" t="str">
        <f aca="false">IF(AT365="","","")</f>
        <v/>
      </c>
      <c r="AI365" s="25" t="str">
        <f aca="false">IF(AT365="","","")</f>
        <v/>
      </c>
      <c r="AJ365" s="25" t="str">
        <f aca="false">IF(AT365="","","")</f>
        <v/>
      </c>
      <c r="AK365" s="25" t="str">
        <f aca="false">IF(AT365="","",2)</f>
        <v/>
      </c>
      <c r="AL365" s="25" t="str">
        <f aca="false">IF(AT365="","","")</f>
        <v/>
      </c>
      <c r="AM365" s="25" t="str">
        <f aca="false">IF(AT365="","","")</f>
        <v/>
      </c>
      <c r="AN365" s="25" t="str">
        <f aca="false">IF(AT365="","",INDEX(入力シート!$C$5:$C$204,AT365))</f>
        <v/>
      </c>
      <c r="AO365" s="25" t="str">
        <f aca="false">IF(AT365="","","")</f>
        <v/>
      </c>
      <c r="AP365" s="25" t="str">
        <f aca="false">IF(AT365="","","")</f>
        <v/>
      </c>
      <c r="AQ365" s="25" t="str">
        <f aca="false">IF(AT365="","","")</f>
        <v/>
      </c>
      <c r="AT365" s="27" t="str">
        <f aca="false">IFERROR(MATCH(165,入力シート!$T$5:$T$204,0),"")</f>
        <v/>
      </c>
    </row>
    <row r="366" customFormat="false" ht="15" hidden="false" customHeight="true" outlineLevel="0" collapsed="false">
      <c r="A366" s="25" t="str">
        <f aca="false">IF(AT366="","",1)</f>
        <v/>
      </c>
      <c r="B366" s="25" t="str">
        <f aca="false">IF(AT366="","",1)</f>
        <v/>
      </c>
      <c r="C366" s="25" t="str">
        <f aca="false">IF(AT366="","",0)</f>
        <v/>
      </c>
      <c r="D366" s="25" t="str">
        <f aca="false">IF(AT366="","",TEXT(INDEX(入力シート!$A$5:$A$204,AT366),"YYYYMMDD"))</f>
        <v/>
      </c>
      <c r="E366" s="25" t="str">
        <f aca="false">IF(AT366="","",TEXT(INDEX(入力シート!$Q$5:$Q$204,AT366),"00000000"))</f>
        <v/>
      </c>
      <c r="F366" s="25" t="str">
        <f aca="false">IF(AT366="","",14)</f>
        <v/>
      </c>
      <c r="G366" s="25" t="str">
        <f aca="false">IF(AT366="","",1)</f>
        <v/>
      </c>
      <c r="H366" s="25" t="str">
        <f aca="false">IF(AT366="","",1)</f>
        <v/>
      </c>
      <c r="I366" s="25" t="str">
        <f aca="false">IF(AT366="","",3)</f>
        <v/>
      </c>
      <c r="J366" s="25" t="str">
        <f aca="false">IF(AT366="","",1)</f>
        <v/>
      </c>
      <c r="K366" s="25" t="str">
        <f aca="false">IF(AT366="","",INDEX(入力シート!$B$5:$B$204,AT366))</f>
        <v/>
      </c>
      <c r="L366" s="25" t="str">
        <f aca="false">IF(AT366="","","")</f>
        <v/>
      </c>
      <c r="M366" s="25" t="str">
        <f aca="false">IF(AT366="","","")</f>
        <v/>
      </c>
      <c r="N366" s="25" t="str">
        <f aca="false">IF(AT366="","",COUNTIF(入力シート!$Q$5:$Q$204,INDEX(入力シート!$Q$5:$Q$204,AT366))+1)</f>
        <v/>
      </c>
      <c r="O366" s="25" t="str">
        <f aca="false">IF(AT366="","",99)</f>
        <v/>
      </c>
      <c r="P366" s="25" t="str">
        <f aca="false">IF(AT366="","","")</f>
        <v/>
      </c>
      <c r="Q366" s="25" t="str">
        <f aca="false">IF(AT366="","","")</f>
        <v/>
      </c>
      <c r="R366" s="25" t="str">
        <f aca="false">IF(AT366="","","消費税")</f>
        <v/>
      </c>
      <c r="S366" s="25" t="str">
        <f aca="false">IF(AT366="","",0)</f>
        <v/>
      </c>
      <c r="T366" s="25" t="str">
        <f aca="false">IF(AT366="","","")</f>
        <v/>
      </c>
      <c r="U366" s="25" t="str">
        <f aca="false">IF(AT366="","",0)</f>
        <v/>
      </c>
      <c r="V366" s="25" t="str">
        <f aca="false">IF(AT366="","",0)</f>
        <v/>
      </c>
      <c r="W366" s="25" t="str">
        <f aca="false">IF(AT366="","","")</f>
        <v/>
      </c>
      <c r="X366" s="25" t="str">
        <f aca="false">IF(AT366="","",0)</f>
        <v/>
      </c>
      <c r="Y366" s="25" t="str">
        <f aca="false">IF(AT366="","",0)</f>
        <v/>
      </c>
      <c r="Z366" s="25" t="str">
        <f aca="false">IF(AT366="","",ROUNDDOWN(SUMIF(入力シート!$Q$5:$Q$204,INDEX(入力シート!$Q$5:$Q$204,AT366),入力シート!$P$5:$P$204)*IF(INDEX(入力シート!$L$5:$L$204,AT366)=13,0.1,IF(INDEX(入力シート!$L$5:$L$204,AT366)=30,0.08,0)),0))</f>
        <v/>
      </c>
      <c r="AA366" s="25" t="str">
        <f aca="false">IF(AT366="","","")</f>
        <v/>
      </c>
      <c r="AB366" s="25" t="str">
        <f aca="false">IF(AT366="","",0)</f>
        <v/>
      </c>
      <c r="AC366" s="25" t="str">
        <f aca="false">IF(AT366="","",0)</f>
        <v/>
      </c>
      <c r="AD366" s="25" t="str">
        <f aca="false">IF(AT366="","",0)</f>
        <v/>
      </c>
      <c r="AE366" s="25" t="str">
        <f aca="false">IF(AT366="","","")</f>
        <v/>
      </c>
      <c r="AF366" s="25" t="str">
        <f aca="false">IF(AT366="","",0)</f>
        <v/>
      </c>
      <c r="AG366" s="25" t="str">
        <f aca="false">IF(AT366="","",0)</f>
        <v/>
      </c>
      <c r="AH366" s="25" t="str">
        <f aca="false">IF(AT366="","","")</f>
        <v/>
      </c>
      <c r="AI366" s="25" t="str">
        <f aca="false">IF(AT366="","","")</f>
        <v/>
      </c>
      <c r="AJ366" s="25" t="str">
        <f aca="false">IF(AT366="","","")</f>
        <v/>
      </c>
      <c r="AK366" s="25" t="str">
        <f aca="false">IF(AT366="","",2)</f>
        <v/>
      </c>
      <c r="AL366" s="25" t="str">
        <f aca="false">IF(AT366="","","")</f>
        <v/>
      </c>
      <c r="AM366" s="25" t="str">
        <f aca="false">IF(AT366="","","")</f>
        <v/>
      </c>
      <c r="AN366" s="25" t="str">
        <f aca="false">IF(AT366="","",INDEX(入力シート!$C$5:$C$204,AT366))</f>
        <v/>
      </c>
      <c r="AO366" s="25" t="str">
        <f aca="false">IF(AT366="","","")</f>
        <v/>
      </c>
      <c r="AP366" s="25" t="str">
        <f aca="false">IF(AT366="","","")</f>
        <v/>
      </c>
      <c r="AQ366" s="25" t="str">
        <f aca="false">IF(AT366="","","")</f>
        <v/>
      </c>
      <c r="AT366" s="27" t="str">
        <f aca="false">IFERROR(MATCH(166,入力シート!$T$5:$T$204,0),"")</f>
        <v/>
      </c>
    </row>
    <row r="367" customFormat="false" ht="15" hidden="false" customHeight="true" outlineLevel="0" collapsed="false">
      <c r="A367" s="25" t="str">
        <f aca="false">IF(AT367="","",1)</f>
        <v/>
      </c>
      <c r="B367" s="25" t="str">
        <f aca="false">IF(AT367="","",1)</f>
        <v/>
      </c>
      <c r="C367" s="25" t="str">
        <f aca="false">IF(AT367="","",0)</f>
        <v/>
      </c>
      <c r="D367" s="25" t="str">
        <f aca="false">IF(AT367="","",TEXT(INDEX(入力シート!$A$5:$A$204,AT367),"YYYYMMDD"))</f>
        <v/>
      </c>
      <c r="E367" s="25" t="str">
        <f aca="false">IF(AT367="","",TEXT(INDEX(入力シート!$Q$5:$Q$204,AT367),"00000000"))</f>
        <v/>
      </c>
      <c r="F367" s="25" t="str">
        <f aca="false">IF(AT367="","",14)</f>
        <v/>
      </c>
      <c r="G367" s="25" t="str">
        <f aca="false">IF(AT367="","",1)</f>
        <v/>
      </c>
      <c r="H367" s="25" t="str">
        <f aca="false">IF(AT367="","",1)</f>
        <v/>
      </c>
      <c r="I367" s="25" t="str">
        <f aca="false">IF(AT367="","",3)</f>
        <v/>
      </c>
      <c r="J367" s="25" t="str">
        <f aca="false">IF(AT367="","",1)</f>
        <v/>
      </c>
      <c r="K367" s="25" t="str">
        <f aca="false">IF(AT367="","",INDEX(入力シート!$B$5:$B$204,AT367))</f>
        <v/>
      </c>
      <c r="L367" s="25" t="str">
        <f aca="false">IF(AT367="","","")</f>
        <v/>
      </c>
      <c r="M367" s="25" t="str">
        <f aca="false">IF(AT367="","","")</f>
        <v/>
      </c>
      <c r="N367" s="25" t="str">
        <f aca="false">IF(AT367="","",COUNTIF(入力シート!$Q$5:$Q$204,INDEX(入力シート!$Q$5:$Q$204,AT367))+1)</f>
        <v/>
      </c>
      <c r="O367" s="25" t="str">
        <f aca="false">IF(AT367="","",99)</f>
        <v/>
      </c>
      <c r="P367" s="25" t="str">
        <f aca="false">IF(AT367="","","")</f>
        <v/>
      </c>
      <c r="Q367" s="25" t="str">
        <f aca="false">IF(AT367="","","")</f>
        <v/>
      </c>
      <c r="R367" s="25" t="str">
        <f aca="false">IF(AT367="","","消費税")</f>
        <v/>
      </c>
      <c r="S367" s="25" t="str">
        <f aca="false">IF(AT367="","",0)</f>
        <v/>
      </c>
      <c r="T367" s="25" t="str">
        <f aca="false">IF(AT367="","","")</f>
        <v/>
      </c>
      <c r="U367" s="25" t="str">
        <f aca="false">IF(AT367="","",0)</f>
        <v/>
      </c>
      <c r="V367" s="25" t="str">
        <f aca="false">IF(AT367="","",0)</f>
        <v/>
      </c>
      <c r="W367" s="25" t="str">
        <f aca="false">IF(AT367="","","")</f>
        <v/>
      </c>
      <c r="X367" s="25" t="str">
        <f aca="false">IF(AT367="","",0)</f>
        <v/>
      </c>
      <c r="Y367" s="25" t="str">
        <f aca="false">IF(AT367="","",0)</f>
        <v/>
      </c>
      <c r="Z367" s="25" t="str">
        <f aca="false">IF(AT367="","",ROUNDDOWN(SUMIF(入力シート!$Q$5:$Q$204,INDEX(入力シート!$Q$5:$Q$204,AT367),入力シート!$P$5:$P$204)*IF(INDEX(入力シート!$L$5:$L$204,AT367)=13,0.1,IF(INDEX(入力シート!$L$5:$L$204,AT367)=30,0.08,0)),0))</f>
        <v/>
      </c>
      <c r="AA367" s="25" t="str">
        <f aca="false">IF(AT367="","","")</f>
        <v/>
      </c>
      <c r="AB367" s="25" t="str">
        <f aca="false">IF(AT367="","",0)</f>
        <v/>
      </c>
      <c r="AC367" s="25" t="str">
        <f aca="false">IF(AT367="","",0)</f>
        <v/>
      </c>
      <c r="AD367" s="25" t="str">
        <f aca="false">IF(AT367="","",0)</f>
        <v/>
      </c>
      <c r="AE367" s="25" t="str">
        <f aca="false">IF(AT367="","","")</f>
        <v/>
      </c>
      <c r="AF367" s="25" t="str">
        <f aca="false">IF(AT367="","",0)</f>
        <v/>
      </c>
      <c r="AG367" s="25" t="str">
        <f aca="false">IF(AT367="","",0)</f>
        <v/>
      </c>
      <c r="AH367" s="25" t="str">
        <f aca="false">IF(AT367="","","")</f>
        <v/>
      </c>
      <c r="AI367" s="25" t="str">
        <f aca="false">IF(AT367="","","")</f>
        <v/>
      </c>
      <c r="AJ367" s="25" t="str">
        <f aca="false">IF(AT367="","","")</f>
        <v/>
      </c>
      <c r="AK367" s="25" t="str">
        <f aca="false">IF(AT367="","",2)</f>
        <v/>
      </c>
      <c r="AL367" s="25" t="str">
        <f aca="false">IF(AT367="","","")</f>
        <v/>
      </c>
      <c r="AM367" s="25" t="str">
        <f aca="false">IF(AT367="","","")</f>
        <v/>
      </c>
      <c r="AN367" s="25" t="str">
        <f aca="false">IF(AT367="","",INDEX(入力シート!$C$5:$C$204,AT367))</f>
        <v/>
      </c>
      <c r="AO367" s="25" t="str">
        <f aca="false">IF(AT367="","","")</f>
        <v/>
      </c>
      <c r="AP367" s="25" t="str">
        <f aca="false">IF(AT367="","","")</f>
        <v/>
      </c>
      <c r="AQ367" s="25" t="str">
        <f aca="false">IF(AT367="","","")</f>
        <v/>
      </c>
      <c r="AT367" s="27" t="str">
        <f aca="false">IFERROR(MATCH(167,入力シート!$T$5:$T$204,0),"")</f>
        <v/>
      </c>
    </row>
    <row r="368" customFormat="false" ht="15" hidden="false" customHeight="true" outlineLevel="0" collapsed="false">
      <c r="A368" s="25" t="str">
        <f aca="false">IF(AT368="","",1)</f>
        <v/>
      </c>
      <c r="B368" s="25" t="str">
        <f aca="false">IF(AT368="","",1)</f>
        <v/>
      </c>
      <c r="C368" s="25" t="str">
        <f aca="false">IF(AT368="","",0)</f>
        <v/>
      </c>
      <c r="D368" s="25" t="str">
        <f aca="false">IF(AT368="","",TEXT(INDEX(入力シート!$A$5:$A$204,AT368),"YYYYMMDD"))</f>
        <v/>
      </c>
      <c r="E368" s="25" t="str">
        <f aca="false">IF(AT368="","",TEXT(INDEX(入力シート!$Q$5:$Q$204,AT368),"00000000"))</f>
        <v/>
      </c>
      <c r="F368" s="25" t="str">
        <f aca="false">IF(AT368="","",14)</f>
        <v/>
      </c>
      <c r="G368" s="25" t="str">
        <f aca="false">IF(AT368="","",1)</f>
        <v/>
      </c>
      <c r="H368" s="25" t="str">
        <f aca="false">IF(AT368="","",1)</f>
        <v/>
      </c>
      <c r="I368" s="25" t="str">
        <f aca="false">IF(AT368="","",3)</f>
        <v/>
      </c>
      <c r="J368" s="25" t="str">
        <f aca="false">IF(AT368="","",1)</f>
        <v/>
      </c>
      <c r="K368" s="25" t="str">
        <f aca="false">IF(AT368="","",INDEX(入力シート!$B$5:$B$204,AT368))</f>
        <v/>
      </c>
      <c r="L368" s="25" t="str">
        <f aca="false">IF(AT368="","","")</f>
        <v/>
      </c>
      <c r="M368" s="25" t="str">
        <f aca="false">IF(AT368="","","")</f>
        <v/>
      </c>
      <c r="N368" s="25" t="str">
        <f aca="false">IF(AT368="","",COUNTIF(入力シート!$Q$5:$Q$204,INDEX(入力シート!$Q$5:$Q$204,AT368))+1)</f>
        <v/>
      </c>
      <c r="O368" s="25" t="str">
        <f aca="false">IF(AT368="","",99)</f>
        <v/>
      </c>
      <c r="P368" s="25" t="str">
        <f aca="false">IF(AT368="","","")</f>
        <v/>
      </c>
      <c r="Q368" s="25" t="str">
        <f aca="false">IF(AT368="","","")</f>
        <v/>
      </c>
      <c r="R368" s="25" t="str">
        <f aca="false">IF(AT368="","","消費税")</f>
        <v/>
      </c>
      <c r="S368" s="25" t="str">
        <f aca="false">IF(AT368="","",0)</f>
        <v/>
      </c>
      <c r="T368" s="25" t="str">
        <f aca="false">IF(AT368="","","")</f>
        <v/>
      </c>
      <c r="U368" s="25" t="str">
        <f aca="false">IF(AT368="","",0)</f>
        <v/>
      </c>
      <c r="V368" s="25" t="str">
        <f aca="false">IF(AT368="","",0)</f>
        <v/>
      </c>
      <c r="W368" s="25" t="str">
        <f aca="false">IF(AT368="","","")</f>
        <v/>
      </c>
      <c r="X368" s="25" t="str">
        <f aca="false">IF(AT368="","",0)</f>
        <v/>
      </c>
      <c r="Y368" s="25" t="str">
        <f aca="false">IF(AT368="","",0)</f>
        <v/>
      </c>
      <c r="Z368" s="25" t="str">
        <f aca="false">IF(AT368="","",ROUNDDOWN(SUMIF(入力シート!$Q$5:$Q$204,INDEX(入力シート!$Q$5:$Q$204,AT368),入力シート!$P$5:$P$204)*IF(INDEX(入力シート!$L$5:$L$204,AT368)=13,0.1,IF(INDEX(入力シート!$L$5:$L$204,AT368)=30,0.08,0)),0))</f>
        <v/>
      </c>
      <c r="AA368" s="25" t="str">
        <f aca="false">IF(AT368="","","")</f>
        <v/>
      </c>
      <c r="AB368" s="25" t="str">
        <f aca="false">IF(AT368="","",0)</f>
        <v/>
      </c>
      <c r="AC368" s="25" t="str">
        <f aca="false">IF(AT368="","",0)</f>
        <v/>
      </c>
      <c r="AD368" s="25" t="str">
        <f aca="false">IF(AT368="","",0)</f>
        <v/>
      </c>
      <c r="AE368" s="25" t="str">
        <f aca="false">IF(AT368="","","")</f>
        <v/>
      </c>
      <c r="AF368" s="25" t="str">
        <f aca="false">IF(AT368="","",0)</f>
        <v/>
      </c>
      <c r="AG368" s="25" t="str">
        <f aca="false">IF(AT368="","",0)</f>
        <v/>
      </c>
      <c r="AH368" s="25" t="str">
        <f aca="false">IF(AT368="","","")</f>
        <v/>
      </c>
      <c r="AI368" s="25" t="str">
        <f aca="false">IF(AT368="","","")</f>
        <v/>
      </c>
      <c r="AJ368" s="25" t="str">
        <f aca="false">IF(AT368="","","")</f>
        <v/>
      </c>
      <c r="AK368" s="25" t="str">
        <f aca="false">IF(AT368="","",2)</f>
        <v/>
      </c>
      <c r="AL368" s="25" t="str">
        <f aca="false">IF(AT368="","","")</f>
        <v/>
      </c>
      <c r="AM368" s="25" t="str">
        <f aca="false">IF(AT368="","","")</f>
        <v/>
      </c>
      <c r="AN368" s="25" t="str">
        <f aca="false">IF(AT368="","",INDEX(入力シート!$C$5:$C$204,AT368))</f>
        <v/>
      </c>
      <c r="AO368" s="25" t="str">
        <f aca="false">IF(AT368="","","")</f>
        <v/>
      </c>
      <c r="AP368" s="25" t="str">
        <f aca="false">IF(AT368="","","")</f>
        <v/>
      </c>
      <c r="AQ368" s="25" t="str">
        <f aca="false">IF(AT368="","","")</f>
        <v/>
      </c>
      <c r="AT368" s="27" t="str">
        <f aca="false">IFERROR(MATCH(168,入力シート!$T$5:$T$204,0),"")</f>
        <v/>
      </c>
    </row>
    <row r="369" customFormat="false" ht="15" hidden="false" customHeight="true" outlineLevel="0" collapsed="false">
      <c r="A369" s="25" t="str">
        <f aca="false">IF(AT369="","",1)</f>
        <v/>
      </c>
      <c r="B369" s="25" t="str">
        <f aca="false">IF(AT369="","",1)</f>
        <v/>
      </c>
      <c r="C369" s="25" t="str">
        <f aca="false">IF(AT369="","",0)</f>
        <v/>
      </c>
      <c r="D369" s="25" t="str">
        <f aca="false">IF(AT369="","",TEXT(INDEX(入力シート!$A$5:$A$204,AT369),"YYYYMMDD"))</f>
        <v/>
      </c>
      <c r="E369" s="25" t="str">
        <f aca="false">IF(AT369="","",TEXT(INDEX(入力シート!$Q$5:$Q$204,AT369),"00000000"))</f>
        <v/>
      </c>
      <c r="F369" s="25" t="str">
        <f aca="false">IF(AT369="","",14)</f>
        <v/>
      </c>
      <c r="G369" s="25" t="str">
        <f aca="false">IF(AT369="","",1)</f>
        <v/>
      </c>
      <c r="H369" s="25" t="str">
        <f aca="false">IF(AT369="","",1)</f>
        <v/>
      </c>
      <c r="I369" s="25" t="str">
        <f aca="false">IF(AT369="","",3)</f>
        <v/>
      </c>
      <c r="J369" s="25" t="str">
        <f aca="false">IF(AT369="","",1)</f>
        <v/>
      </c>
      <c r="K369" s="25" t="str">
        <f aca="false">IF(AT369="","",INDEX(入力シート!$B$5:$B$204,AT369))</f>
        <v/>
      </c>
      <c r="L369" s="25" t="str">
        <f aca="false">IF(AT369="","","")</f>
        <v/>
      </c>
      <c r="M369" s="25" t="str">
        <f aca="false">IF(AT369="","","")</f>
        <v/>
      </c>
      <c r="N369" s="25" t="str">
        <f aca="false">IF(AT369="","",COUNTIF(入力シート!$Q$5:$Q$204,INDEX(入力シート!$Q$5:$Q$204,AT369))+1)</f>
        <v/>
      </c>
      <c r="O369" s="25" t="str">
        <f aca="false">IF(AT369="","",99)</f>
        <v/>
      </c>
      <c r="P369" s="25" t="str">
        <f aca="false">IF(AT369="","","")</f>
        <v/>
      </c>
      <c r="Q369" s="25" t="str">
        <f aca="false">IF(AT369="","","")</f>
        <v/>
      </c>
      <c r="R369" s="25" t="str">
        <f aca="false">IF(AT369="","","消費税")</f>
        <v/>
      </c>
      <c r="S369" s="25" t="str">
        <f aca="false">IF(AT369="","",0)</f>
        <v/>
      </c>
      <c r="T369" s="25" t="str">
        <f aca="false">IF(AT369="","","")</f>
        <v/>
      </c>
      <c r="U369" s="25" t="str">
        <f aca="false">IF(AT369="","",0)</f>
        <v/>
      </c>
      <c r="V369" s="25" t="str">
        <f aca="false">IF(AT369="","",0)</f>
        <v/>
      </c>
      <c r="W369" s="25" t="str">
        <f aca="false">IF(AT369="","","")</f>
        <v/>
      </c>
      <c r="X369" s="25" t="str">
        <f aca="false">IF(AT369="","",0)</f>
        <v/>
      </c>
      <c r="Y369" s="25" t="str">
        <f aca="false">IF(AT369="","",0)</f>
        <v/>
      </c>
      <c r="Z369" s="25" t="str">
        <f aca="false">IF(AT369="","",ROUNDDOWN(SUMIF(入力シート!$Q$5:$Q$204,INDEX(入力シート!$Q$5:$Q$204,AT369),入力シート!$P$5:$P$204)*IF(INDEX(入力シート!$L$5:$L$204,AT369)=13,0.1,IF(INDEX(入力シート!$L$5:$L$204,AT369)=30,0.08,0)),0))</f>
        <v/>
      </c>
      <c r="AA369" s="25" t="str">
        <f aca="false">IF(AT369="","","")</f>
        <v/>
      </c>
      <c r="AB369" s="25" t="str">
        <f aca="false">IF(AT369="","",0)</f>
        <v/>
      </c>
      <c r="AC369" s="25" t="str">
        <f aca="false">IF(AT369="","",0)</f>
        <v/>
      </c>
      <c r="AD369" s="25" t="str">
        <f aca="false">IF(AT369="","",0)</f>
        <v/>
      </c>
      <c r="AE369" s="25" t="str">
        <f aca="false">IF(AT369="","","")</f>
        <v/>
      </c>
      <c r="AF369" s="25" t="str">
        <f aca="false">IF(AT369="","",0)</f>
        <v/>
      </c>
      <c r="AG369" s="25" t="str">
        <f aca="false">IF(AT369="","",0)</f>
        <v/>
      </c>
      <c r="AH369" s="25" t="str">
        <f aca="false">IF(AT369="","","")</f>
        <v/>
      </c>
      <c r="AI369" s="25" t="str">
        <f aca="false">IF(AT369="","","")</f>
        <v/>
      </c>
      <c r="AJ369" s="25" t="str">
        <f aca="false">IF(AT369="","","")</f>
        <v/>
      </c>
      <c r="AK369" s="25" t="str">
        <f aca="false">IF(AT369="","",2)</f>
        <v/>
      </c>
      <c r="AL369" s="25" t="str">
        <f aca="false">IF(AT369="","","")</f>
        <v/>
      </c>
      <c r="AM369" s="25" t="str">
        <f aca="false">IF(AT369="","","")</f>
        <v/>
      </c>
      <c r="AN369" s="25" t="str">
        <f aca="false">IF(AT369="","",INDEX(入力シート!$C$5:$C$204,AT369))</f>
        <v/>
      </c>
      <c r="AO369" s="25" t="str">
        <f aca="false">IF(AT369="","","")</f>
        <v/>
      </c>
      <c r="AP369" s="25" t="str">
        <f aca="false">IF(AT369="","","")</f>
        <v/>
      </c>
      <c r="AQ369" s="25" t="str">
        <f aca="false">IF(AT369="","","")</f>
        <v/>
      </c>
      <c r="AT369" s="27" t="str">
        <f aca="false">IFERROR(MATCH(169,入力シート!$T$5:$T$204,0),"")</f>
        <v/>
      </c>
    </row>
    <row r="370" customFormat="false" ht="15" hidden="false" customHeight="true" outlineLevel="0" collapsed="false">
      <c r="A370" s="25" t="str">
        <f aca="false">IF(AT370="","",1)</f>
        <v/>
      </c>
      <c r="B370" s="25" t="str">
        <f aca="false">IF(AT370="","",1)</f>
        <v/>
      </c>
      <c r="C370" s="25" t="str">
        <f aca="false">IF(AT370="","",0)</f>
        <v/>
      </c>
      <c r="D370" s="25" t="str">
        <f aca="false">IF(AT370="","",TEXT(INDEX(入力シート!$A$5:$A$204,AT370),"YYYYMMDD"))</f>
        <v/>
      </c>
      <c r="E370" s="25" t="str">
        <f aca="false">IF(AT370="","",TEXT(INDEX(入力シート!$Q$5:$Q$204,AT370),"00000000"))</f>
        <v/>
      </c>
      <c r="F370" s="25" t="str">
        <f aca="false">IF(AT370="","",14)</f>
        <v/>
      </c>
      <c r="G370" s="25" t="str">
        <f aca="false">IF(AT370="","",1)</f>
        <v/>
      </c>
      <c r="H370" s="25" t="str">
        <f aca="false">IF(AT370="","",1)</f>
        <v/>
      </c>
      <c r="I370" s="25" t="str">
        <f aca="false">IF(AT370="","",3)</f>
        <v/>
      </c>
      <c r="J370" s="25" t="str">
        <f aca="false">IF(AT370="","",1)</f>
        <v/>
      </c>
      <c r="K370" s="25" t="str">
        <f aca="false">IF(AT370="","",INDEX(入力シート!$B$5:$B$204,AT370))</f>
        <v/>
      </c>
      <c r="L370" s="25" t="str">
        <f aca="false">IF(AT370="","","")</f>
        <v/>
      </c>
      <c r="M370" s="25" t="str">
        <f aca="false">IF(AT370="","","")</f>
        <v/>
      </c>
      <c r="N370" s="25" t="str">
        <f aca="false">IF(AT370="","",COUNTIF(入力シート!$Q$5:$Q$204,INDEX(入力シート!$Q$5:$Q$204,AT370))+1)</f>
        <v/>
      </c>
      <c r="O370" s="25" t="str">
        <f aca="false">IF(AT370="","",99)</f>
        <v/>
      </c>
      <c r="P370" s="25" t="str">
        <f aca="false">IF(AT370="","","")</f>
        <v/>
      </c>
      <c r="Q370" s="25" t="str">
        <f aca="false">IF(AT370="","","")</f>
        <v/>
      </c>
      <c r="R370" s="25" t="str">
        <f aca="false">IF(AT370="","","消費税")</f>
        <v/>
      </c>
      <c r="S370" s="25" t="str">
        <f aca="false">IF(AT370="","",0)</f>
        <v/>
      </c>
      <c r="T370" s="25" t="str">
        <f aca="false">IF(AT370="","","")</f>
        <v/>
      </c>
      <c r="U370" s="25" t="str">
        <f aca="false">IF(AT370="","",0)</f>
        <v/>
      </c>
      <c r="V370" s="25" t="str">
        <f aca="false">IF(AT370="","",0)</f>
        <v/>
      </c>
      <c r="W370" s="25" t="str">
        <f aca="false">IF(AT370="","","")</f>
        <v/>
      </c>
      <c r="X370" s="25" t="str">
        <f aca="false">IF(AT370="","",0)</f>
        <v/>
      </c>
      <c r="Y370" s="25" t="str">
        <f aca="false">IF(AT370="","",0)</f>
        <v/>
      </c>
      <c r="Z370" s="25" t="str">
        <f aca="false">IF(AT370="","",ROUNDDOWN(SUMIF(入力シート!$Q$5:$Q$204,INDEX(入力シート!$Q$5:$Q$204,AT370),入力シート!$P$5:$P$204)*IF(INDEX(入力シート!$L$5:$L$204,AT370)=13,0.1,IF(INDEX(入力シート!$L$5:$L$204,AT370)=30,0.08,0)),0))</f>
        <v/>
      </c>
      <c r="AA370" s="25" t="str">
        <f aca="false">IF(AT370="","","")</f>
        <v/>
      </c>
      <c r="AB370" s="25" t="str">
        <f aca="false">IF(AT370="","",0)</f>
        <v/>
      </c>
      <c r="AC370" s="25" t="str">
        <f aca="false">IF(AT370="","",0)</f>
        <v/>
      </c>
      <c r="AD370" s="25" t="str">
        <f aca="false">IF(AT370="","",0)</f>
        <v/>
      </c>
      <c r="AE370" s="25" t="str">
        <f aca="false">IF(AT370="","","")</f>
        <v/>
      </c>
      <c r="AF370" s="25" t="str">
        <f aca="false">IF(AT370="","",0)</f>
        <v/>
      </c>
      <c r="AG370" s="25" t="str">
        <f aca="false">IF(AT370="","",0)</f>
        <v/>
      </c>
      <c r="AH370" s="25" t="str">
        <f aca="false">IF(AT370="","","")</f>
        <v/>
      </c>
      <c r="AI370" s="25" t="str">
        <f aca="false">IF(AT370="","","")</f>
        <v/>
      </c>
      <c r="AJ370" s="25" t="str">
        <f aca="false">IF(AT370="","","")</f>
        <v/>
      </c>
      <c r="AK370" s="25" t="str">
        <f aca="false">IF(AT370="","",2)</f>
        <v/>
      </c>
      <c r="AL370" s="25" t="str">
        <f aca="false">IF(AT370="","","")</f>
        <v/>
      </c>
      <c r="AM370" s="25" t="str">
        <f aca="false">IF(AT370="","","")</f>
        <v/>
      </c>
      <c r="AN370" s="25" t="str">
        <f aca="false">IF(AT370="","",INDEX(入力シート!$C$5:$C$204,AT370))</f>
        <v/>
      </c>
      <c r="AO370" s="25" t="str">
        <f aca="false">IF(AT370="","","")</f>
        <v/>
      </c>
      <c r="AP370" s="25" t="str">
        <f aca="false">IF(AT370="","","")</f>
        <v/>
      </c>
      <c r="AQ370" s="25" t="str">
        <f aca="false">IF(AT370="","","")</f>
        <v/>
      </c>
      <c r="AT370" s="27" t="str">
        <f aca="false">IFERROR(MATCH(170,入力シート!$T$5:$T$204,0),"")</f>
        <v/>
      </c>
    </row>
    <row r="371" customFormat="false" ht="15" hidden="false" customHeight="true" outlineLevel="0" collapsed="false">
      <c r="A371" s="25" t="str">
        <f aca="false">IF(AT371="","",1)</f>
        <v/>
      </c>
      <c r="B371" s="25" t="str">
        <f aca="false">IF(AT371="","",1)</f>
        <v/>
      </c>
      <c r="C371" s="25" t="str">
        <f aca="false">IF(AT371="","",0)</f>
        <v/>
      </c>
      <c r="D371" s="25" t="str">
        <f aca="false">IF(AT371="","",TEXT(INDEX(入力シート!$A$5:$A$204,AT371),"YYYYMMDD"))</f>
        <v/>
      </c>
      <c r="E371" s="25" t="str">
        <f aca="false">IF(AT371="","",TEXT(INDEX(入力シート!$Q$5:$Q$204,AT371),"00000000"))</f>
        <v/>
      </c>
      <c r="F371" s="25" t="str">
        <f aca="false">IF(AT371="","",14)</f>
        <v/>
      </c>
      <c r="G371" s="25" t="str">
        <f aca="false">IF(AT371="","",1)</f>
        <v/>
      </c>
      <c r="H371" s="25" t="str">
        <f aca="false">IF(AT371="","",1)</f>
        <v/>
      </c>
      <c r="I371" s="25" t="str">
        <f aca="false">IF(AT371="","",3)</f>
        <v/>
      </c>
      <c r="J371" s="25" t="str">
        <f aca="false">IF(AT371="","",1)</f>
        <v/>
      </c>
      <c r="K371" s="25" t="str">
        <f aca="false">IF(AT371="","",INDEX(入力シート!$B$5:$B$204,AT371))</f>
        <v/>
      </c>
      <c r="L371" s="25" t="str">
        <f aca="false">IF(AT371="","","")</f>
        <v/>
      </c>
      <c r="M371" s="25" t="str">
        <f aca="false">IF(AT371="","","")</f>
        <v/>
      </c>
      <c r="N371" s="25" t="str">
        <f aca="false">IF(AT371="","",COUNTIF(入力シート!$Q$5:$Q$204,INDEX(入力シート!$Q$5:$Q$204,AT371))+1)</f>
        <v/>
      </c>
      <c r="O371" s="25" t="str">
        <f aca="false">IF(AT371="","",99)</f>
        <v/>
      </c>
      <c r="P371" s="25" t="str">
        <f aca="false">IF(AT371="","","")</f>
        <v/>
      </c>
      <c r="Q371" s="25" t="str">
        <f aca="false">IF(AT371="","","")</f>
        <v/>
      </c>
      <c r="R371" s="25" t="str">
        <f aca="false">IF(AT371="","","消費税")</f>
        <v/>
      </c>
      <c r="S371" s="25" t="str">
        <f aca="false">IF(AT371="","",0)</f>
        <v/>
      </c>
      <c r="T371" s="25" t="str">
        <f aca="false">IF(AT371="","","")</f>
        <v/>
      </c>
      <c r="U371" s="25" t="str">
        <f aca="false">IF(AT371="","",0)</f>
        <v/>
      </c>
      <c r="V371" s="25" t="str">
        <f aca="false">IF(AT371="","",0)</f>
        <v/>
      </c>
      <c r="W371" s="25" t="str">
        <f aca="false">IF(AT371="","","")</f>
        <v/>
      </c>
      <c r="X371" s="25" t="str">
        <f aca="false">IF(AT371="","",0)</f>
        <v/>
      </c>
      <c r="Y371" s="25" t="str">
        <f aca="false">IF(AT371="","",0)</f>
        <v/>
      </c>
      <c r="Z371" s="25" t="str">
        <f aca="false">IF(AT371="","",ROUNDDOWN(SUMIF(入力シート!$Q$5:$Q$204,INDEX(入力シート!$Q$5:$Q$204,AT371),入力シート!$P$5:$P$204)*IF(INDEX(入力シート!$L$5:$L$204,AT371)=13,0.1,IF(INDEX(入力シート!$L$5:$L$204,AT371)=30,0.08,0)),0))</f>
        <v/>
      </c>
      <c r="AA371" s="25" t="str">
        <f aca="false">IF(AT371="","","")</f>
        <v/>
      </c>
      <c r="AB371" s="25" t="str">
        <f aca="false">IF(AT371="","",0)</f>
        <v/>
      </c>
      <c r="AC371" s="25" t="str">
        <f aca="false">IF(AT371="","",0)</f>
        <v/>
      </c>
      <c r="AD371" s="25" t="str">
        <f aca="false">IF(AT371="","",0)</f>
        <v/>
      </c>
      <c r="AE371" s="25" t="str">
        <f aca="false">IF(AT371="","","")</f>
        <v/>
      </c>
      <c r="AF371" s="25" t="str">
        <f aca="false">IF(AT371="","",0)</f>
        <v/>
      </c>
      <c r="AG371" s="25" t="str">
        <f aca="false">IF(AT371="","",0)</f>
        <v/>
      </c>
      <c r="AH371" s="25" t="str">
        <f aca="false">IF(AT371="","","")</f>
        <v/>
      </c>
      <c r="AI371" s="25" t="str">
        <f aca="false">IF(AT371="","","")</f>
        <v/>
      </c>
      <c r="AJ371" s="25" t="str">
        <f aca="false">IF(AT371="","","")</f>
        <v/>
      </c>
      <c r="AK371" s="25" t="str">
        <f aca="false">IF(AT371="","",2)</f>
        <v/>
      </c>
      <c r="AL371" s="25" t="str">
        <f aca="false">IF(AT371="","","")</f>
        <v/>
      </c>
      <c r="AM371" s="25" t="str">
        <f aca="false">IF(AT371="","","")</f>
        <v/>
      </c>
      <c r="AN371" s="25" t="str">
        <f aca="false">IF(AT371="","",INDEX(入力シート!$C$5:$C$204,AT371))</f>
        <v/>
      </c>
      <c r="AO371" s="25" t="str">
        <f aca="false">IF(AT371="","","")</f>
        <v/>
      </c>
      <c r="AP371" s="25" t="str">
        <f aca="false">IF(AT371="","","")</f>
        <v/>
      </c>
      <c r="AQ371" s="25" t="str">
        <f aca="false">IF(AT371="","","")</f>
        <v/>
      </c>
      <c r="AT371" s="27" t="str">
        <f aca="false">IFERROR(MATCH(171,入力シート!$T$5:$T$204,0),"")</f>
        <v/>
      </c>
    </row>
    <row r="372" customFormat="false" ht="15" hidden="false" customHeight="true" outlineLevel="0" collapsed="false">
      <c r="A372" s="25" t="str">
        <f aca="false">IF(AT372="","",1)</f>
        <v/>
      </c>
      <c r="B372" s="25" t="str">
        <f aca="false">IF(AT372="","",1)</f>
        <v/>
      </c>
      <c r="C372" s="25" t="str">
        <f aca="false">IF(AT372="","",0)</f>
        <v/>
      </c>
      <c r="D372" s="25" t="str">
        <f aca="false">IF(AT372="","",TEXT(INDEX(入力シート!$A$5:$A$204,AT372),"YYYYMMDD"))</f>
        <v/>
      </c>
      <c r="E372" s="25" t="str">
        <f aca="false">IF(AT372="","",TEXT(INDEX(入力シート!$Q$5:$Q$204,AT372),"00000000"))</f>
        <v/>
      </c>
      <c r="F372" s="25" t="str">
        <f aca="false">IF(AT372="","",14)</f>
        <v/>
      </c>
      <c r="G372" s="25" t="str">
        <f aca="false">IF(AT372="","",1)</f>
        <v/>
      </c>
      <c r="H372" s="25" t="str">
        <f aca="false">IF(AT372="","",1)</f>
        <v/>
      </c>
      <c r="I372" s="25" t="str">
        <f aca="false">IF(AT372="","",3)</f>
        <v/>
      </c>
      <c r="J372" s="25" t="str">
        <f aca="false">IF(AT372="","",1)</f>
        <v/>
      </c>
      <c r="K372" s="25" t="str">
        <f aca="false">IF(AT372="","",INDEX(入力シート!$B$5:$B$204,AT372))</f>
        <v/>
      </c>
      <c r="L372" s="25" t="str">
        <f aca="false">IF(AT372="","","")</f>
        <v/>
      </c>
      <c r="M372" s="25" t="str">
        <f aca="false">IF(AT372="","","")</f>
        <v/>
      </c>
      <c r="N372" s="25" t="str">
        <f aca="false">IF(AT372="","",COUNTIF(入力シート!$Q$5:$Q$204,INDEX(入力シート!$Q$5:$Q$204,AT372))+1)</f>
        <v/>
      </c>
      <c r="O372" s="25" t="str">
        <f aca="false">IF(AT372="","",99)</f>
        <v/>
      </c>
      <c r="P372" s="25" t="str">
        <f aca="false">IF(AT372="","","")</f>
        <v/>
      </c>
      <c r="Q372" s="25" t="str">
        <f aca="false">IF(AT372="","","")</f>
        <v/>
      </c>
      <c r="R372" s="25" t="str">
        <f aca="false">IF(AT372="","","消費税")</f>
        <v/>
      </c>
      <c r="S372" s="25" t="str">
        <f aca="false">IF(AT372="","",0)</f>
        <v/>
      </c>
      <c r="T372" s="25" t="str">
        <f aca="false">IF(AT372="","","")</f>
        <v/>
      </c>
      <c r="U372" s="25" t="str">
        <f aca="false">IF(AT372="","",0)</f>
        <v/>
      </c>
      <c r="V372" s="25" t="str">
        <f aca="false">IF(AT372="","",0)</f>
        <v/>
      </c>
      <c r="W372" s="25" t="str">
        <f aca="false">IF(AT372="","","")</f>
        <v/>
      </c>
      <c r="X372" s="25" t="str">
        <f aca="false">IF(AT372="","",0)</f>
        <v/>
      </c>
      <c r="Y372" s="25" t="str">
        <f aca="false">IF(AT372="","",0)</f>
        <v/>
      </c>
      <c r="Z372" s="25" t="str">
        <f aca="false">IF(AT372="","",ROUNDDOWN(SUMIF(入力シート!$Q$5:$Q$204,INDEX(入力シート!$Q$5:$Q$204,AT372),入力シート!$P$5:$P$204)*IF(INDEX(入力シート!$L$5:$L$204,AT372)=13,0.1,IF(INDEX(入力シート!$L$5:$L$204,AT372)=30,0.08,0)),0))</f>
        <v/>
      </c>
      <c r="AA372" s="25" t="str">
        <f aca="false">IF(AT372="","","")</f>
        <v/>
      </c>
      <c r="AB372" s="25" t="str">
        <f aca="false">IF(AT372="","",0)</f>
        <v/>
      </c>
      <c r="AC372" s="25" t="str">
        <f aca="false">IF(AT372="","",0)</f>
        <v/>
      </c>
      <c r="AD372" s="25" t="str">
        <f aca="false">IF(AT372="","",0)</f>
        <v/>
      </c>
      <c r="AE372" s="25" t="str">
        <f aca="false">IF(AT372="","","")</f>
        <v/>
      </c>
      <c r="AF372" s="25" t="str">
        <f aca="false">IF(AT372="","",0)</f>
        <v/>
      </c>
      <c r="AG372" s="25" t="str">
        <f aca="false">IF(AT372="","",0)</f>
        <v/>
      </c>
      <c r="AH372" s="25" t="str">
        <f aca="false">IF(AT372="","","")</f>
        <v/>
      </c>
      <c r="AI372" s="25" t="str">
        <f aca="false">IF(AT372="","","")</f>
        <v/>
      </c>
      <c r="AJ372" s="25" t="str">
        <f aca="false">IF(AT372="","","")</f>
        <v/>
      </c>
      <c r="AK372" s="25" t="str">
        <f aca="false">IF(AT372="","",2)</f>
        <v/>
      </c>
      <c r="AL372" s="25" t="str">
        <f aca="false">IF(AT372="","","")</f>
        <v/>
      </c>
      <c r="AM372" s="25" t="str">
        <f aca="false">IF(AT372="","","")</f>
        <v/>
      </c>
      <c r="AN372" s="25" t="str">
        <f aca="false">IF(AT372="","",INDEX(入力シート!$C$5:$C$204,AT372))</f>
        <v/>
      </c>
      <c r="AO372" s="25" t="str">
        <f aca="false">IF(AT372="","","")</f>
        <v/>
      </c>
      <c r="AP372" s="25" t="str">
        <f aca="false">IF(AT372="","","")</f>
        <v/>
      </c>
      <c r="AQ372" s="25" t="str">
        <f aca="false">IF(AT372="","","")</f>
        <v/>
      </c>
      <c r="AT372" s="27" t="str">
        <f aca="false">IFERROR(MATCH(172,入力シート!$T$5:$T$204,0),"")</f>
        <v/>
      </c>
    </row>
    <row r="373" customFormat="false" ht="15" hidden="false" customHeight="true" outlineLevel="0" collapsed="false">
      <c r="A373" s="25" t="str">
        <f aca="false">IF(AT373="","",1)</f>
        <v/>
      </c>
      <c r="B373" s="25" t="str">
        <f aca="false">IF(AT373="","",1)</f>
        <v/>
      </c>
      <c r="C373" s="25" t="str">
        <f aca="false">IF(AT373="","",0)</f>
        <v/>
      </c>
      <c r="D373" s="25" t="str">
        <f aca="false">IF(AT373="","",TEXT(INDEX(入力シート!$A$5:$A$204,AT373),"YYYYMMDD"))</f>
        <v/>
      </c>
      <c r="E373" s="25" t="str">
        <f aca="false">IF(AT373="","",TEXT(INDEX(入力シート!$Q$5:$Q$204,AT373),"00000000"))</f>
        <v/>
      </c>
      <c r="F373" s="25" t="str">
        <f aca="false">IF(AT373="","",14)</f>
        <v/>
      </c>
      <c r="G373" s="25" t="str">
        <f aca="false">IF(AT373="","",1)</f>
        <v/>
      </c>
      <c r="H373" s="25" t="str">
        <f aca="false">IF(AT373="","",1)</f>
        <v/>
      </c>
      <c r="I373" s="25" t="str">
        <f aca="false">IF(AT373="","",3)</f>
        <v/>
      </c>
      <c r="J373" s="25" t="str">
        <f aca="false">IF(AT373="","",1)</f>
        <v/>
      </c>
      <c r="K373" s="25" t="str">
        <f aca="false">IF(AT373="","",INDEX(入力シート!$B$5:$B$204,AT373))</f>
        <v/>
      </c>
      <c r="L373" s="25" t="str">
        <f aca="false">IF(AT373="","","")</f>
        <v/>
      </c>
      <c r="M373" s="25" t="str">
        <f aca="false">IF(AT373="","","")</f>
        <v/>
      </c>
      <c r="N373" s="25" t="str">
        <f aca="false">IF(AT373="","",COUNTIF(入力シート!$Q$5:$Q$204,INDEX(入力シート!$Q$5:$Q$204,AT373))+1)</f>
        <v/>
      </c>
      <c r="O373" s="25" t="str">
        <f aca="false">IF(AT373="","",99)</f>
        <v/>
      </c>
      <c r="P373" s="25" t="str">
        <f aca="false">IF(AT373="","","")</f>
        <v/>
      </c>
      <c r="Q373" s="25" t="str">
        <f aca="false">IF(AT373="","","")</f>
        <v/>
      </c>
      <c r="R373" s="25" t="str">
        <f aca="false">IF(AT373="","","消費税")</f>
        <v/>
      </c>
      <c r="S373" s="25" t="str">
        <f aca="false">IF(AT373="","",0)</f>
        <v/>
      </c>
      <c r="T373" s="25" t="str">
        <f aca="false">IF(AT373="","","")</f>
        <v/>
      </c>
      <c r="U373" s="25" t="str">
        <f aca="false">IF(AT373="","",0)</f>
        <v/>
      </c>
      <c r="V373" s="25" t="str">
        <f aca="false">IF(AT373="","",0)</f>
        <v/>
      </c>
      <c r="W373" s="25" t="str">
        <f aca="false">IF(AT373="","","")</f>
        <v/>
      </c>
      <c r="X373" s="25" t="str">
        <f aca="false">IF(AT373="","",0)</f>
        <v/>
      </c>
      <c r="Y373" s="25" t="str">
        <f aca="false">IF(AT373="","",0)</f>
        <v/>
      </c>
      <c r="Z373" s="25" t="str">
        <f aca="false">IF(AT373="","",ROUNDDOWN(SUMIF(入力シート!$Q$5:$Q$204,INDEX(入力シート!$Q$5:$Q$204,AT373),入力シート!$P$5:$P$204)*IF(INDEX(入力シート!$L$5:$L$204,AT373)=13,0.1,IF(INDEX(入力シート!$L$5:$L$204,AT373)=30,0.08,0)),0))</f>
        <v/>
      </c>
      <c r="AA373" s="25" t="str">
        <f aca="false">IF(AT373="","","")</f>
        <v/>
      </c>
      <c r="AB373" s="25" t="str">
        <f aca="false">IF(AT373="","",0)</f>
        <v/>
      </c>
      <c r="AC373" s="25" t="str">
        <f aca="false">IF(AT373="","",0)</f>
        <v/>
      </c>
      <c r="AD373" s="25" t="str">
        <f aca="false">IF(AT373="","",0)</f>
        <v/>
      </c>
      <c r="AE373" s="25" t="str">
        <f aca="false">IF(AT373="","","")</f>
        <v/>
      </c>
      <c r="AF373" s="25" t="str">
        <f aca="false">IF(AT373="","",0)</f>
        <v/>
      </c>
      <c r="AG373" s="25" t="str">
        <f aca="false">IF(AT373="","",0)</f>
        <v/>
      </c>
      <c r="AH373" s="25" t="str">
        <f aca="false">IF(AT373="","","")</f>
        <v/>
      </c>
      <c r="AI373" s="25" t="str">
        <f aca="false">IF(AT373="","","")</f>
        <v/>
      </c>
      <c r="AJ373" s="25" t="str">
        <f aca="false">IF(AT373="","","")</f>
        <v/>
      </c>
      <c r="AK373" s="25" t="str">
        <f aca="false">IF(AT373="","",2)</f>
        <v/>
      </c>
      <c r="AL373" s="25" t="str">
        <f aca="false">IF(AT373="","","")</f>
        <v/>
      </c>
      <c r="AM373" s="25" t="str">
        <f aca="false">IF(AT373="","","")</f>
        <v/>
      </c>
      <c r="AN373" s="25" t="str">
        <f aca="false">IF(AT373="","",INDEX(入力シート!$C$5:$C$204,AT373))</f>
        <v/>
      </c>
      <c r="AO373" s="25" t="str">
        <f aca="false">IF(AT373="","","")</f>
        <v/>
      </c>
      <c r="AP373" s="25" t="str">
        <f aca="false">IF(AT373="","","")</f>
        <v/>
      </c>
      <c r="AQ373" s="25" t="str">
        <f aca="false">IF(AT373="","","")</f>
        <v/>
      </c>
      <c r="AT373" s="27" t="str">
        <f aca="false">IFERROR(MATCH(173,入力シート!$T$5:$T$204,0),"")</f>
        <v/>
      </c>
    </row>
    <row r="374" customFormat="false" ht="15" hidden="false" customHeight="true" outlineLevel="0" collapsed="false">
      <c r="A374" s="25" t="str">
        <f aca="false">IF(AT374="","",1)</f>
        <v/>
      </c>
      <c r="B374" s="25" t="str">
        <f aca="false">IF(AT374="","",1)</f>
        <v/>
      </c>
      <c r="C374" s="25" t="str">
        <f aca="false">IF(AT374="","",0)</f>
        <v/>
      </c>
      <c r="D374" s="25" t="str">
        <f aca="false">IF(AT374="","",TEXT(INDEX(入力シート!$A$5:$A$204,AT374),"YYYYMMDD"))</f>
        <v/>
      </c>
      <c r="E374" s="25" t="str">
        <f aca="false">IF(AT374="","",TEXT(INDEX(入力シート!$Q$5:$Q$204,AT374),"00000000"))</f>
        <v/>
      </c>
      <c r="F374" s="25" t="str">
        <f aca="false">IF(AT374="","",14)</f>
        <v/>
      </c>
      <c r="G374" s="25" t="str">
        <f aca="false">IF(AT374="","",1)</f>
        <v/>
      </c>
      <c r="H374" s="25" t="str">
        <f aca="false">IF(AT374="","",1)</f>
        <v/>
      </c>
      <c r="I374" s="25" t="str">
        <f aca="false">IF(AT374="","",3)</f>
        <v/>
      </c>
      <c r="J374" s="25" t="str">
        <f aca="false">IF(AT374="","",1)</f>
        <v/>
      </c>
      <c r="K374" s="25" t="str">
        <f aca="false">IF(AT374="","",INDEX(入力シート!$B$5:$B$204,AT374))</f>
        <v/>
      </c>
      <c r="L374" s="25" t="str">
        <f aca="false">IF(AT374="","","")</f>
        <v/>
      </c>
      <c r="M374" s="25" t="str">
        <f aca="false">IF(AT374="","","")</f>
        <v/>
      </c>
      <c r="N374" s="25" t="str">
        <f aca="false">IF(AT374="","",COUNTIF(入力シート!$Q$5:$Q$204,INDEX(入力シート!$Q$5:$Q$204,AT374))+1)</f>
        <v/>
      </c>
      <c r="O374" s="25" t="str">
        <f aca="false">IF(AT374="","",99)</f>
        <v/>
      </c>
      <c r="P374" s="25" t="str">
        <f aca="false">IF(AT374="","","")</f>
        <v/>
      </c>
      <c r="Q374" s="25" t="str">
        <f aca="false">IF(AT374="","","")</f>
        <v/>
      </c>
      <c r="R374" s="25" t="str">
        <f aca="false">IF(AT374="","","消費税")</f>
        <v/>
      </c>
      <c r="S374" s="25" t="str">
        <f aca="false">IF(AT374="","",0)</f>
        <v/>
      </c>
      <c r="T374" s="25" t="str">
        <f aca="false">IF(AT374="","","")</f>
        <v/>
      </c>
      <c r="U374" s="25" t="str">
        <f aca="false">IF(AT374="","",0)</f>
        <v/>
      </c>
      <c r="V374" s="25" t="str">
        <f aca="false">IF(AT374="","",0)</f>
        <v/>
      </c>
      <c r="W374" s="25" t="str">
        <f aca="false">IF(AT374="","","")</f>
        <v/>
      </c>
      <c r="X374" s="25" t="str">
        <f aca="false">IF(AT374="","",0)</f>
        <v/>
      </c>
      <c r="Y374" s="25" t="str">
        <f aca="false">IF(AT374="","",0)</f>
        <v/>
      </c>
      <c r="Z374" s="25" t="str">
        <f aca="false">IF(AT374="","",ROUNDDOWN(SUMIF(入力シート!$Q$5:$Q$204,INDEX(入力シート!$Q$5:$Q$204,AT374),入力シート!$P$5:$P$204)*IF(INDEX(入力シート!$L$5:$L$204,AT374)=13,0.1,IF(INDEX(入力シート!$L$5:$L$204,AT374)=30,0.08,0)),0))</f>
        <v/>
      </c>
      <c r="AA374" s="25" t="str">
        <f aca="false">IF(AT374="","","")</f>
        <v/>
      </c>
      <c r="AB374" s="25" t="str">
        <f aca="false">IF(AT374="","",0)</f>
        <v/>
      </c>
      <c r="AC374" s="25" t="str">
        <f aca="false">IF(AT374="","",0)</f>
        <v/>
      </c>
      <c r="AD374" s="25" t="str">
        <f aca="false">IF(AT374="","",0)</f>
        <v/>
      </c>
      <c r="AE374" s="25" t="str">
        <f aca="false">IF(AT374="","","")</f>
        <v/>
      </c>
      <c r="AF374" s="25" t="str">
        <f aca="false">IF(AT374="","",0)</f>
        <v/>
      </c>
      <c r="AG374" s="25" t="str">
        <f aca="false">IF(AT374="","",0)</f>
        <v/>
      </c>
      <c r="AH374" s="25" t="str">
        <f aca="false">IF(AT374="","","")</f>
        <v/>
      </c>
      <c r="AI374" s="25" t="str">
        <f aca="false">IF(AT374="","","")</f>
        <v/>
      </c>
      <c r="AJ374" s="25" t="str">
        <f aca="false">IF(AT374="","","")</f>
        <v/>
      </c>
      <c r="AK374" s="25" t="str">
        <f aca="false">IF(AT374="","",2)</f>
        <v/>
      </c>
      <c r="AL374" s="25" t="str">
        <f aca="false">IF(AT374="","","")</f>
        <v/>
      </c>
      <c r="AM374" s="25" t="str">
        <f aca="false">IF(AT374="","","")</f>
        <v/>
      </c>
      <c r="AN374" s="25" t="str">
        <f aca="false">IF(AT374="","",INDEX(入力シート!$C$5:$C$204,AT374))</f>
        <v/>
      </c>
      <c r="AO374" s="25" t="str">
        <f aca="false">IF(AT374="","","")</f>
        <v/>
      </c>
      <c r="AP374" s="25" t="str">
        <f aca="false">IF(AT374="","","")</f>
        <v/>
      </c>
      <c r="AQ374" s="25" t="str">
        <f aca="false">IF(AT374="","","")</f>
        <v/>
      </c>
      <c r="AT374" s="27" t="str">
        <f aca="false">IFERROR(MATCH(174,入力シート!$T$5:$T$204,0),"")</f>
        <v/>
      </c>
    </row>
    <row r="375" customFormat="false" ht="15" hidden="false" customHeight="true" outlineLevel="0" collapsed="false">
      <c r="A375" s="25" t="str">
        <f aca="false">IF(AT375="","",1)</f>
        <v/>
      </c>
      <c r="B375" s="25" t="str">
        <f aca="false">IF(AT375="","",1)</f>
        <v/>
      </c>
      <c r="C375" s="25" t="str">
        <f aca="false">IF(AT375="","",0)</f>
        <v/>
      </c>
      <c r="D375" s="25" t="str">
        <f aca="false">IF(AT375="","",TEXT(INDEX(入力シート!$A$5:$A$204,AT375),"YYYYMMDD"))</f>
        <v/>
      </c>
      <c r="E375" s="25" t="str">
        <f aca="false">IF(AT375="","",TEXT(INDEX(入力シート!$Q$5:$Q$204,AT375),"00000000"))</f>
        <v/>
      </c>
      <c r="F375" s="25" t="str">
        <f aca="false">IF(AT375="","",14)</f>
        <v/>
      </c>
      <c r="G375" s="25" t="str">
        <f aca="false">IF(AT375="","",1)</f>
        <v/>
      </c>
      <c r="H375" s="25" t="str">
        <f aca="false">IF(AT375="","",1)</f>
        <v/>
      </c>
      <c r="I375" s="25" t="str">
        <f aca="false">IF(AT375="","",3)</f>
        <v/>
      </c>
      <c r="J375" s="25" t="str">
        <f aca="false">IF(AT375="","",1)</f>
        <v/>
      </c>
      <c r="K375" s="25" t="str">
        <f aca="false">IF(AT375="","",INDEX(入力シート!$B$5:$B$204,AT375))</f>
        <v/>
      </c>
      <c r="L375" s="25" t="str">
        <f aca="false">IF(AT375="","","")</f>
        <v/>
      </c>
      <c r="M375" s="25" t="str">
        <f aca="false">IF(AT375="","","")</f>
        <v/>
      </c>
      <c r="N375" s="25" t="str">
        <f aca="false">IF(AT375="","",COUNTIF(入力シート!$Q$5:$Q$204,INDEX(入力シート!$Q$5:$Q$204,AT375))+1)</f>
        <v/>
      </c>
      <c r="O375" s="25" t="str">
        <f aca="false">IF(AT375="","",99)</f>
        <v/>
      </c>
      <c r="P375" s="25" t="str">
        <f aca="false">IF(AT375="","","")</f>
        <v/>
      </c>
      <c r="Q375" s="25" t="str">
        <f aca="false">IF(AT375="","","")</f>
        <v/>
      </c>
      <c r="R375" s="25" t="str">
        <f aca="false">IF(AT375="","","消費税")</f>
        <v/>
      </c>
      <c r="S375" s="25" t="str">
        <f aca="false">IF(AT375="","",0)</f>
        <v/>
      </c>
      <c r="T375" s="25" t="str">
        <f aca="false">IF(AT375="","","")</f>
        <v/>
      </c>
      <c r="U375" s="25" t="str">
        <f aca="false">IF(AT375="","",0)</f>
        <v/>
      </c>
      <c r="V375" s="25" t="str">
        <f aca="false">IF(AT375="","",0)</f>
        <v/>
      </c>
      <c r="W375" s="25" t="str">
        <f aca="false">IF(AT375="","","")</f>
        <v/>
      </c>
      <c r="X375" s="25" t="str">
        <f aca="false">IF(AT375="","",0)</f>
        <v/>
      </c>
      <c r="Y375" s="25" t="str">
        <f aca="false">IF(AT375="","",0)</f>
        <v/>
      </c>
      <c r="Z375" s="25" t="str">
        <f aca="false">IF(AT375="","",ROUNDDOWN(SUMIF(入力シート!$Q$5:$Q$204,INDEX(入力シート!$Q$5:$Q$204,AT375),入力シート!$P$5:$P$204)*IF(INDEX(入力シート!$L$5:$L$204,AT375)=13,0.1,IF(INDEX(入力シート!$L$5:$L$204,AT375)=30,0.08,0)),0))</f>
        <v/>
      </c>
      <c r="AA375" s="25" t="str">
        <f aca="false">IF(AT375="","","")</f>
        <v/>
      </c>
      <c r="AB375" s="25" t="str">
        <f aca="false">IF(AT375="","",0)</f>
        <v/>
      </c>
      <c r="AC375" s="25" t="str">
        <f aca="false">IF(AT375="","",0)</f>
        <v/>
      </c>
      <c r="AD375" s="25" t="str">
        <f aca="false">IF(AT375="","",0)</f>
        <v/>
      </c>
      <c r="AE375" s="25" t="str">
        <f aca="false">IF(AT375="","","")</f>
        <v/>
      </c>
      <c r="AF375" s="25" t="str">
        <f aca="false">IF(AT375="","",0)</f>
        <v/>
      </c>
      <c r="AG375" s="25" t="str">
        <f aca="false">IF(AT375="","",0)</f>
        <v/>
      </c>
      <c r="AH375" s="25" t="str">
        <f aca="false">IF(AT375="","","")</f>
        <v/>
      </c>
      <c r="AI375" s="25" t="str">
        <f aca="false">IF(AT375="","","")</f>
        <v/>
      </c>
      <c r="AJ375" s="25" t="str">
        <f aca="false">IF(AT375="","","")</f>
        <v/>
      </c>
      <c r="AK375" s="25" t="str">
        <f aca="false">IF(AT375="","",2)</f>
        <v/>
      </c>
      <c r="AL375" s="25" t="str">
        <f aca="false">IF(AT375="","","")</f>
        <v/>
      </c>
      <c r="AM375" s="25" t="str">
        <f aca="false">IF(AT375="","","")</f>
        <v/>
      </c>
      <c r="AN375" s="25" t="str">
        <f aca="false">IF(AT375="","",INDEX(入力シート!$C$5:$C$204,AT375))</f>
        <v/>
      </c>
      <c r="AO375" s="25" t="str">
        <f aca="false">IF(AT375="","","")</f>
        <v/>
      </c>
      <c r="AP375" s="25" t="str">
        <f aca="false">IF(AT375="","","")</f>
        <v/>
      </c>
      <c r="AQ375" s="25" t="str">
        <f aca="false">IF(AT375="","","")</f>
        <v/>
      </c>
      <c r="AT375" s="27" t="str">
        <f aca="false">IFERROR(MATCH(175,入力シート!$T$5:$T$204,0),"")</f>
        <v/>
      </c>
    </row>
    <row r="376" customFormat="false" ht="15" hidden="false" customHeight="true" outlineLevel="0" collapsed="false">
      <c r="A376" s="25" t="str">
        <f aca="false">IF(AT376="","",1)</f>
        <v/>
      </c>
      <c r="B376" s="25" t="str">
        <f aca="false">IF(AT376="","",1)</f>
        <v/>
      </c>
      <c r="C376" s="25" t="str">
        <f aca="false">IF(AT376="","",0)</f>
        <v/>
      </c>
      <c r="D376" s="25" t="str">
        <f aca="false">IF(AT376="","",TEXT(INDEX(入力シート!$A$5:$A$204,AT376),"YYYYMMDD"))</f>
        <v/>
      </c>
      <c r="E376" s="25" t="str">
        <f aca="false">IF(AT376="","",TEXT(INDEX(入力シート!$Q$5:$Q$204,AT376),"00000000"))</f>
        <v/>
      </c>
      <c r="F376" s="25" t="str">
        <f aca="false">IF(AT376="","",14)</f>
        <v/>
      </c>
      <c r="G376" s="25" t="str">
        <f aca="false">IF(AT376="","",1)</f>
        <v/>
      </c>
      <c r="H376" s="25" t="str">
        <f aca="false">IF(AT376="","",1)</f>
        <v/>
      </c>
      <c r="I376" s="25" t="str">
        <f aca="false">IF(AT376="","",3)</f>
        <v/>
      </c>
      <c r="J376" s="25" t="str">
        <f aca="false">IF(AT376="","",1)</f>
        <v/>
      </c>
      <c r="K376" s="25" t="str">
        <f aca="false">IF(AT376="","",INDEX(入力シート!$B$5:$B$204,AT376))</f>
        <v/>
      </c>
      <c r="L376" s="25" t="str">
        <f aca="false">IF(AT376="","","")</f>
        <v/>
      </c>
      <c r="M376" s="25" t="str">
        <f aca="false">IF(AT376="","","")</f>
        <v/>
      </c>
      <c r="N376" s="25" t="str">
        <f aca="false">IF(AT376="","",COUNTIF(入力シート!$Q$5:$Q$204,INDEX(入力シート!$Q$5:$Q$204,AT376))+1)</f>
        <v/>
      </c>
      <c r="O376" s="25" t="str">
        <f aca="false">IF(AT376="","",99)</f>
        <v/>
      </c>
      <c r="P376" s="25" t="str">
        <f aca="false">IF(AT376="","","")</f>
        <v/>
      </c>
      <c r="Q376" s="25" t="str">
        <f aca="false">IF(AT376="","","")</f>
        <v/>
      </c>
      <c r="R376" s="25" t="str">
        <f aca="false">IF(AT376="","","消費税")</f>
        <v/>
      </c>
      <c r="S376" s="25" t="str">
        <f aca="false">IF(AT376="","",0)</f>
        <v/>
      </c>
      <c r="T376" s="25" t="str">
        <f aca="false">IF(AT376="","","")</f>
        <v/>
      </c>
      <c r="U376" s="25" t="str">
        <f aca="false">IF(AT376="","",0)</f>
        <v/>
      </c>
      <c r="V376" s="25" t="str">
        <f aca="false">IF(AT376="","",0)</f>
        <v/>
      </c>
      <c r="W376" s="25" t="str">
        <f aca="false">IF(AT376="","","")</f>
        <v/>
      </c>
      <c r="X376" s="25" t="str">
        <f aca="false">IF(AT376="","",0)</f>
        <v/>
      </c>
      <c r="Y376" s="25" t="str">
        <f aca="false">IF(AT376="","",0)</f>
        <v/>
      </c>
      <c r="Z376" s="25" t="str">
        <f aca="false">IF(AT376="","",ROUNDDOWN(SUMIF(入力シート!$Q$5:$Q$204,INDEX(入力シート!$Q$5:$Q$204,AT376),入力シート!$P$5:$P$204)*IF(INDEX(入力シート!$L$5:$L$204,AT376)=13,0.1,IF(INDEX(入力シート!$L$5:$L$204,AT376)=30,0.08,0)),0))</f>
        <v/>
      </c>
      <c r="AA376" s="25" t="str">
        <f aca="false">IF(AT376="","","")</f>
        <v/>
      </c>
      <c r="AB376" s="25" t="str">
        <f aca="false">IF(AT376="","",0)</f>
        <v/>
      </c>
      <c r="AC376" s="25" t="str">
        <f aca="false">IF(AT376="","",0)</f>
        <v/>
      </c>
      <c r="AD376" s="25" t="str">
        <f aca="false">IF(AT376="","",0)</f>
        <v/>
      </c>
      <c r="AE376" s="25" t="str">
        <f aca="false">IF(AT376="","","")</f>
        <v/>
      </c>
      <c r="AF376" s="25" t="str">
        <f aca="false">IF(AT376="","",0)</f>
        <v/>
      </c>
      <c r="AG376" s="25" t="str">
        <f aca="false">IF(AT376="","",0)</f>
        <v/>
      </c>
      <c r="AH376" s="25" t="str">
        <f aca="false">IF(AT376="","","")</f>
        <v/>
      </c>
      <c r="AI376" s="25" t="str">
        <f aca="false">IF(AT376="","","")</f>
        <v/>
      </c>
      <c r="AJ376" s="25" t="str">
        <f aca="false">IF(AT376="","","")</f>
        <v/>
      </c>
      <c r="AK376" s="25" t="str">
        <f aca="false">IF(AT376="","",2)</f>
        <v/>
      </c>
      <c r="AL376" s="25" t="str">
        <f aca="false">IF(AT376="","","")</f>
        <v/>
      </c>
      <c r="AM376" s="25" t="str">
        <f aca="false">IF(AT376="","","")</f>
        <v/>
      </c>
      <c r="AN376" s="25" t="str">
        <f aca="false">IF(AT376="","",INDEX(入力シート!$C$5:$C$204,AT376))</f>
        <v/>
      </c>
      <c r="AO376" s="25" t="str">
        <f aca="false">IF(AT376="","","")</f>
        <v/>
      </c>
      <c r="AP376" s="25" t="str">
        <f aca="false">IF(AT376="","","")</f>
        <v/>
      </c>
      <c r="AQ376" s="25" t="str">
        <f aca="false">IF(AT376="","","")</f>
        <v/>
      </c>
      <c r="AT376" s="27" t="str">
        <f aca="false">IFERROR(MATCH(176,入力シート!$T$5:$T$204,0),"")</f>
        <v/>
      </c>
    </row>
    <row r="377" customFormat="false" ht="15" hidden="false" customHeight="true" outlineLevel="0" collapsed="false">
      <c r="A377" s="25" t="str">
        <f aca="false">IF(AT377="","",1)</f>
        <v/>
      </c>
      <c r="B377" s="25" t="str">
        <f aca="false">IF(AT377="","",1)</f>
        <v/>
      </c>
      <c r="C377" s="25" t="str">
        <f aca="false">IF(AT377="","",0)</f>
        <v/>
      </c>
      <c r="D377" s="25" t="str">
        <f aca="false">IF(AT377="","",TEXT(INDEX(入力シート!$A$5:$A$204,AT377),"YYYYMMDD"))</f>
        <v/>
      </c>
      <c r="E377" s="25" t="str">
        <f aca="false">IF(AT377="","",TEXT(INDEX(入力シート!$Q$5:$Q$204,AT377),"00000000"))</f>
        <v/>
      </c>
      <c r="F377" s="25" t="str">
        <f aca="false">IF(AT377="","",14)</f>
        <v/>
      </c>
      <c r="G377" s="25" t="str">
        <f aca="false">IF(AT377="","",1)</f>
        <v/>
      </c>
      <c r="H377" s="25" t="str">
        <f aca="false">IF(AT377="","",1)</f>
        <v/>
      </c>
      <c r="I377" s="25" t="str">
        <f aca="false">IF(AT377="","",3)</f>
        <v/>
      </c>
      <c r="J377" s="25" t="str">
        <f aca="false">IF(AT377="","",1)</f>
        <v/>
      </c>
      <c r="K377" s="25" t="str">
        <f aca="false">IF(AT377="","",INDEX(入力シート!$B$5:$B$204,AT377))</f>
        <v/>
      </c>
      <c r="L377" s="25" t="str">
        <f aca="false">IF(AT377="","","")</f>
        <v/>
      </c>
      <c r="M377" s="25" t="str">
        <f aca="false">IF(AT377="","","")</f>
        <v/>
      </c>
      <c r="N377" s="25" t="str">
        <f aca="false">IF(AT377="","",COUNTIF(入力シート!$Q$5:$Q$204,INDEX(入力シート!$Q$5:$Q$204,AT377))+1)</f>
        <v/>
      </c>
      <c r="O377" s="25" t="str">
        <f aca="false">IF(AT377="","",99)</f>
        <v/>
      </c>
      <c r="P377" s="25" t="str">
        <f aca="false">IF(AT377="","","")</f>
        <v/>
      </c>
      <c r="Q377" s="25" t="str">
        <f aca="false">IF(AT377="","","")</f>
        <v/>
      </c>
      <c r="R377" s="25" t="str">
        <f aca="false">IF(AT377="","","消費税")</f>
        <v/>
      </c>
      <c r="S377" s="25" t="str">
        <f aca="false">IF(AT377="","",0)</f>
        <v/>
      </c>
      <c r="T377" s="25" t="str">
        <f aca="false">IF(AT377="","","")</f>
        <v/>
      </c>
      <c r="U377" s="25" t="str">
        <f aca="false">IF(AT377="","",0)</f>
        <v/>
      </c>
      <c r="V377" s="25" t="str">
        <f aca="false">IF(AT377="","",0)</f>
        <v/>
      </c>
      <c r="W377" s="25" t="str">
        <f aca="false">IF(AT377="","","")</f>
        <v/>
      </c>
      <c r="X377" s="25" t="str">
        <f aca="false">IF(AT377="","",0)</f>
        <v/>
      </c>
      <c r="Y377" s="25" t="str">
        <f aca="false">IF(AT377="","",0)</f>
        <v/>
      </c>
      <c r="Z377" s="25" t="str">
        <f aca="false">IF(AT377="","",ROUNDDOWN(SUMIF(入力シート!$Q$5:$Q$204,INDEX(入力シート!$Q$5:$Q$204,AT377),入力シート!$P$5:$P$204)*IF(INDEX(入力シート!$L$5:$L$204,AT377)=13,0.1,IF(INDEX(入力シート!$L$5:$L$204,AT377)=30,0.08,0)),0))</f>
        <v/>
      </c>
      <c r="AA377" s="25" t="str">
        <f aca="false">IF(AT377="","","")</f>
        <v/>
      </c>
      <c r="AB377" s="25" t="str">
        <f aca="false">IF(AT377="","",0)</f>
        <v/>
      </c>
      <c r="AC377" s="25" t="str">
        <f aca="false">IF(AT377="","",0)</f>
        <v/>
      </c>
      <c r="AD377" s="25" t="str">
        <f aca="false">IF(AT377="","",0)</f>
        <v/>
      </c>
      <c r="AE377" s="25" t="str">
        <f aca="false">IF(AT377="","","")</f>
        <v/>
      </c>
      <c r="AF377" s="25" t="str">
        <f aca="false">IF(AT377="","",0)</f>
        <v/>
      </c>
      <c r="AG377" s="25" t="str">
        <f aca="false">IF(AT377="","",0)</f>
        <v/>
      </c>
      <c r="AH377" s="25" t="str">
        <f aca="false">IF(AT377="","","")</f>
        <v/>
      </c>
      <c r="AI377" s="25" t="str">
        <f aca="false">IF(AT377="","","")</f>
        <v/>
      </c>
      <c r="AJ377" s="25" t="str">
        <f aca="false">IF(AT377="","","")</f>
        <v/>
      </c>
      <c r="AK377" s="25" t="str">
        <f aca="false">IF(AT377="","",2)</f>
        <v/>
      </c>
      <c r="AL377" s="25" t="str">
        <f aca="false">IF(AT377="","","")</f>
        <v/>
      </c>
      <c r="AM377" s="25" t="str">
        <f aca="false">IF(AT377="","","")</f>
        <v/>
      </c>
      <c r="AN377" s="25" t="str">
        <f aca="false">IF(AT377="","",INDEX(入力シート!$C$5:$C$204,AT377))</f>
        <v/>
      </c>
      <c r="AO377" s="25" t="str">
        <f aca="false">IF(AT377="","","")</f>
        <v/>
      </c>
      <c r="AP377" s="25" t="str">
        <f aca="false">IF(AT377="","","")</f>
        <v/>
      </c>
      <c r="AQ377" s="25" t="str">
        <f aca="false">IF(AT377="","","")</f>
        <v/>
      </c>
      <c r="AT377" s="27" t="str">
        <f aca="false">IFERROR(MATCH(177,入力シート!$T$5:$T$204,0),"")</f>
        <v/>
      </c>
    </row>
    <row r="378" customFormat="false" ht="15" hidden="false" customHeight="true" outlineLevel="0" collapsed="false">
      <c r="A378" s="25" t="str">
        <f aca="false">IF(AT378="","",1)</f>
        <v/>
      </c>
      <c r="B378" s="25" t="str">
        <f aca="false">IF(AT378="","",1)</f>
        <v/>
      </c>
      <c r="C378" s="25" t="str">
        <f aca="false">IF(AT378="","",0)</f>
        <v/>
      </c>
      <c r="D378" s="25" t="str">
        <f aca="false">IF(AT378="","",TEXT(INDEX(入力シート!$A$5:$A$204,AT378),"YYYYMMDD"))</f>
        <v/>
      </c>
      <c r="E378" s="25" t="str">
        <f aca="false">IF(AT378="","",TEXT(INDEX(入力シート!$Q$5:$Q$204,AT378),"00000000"))</f>
        <v/>
      </c>
      <c r="F378" s="25" t="str">
        <f aca="false">IF(AT378="","",14)</f>
        <v/>
      </c>
      <c r="G378" s="25" t="str">
        <f aca="false">IF(AT378="","",1)</f>
        <v/>
      </c>
      <c r="H378" s="25" t="str">
        <f aca="false">IF(AT378="","",1)</f>
        <v/>
      </c>
      <c r="I378" s="25" t="str">
        <f aca="false">IF(AT378="","",3)</f>
        <v/>
      </c>
      <c r="J378" s="25" t="str">
        <f aca="false">IF(AT378="","",1)</f>
        <v/>
      </c>
      <c r="K378" s="25" t="str">
        <f aca="false">IF(AT378="","",INDEX(入力シート!$B$5:$B$204,AT378))</f>
        <v/>
      </c>
      <c r="L378" s="25" t="str">
        <f aca="false">IF(AT378="","","")</f>
        <v/>
      </c>
      <c r="M378" s="25" t="str">
        <f aca="false">IF(AT378="","","")</f>
        <v/>
      </c>
      <c r="N378" s="25" t="str">
        <f aca="false">IF(AT378="","",COUNTIF(入力シート!$Q$5:$Q$204,INDEX(入力シート!$Q$5:$Q$204,AT378))+1)</f>
        <v/>
      </c>
      <c r="O378" s="25" t="str">
        <f aca="false">IF(AT378="","",99)</f>
        <v/>
      </c>
      <c r="P378" s="25" t="str">
        <f aca="false">IF(AT378="","","")</f>
        <v/>
      </c>
      <c r="Q378" s="25" t="str">
        <f aca="false">IF(AT378="","","")</f>
        <v/>
      </c>
      <c r="R378" s="25" t="str">
        <f aca="false">IF(AT378="","","消費税")</f>
        <v/>
      </c>
      <c r="S378" s="25" t="str">
        <f aca="false">IF(AT378="","",0)</f>
        <v/>
      </c>
      <c r="T378" s="25" t="str">
        <f aca="false">IF(AT378="","","")</f>
        <v/>
      </c>
      <c r="U378" s="25" t="str">
        <f aca="false">IF(AT378="","",0)</f>
        <v/>
      </c>
      <c r="V378" s="25" t="str">
        <f aca="false">IF(AT378="","",0)</f>
        <v/>
      </c>
      <c r="W378" s="25" t="str">
        <f aca="false">IF(AT378="","","")</f>
        <v/>
      </c>
      <c r="X378" s="25" t="str">
        <f aca="false">IF(AT378="","",0)</f>
        <v/>
      </c>
      <c r="Y378" s="25" t="str">
        <f aca="false">IF(AT378="","",0)</f>
        <v/>
      </c>
      <c r="Z378" s="25" t="str">
        <f aca="false">IF(AT378="","",ROUNDDOWN(SUMIF(入力シート!$Q$5:$Q$204,INDEX(入力シート!$Q$5:$Q$204,AT378),入力シート!$P$5:$P$204)*IF(INDEX(入力シート!$L$5:$L$204,AT378)=13,0.1,IF(INDEX(入力シート!$L$5:$L$204,AT378)=30,0.08,0)),0))</f>
        <v/>
      </c>
      <c r="AA378" s="25" t="str">
        <f aca="false">IF(AT378="","","")</f>
        <v/>
      </c>
      <c r="AB378" s="25" t="str">
        <f aca="false">IF(AT378="","",0)</f>
        <v/>
      </c>
      <c r="AC378" s="25" t="str">
        <f aca="false">IF(AT378="","",0)</f>
        <v/>
      </c>
      <c r="AD378" s="25" t="str">
        <f aca="false">IF(AT378="","",0)</f>
        <v/>
      </c>
      <c r="AE378" s="25" t="str">
        <f aca="false">IF(AT378="","","")</f>
        <v/>
      </c>
      <c r="AF378" s="25" t="str">
        <f aca="false">IF(AT378="","",0)</f>
        <v/>
      </c>
      <c r="AG378" s="25" t="str">
        <f aca="false">IF(AT378="","",0)</f>
        <v/>
      </c>
      <c r="AH378" s="25" t="str">
        <f aca="false">IF(AT378="","","")</f>
        <v/>
      </c>
      <c r="AI378" s="25" t="str">
        <f aca="false">IF(AT378="","","")</f>
        <v/>
      </c>
      <c r="AJ378" s="25" t="str">
        <f aca="false">IF(AT378="","","")</f>
        <v/>
      </c>
      <c r="AK378" s="25" t="str">
        <f aca="false">IF(AT378="","",2)</f>
        <v/>
      </c>
      <c r="AL378" s="25" t="str">
        <f aca="false">IF(AT378="","","")</f>
        <v/>
      </c>
      <c r="AM378" s="25" t="str">
        <f aca="false">IF(AT378="","","")</f>
        <v/>
      </c>
      <c r="AN378" s="25" t="str">
        <f aca="false">IF(AT378="","",INDEX(入力シート!$C$5:$C$204,AT378))</f>
        <v/>
      </c>
      <c r="AO378" s="25" t="str">
        <f aca="false">IF(AT378="","","")</f>
        <v/>
      </c>
      <c r="AP378" s="25" t="str">
        <f aca="false">IF(AT378="","","")</f>
        <v/>
      </c>
      <c r="AQ378" s="25" t="str">
        <f aca="false">IF(AT378="","","")</f>
        <v/>
      </c>
      <c r="AT378" s="27" t="str">
        <f aca="false">IFERROR(MATCH(178,入力シート!$T$5:$T$204,0),"")</f>
        <v/>
      </c>
    </row>
    <row r="379" customFormat="false" ht="15" hidden="false" customHeight="true" outlineLevel="0" collapsed="false">
      <c r="A379" s="25" t="str">
        <f aca="false">IF(AT379="","",1)</f>
        <v/>
      </c>
      <c r="B379" s="25" t="str">
        <f aca="false">IF(AT379="","",1)</f>
        <v/>
      </c>
      <c r="C379" s="25" t="str">
        <f aca="false">IF(AT379="","",0)</f>
        <v/>
      </c>
      <c r="D379" s="25" t="str">
        <f aca="false">IF(AT379="","",TEXT(INDEX(入力シート!$A$5:$A$204,AT379),"YYYYMMDD"))</f>
        <v/>
      </c>
      <c r="E379" s="25" t="str">
        <f aca="false">IF(AT379="","",TEXT(INDEX(入力シート!$Q$5:$Q$204,AT379),"00000000"))</f>
        <v/>
      </c>
      <c r="F379" s="25" t="str">
        <f aca="false">IF(AT379="","",14)</f>
        <v/>
      </c>
      <c r="G379" s="25" t="str">
        <f aca="false">IF(AT379="","",1)</f>
        <v/>
      </c>
      <c r="H379" s="25" t="str">
        <f aca="false">IF(AT379="","",1)</f>
        <v/>
      </c>
      <c r="I379" s="25" t="str">
        <f aca="false">IF(AT379="","",3)</f>
        <v/>
      </c>
      <c r="J379" s="25" t="str">
        <f aca="false">IF(AT379="","",1)</f>
        <v/>
      </c>
      <c r="K379" s="25" t="str">
        <f aca="false">IF(AT379="","",INDEX(入力シート!$B$5:$B$204,AT379))</f>
        <v/>
      </c>
      <c r="L379" s="25" t="str">
        <f aca="false">IF(AT379="","","")</f>
        <v/>
      </c>
      <c r="M379" s="25" t="str">
        <f aca="false">IF(AT379="","","")</f>
        <v/>
      </c>
      <c r="N379" s="25" t="str">
        <f aca="false">IF(AT379="","",COUNTIF(入力シート!$Q$5:$Q$204,INDEX(入力シート!$Q$5:$Q$204,AT379))+1)</f>
        <v/>
      </c>
      <c r="O379" s="25" t="str">
        <f aca="false">IF(AT379="","",99)</f>
        <v/>
      </c>
      <c r="P379" s="25" t="str">
        <f aca="false">IF(AT379="","","")</f>
        <v/>
      </c>
      <c r="Q379" s="25" t="str">
        <f aca="false">IF(AT379="","","")</f>
        <v/>
      </c>
      <c r="R379" s="25" t="str">
        <f aca="false">IF(AT379="","","消費税")</f>
        <v/>
      </c>
      <c r="S379" s="25" t="str">
        <f aca="false">IF(AT379="","",0)</f>
        <v/>
      </c>
      <c r="T379" s="25" t="str">
        <f aca="false">IF(AT379="","","")</f>
        <v/>
      </c>
      <c r="U379" s="25" t="str">
        <f aca="false">IF(AT379="","",0)</f>
        <v/>
      </c>
      <c r="V379" s="25" t="str">
        <f aca="false">IF(AT379="","",0)</f>
        <v/>
      </c>
      <c r="W379" s="25" t="str">
        <f aca="false">IF(AT379="","","")</f>
        <v/>
      </c>
      <c r="X379" s="25" t="str">
        <f aca="false">IF(AT379="","",0)</f>
        <v/>
      </c>
      <c r="Y379" s="25" t="str">
        <f aca="false">IF(AT379="","",0)</f>
        <v/>
      </c>
      <c r="Z379" s="25" t="str">
        <f aca="false">IF(AT379="","",ROUNDDOWN(SUMIF(入力シート!$Q$5:$Q$204,INDEX(入力シート!$Q$5:$Q$204,AT379),入力シート!$P$5:$P$204)*IF(INDEX(入力シート!$L$5:$L$204,AT379)=13,0.1,IF(INDEX(入力シート!$L$5:$L$204,AT379)=30,0.08,0)),0))</f>
        <v/>
      </c>
      <c r="AA379" s="25" t="str">
        <f aca="false">IF(AT379="","","")</f>
        <v/>
      </c>
      <c r="AB379" s="25" t="str">
        <f aca="false">IF(AT379="","",0)</f>
        <v/>
      </c>
      <c r="AC379" s="25" t="str">
        <f aca="false">IF(AT379="","",0)</f>
        <v/>
      </c>
      <c r="AD379" s="25" t="str">
        <f aca="false">IF(AT379="","",0)</f>
        <v/>
      </c>
      <c r="AE379" s="25" t="str">
        <f aca="false">IF(AT379="","","")</f>
        <v/>
      </c>
      <c r="AF379" s="25" t="str">
        <f aca="false">IF(AT379="","",0)</f>
        <v/>
      </c>
      <c r="AG379" s="25" t="str">
        <f aca="false">IF(AT379="","",0)</f>
        <v/>
      </c>
      <c r="AH379" s="25" t="str">
        <f aca="false">IF(AT379="","","")</f>
        <v/>
      </c>
      <c r="AI379" s="25" t="str">
        <f aca="false">IF(AT379="","","")</f>
        <v/>
      </c>
      <c r="AJ379" s="25" t="str">
        <f aca="false">IF(AT379="","","")</f>
        <v/>
      </c>
      <c r="AK379" s="25" t="str">
        <f aca="false">IF(AT379="","",2)</f>
        <v/>
      </c>
      <c r="AL379" s="25" t="str">
        <f aca="false">IF(AT379="","","")</f>
        <v/>
      </c>
      <c r="AM379" s="25" t="str">
        <f aca="false">IF(AT379="","","")</f>
        <v/>
      </c>
      <c r="AN379" s="25" t="str">
        <f aca="false">IF(AT379="","",INDEX(入力シート!$C$5:$C$204,AT379))</f>
        <v/>
      </c>
      <c r="AO379" s="25" t="str">
        <f aca="false">IF(AT379="","","")</f>
        <v/>
      </c>
      <c r="AP379" s="25" t="str">
        <f aca="false">IF(AT379="","","")</f>
        <v/>
      </c>
      <c r="AQ379" s="25" t="str">
        <f aca="false">IF(AT379="","","")</f>
        <v/>
      </c>
      <c r="AT379" s="27" t="str">
        <f aca="false">IFERROR(MATCH(179,入力シート!$T$5:$T$204,0),"")</f>
        <v/>
      </c>
    </row>
    <row r="380" customFormat="false" ht="15" hidden="false" customHeight="true" outlineLevel="0" collapsed="false">
      <c r="A380" s="25" t="str">
        <f aca="false">IF(AT380="","",1)</f>
        <v/>
      </c>
      <c r="B380" s="25" t="str">
        <f aca="false">IF(AT380="","",1)</f>
        <v/>
      </c>
      <c r="C380" s="25" t="str">
        <f aca="false">IF(AT380="","",0)</f>
        <v/>
      </c>
      <c r="D380" s="25" t="str">
        <f aca="false">IF(AT380="","",TEXT(INDEX(入力シート!$A$5:$A$204,AT380),"YYYYMMDD"))</f>
        <v/>
      </c>
      <c r="E380" s="25" t="str">
        <f aca="false">IF(AT380="","",TEXT(INDEX(入力シート!$Q$5:$Q$204,AT380),"00000000"))</f>
        <v/>
      </c>
      <c r="F380" s="25" t="str">
        <f aca="false">IF(AT380="","",14)</f>
        <v/>
      </c>
      <c r="G380" s="25" t="str">
        <f aca="false">IF(AT380="","",1)</f>
        <v/>
      </c>
      <c r="H380" s="25" t="str">
        <f aca="false">IF(AT380="","",1)</f>
        <v/>
      </c>
      <c r="I380" s="25" t="str">
        <f aca="false">IF(AT380="","",3)</f>
        <v/>
      </c>
      <c r="J380" s="25" t="str">
        <f aca="false">IF(AT380="","",1)</f>
        <v/>
      </c>
      <c r="K380" s="25" t="str">
        <f aca="false">IF(AT380="","",INDEX(入力シート!$B$5:$B$204,AT380))</f>
        <v/>
      </c>
      <c r="L380" s="25" t="str">
        <f aca="false">IF(AT380="","","")</f>
        <v/>
      </c>
      <c r="M380" s="25" t="str">
        <f aca="false">IF(AT380="","","")</f>
        <v/>
      </c>
      <c r="N380" s="25" t="str">
        <f aca="false">IF(AT380="","",COUNTIF(入力シート!$Q$5:$Q$204,INDEX(入力シート!$Q$5:$Q$204,AT380))+1)</f>
        <v/>
      </c>
      <c r="O380" s="25" t="str">
        <f aca="false">IF(AT380="","",99)</f>
        <v/>
      </c>
      <c r="P380" s="25" t="str">
        <f aca="false">IF(AT380="","","")</f>
        <v/>
      </c>
      <c r="Q380" s="25" t="str">
        <f aca="false">IF(AT380="","","")</f>
        <v/>
      </c>
      <c r="R380" s="25" t="str">
        <f aca="false">IF(AT380="","","消費税")</f>
        <v/>
      </c>
      <c r="S380" s="25" t="str">
        <f aca="false">IF(AT380="","",0)</f>
        <v/>
      </c>
      <c r="T380" s="25" t="str">
        <f aca="false">IF(AT380="","","")</f>
        <v/>
      </c>
      <c r="U380" s="25" t="str">
        <f aca="false">IF(AT380="","",0)</f>
        <v/>
      </c>
      <c r="V380" s="25" t="str">
        <f aca="false">IF(AT380="","",0)</f>
        <v/>
      </c>
      <c r="W380" s="25" t="str">
        <f aca="false">IF(AT380="","","")</f>
        <v/>
      </c>
      <c r="X380" s="25" t="str">
        <f aca="false">IF(AT380="","",0)</f>
        <v/>
      </c>
      <c r="Y380" s="25" t="str">
        <f aca="false">IF(AT380="","",0)</f>
        <v/>
      </c>
      <c r="Z380" s="25" t="str">
        <f aca="false">IF(AT380="","",ROUNDDOWN(SUMIF(入力シート!$Q$5:$Q$204,INDEX(入力シート!$Q$5:$Q$204,AT380),入力シート!$P$5:$P$204)*IF(INDEX(入力シート!$L$5:$L$204,AT380)=13,0.1,IF(INDEX(入力シート!$L$5:$L$204,AT380)=30,0.08,0)),0))</f>
        <v/>
      </c>
      <c r="AA380" s="25" t="str">
        <f aca="false">IF(AT380="","","")</f>
        <v/>
      </c>
      <c r="AB380" s="25" t="str">
        <f aca="false">IF(AT380="","",0)</f>
        <v/>
      </c>
      <c r="AC380" s="25" t="str">
        <f aca="false">IF(AT380="","",0)</f>
        <v/>
      </c>
      <c r="AD380" s="25" t="str">
        <f aca="false">IF(AT380="","",0)</f>
        <v/>
      </c>
      <c r="AE380" s="25" t="str">
        <f aca="false">IF(AT380="","","")</f>
        <v/>
      </c>
      <c r="AF380" s="25" t="str">
        <f aca="false">IF(AT380="","",0)</f>
        <v/>
      </c>
      <c r="AG380" s="25" t="str">
        <f aca="false">IF(AT380="","",0)</f>
        <v/>
      </c>
      <c r="AH380" s="25" t="str">
        <f aca="false">IF(AT380="","","")</f>
        <v/>
      </c>
      <c r="AI380" s="25" t="str">
        <f aca="false">IF(AT380="","","")</f>
        <v/>
      </c>
      <c r="AJ380" s="25" t="str">
        <f aca="false">IF(AT380="","","")</f>
        <v/>
      </c>
      <c r="AK380" s="25" t="str">
        <f aca="false">IF(AT380="","",2)</f>
        <v/>
      </c>
      <c r="AL380" s="25" t="str">
        <f aca="false">IF(AT380="","","")</f>
        <v/>
      </c>
      <c r="AM380" s="25" t="str">
        <f aca="false">IF(AT380="","","")</f>
        <v/>
      </c>
      <c r="AN380" s="25" t="str">
        <f aca="false">IF(AT380="","",INDEX(入力シート!$C$5:$C$204,AT380))</f>
        <v/>
      </c>
      <c r="AO380" s="25" t="str">
        <f aca="false">IF(AT380="","","")</f>
        <v/>
      </c>
      <c r="AP380" s="25" t="str">
        <f aca="false">IF(AT380="","","")</f>
        <v/>
      </c>
      <c r="AQ380" s="25" t="str">
        <f aca="false">IF(AT380="","","")</f>
        <v/>
      </c>
      <c r="AT380" s="27" t="str">
        <f aca="false">IFERROR(MATCH(180,入力シート!$T$5:$T$204,0),"")</f>
        <v/>
      </c>
    </row>
    <row r="381" customFormat="false" ht="15" hidden="false" customHeight="true" outlineLevel="0" collapsed="false">
      <c r="A381" s="25" t="str">
        <f aca="false">IF(AT381="","",1)</f>
        <v/>
      </c>
      <c r="B381" s="25" t="str">
        <f aca="false">IF(AT381="","",1)</f>
        <v/>
      </c>
      <c r="C381" s="25" t="str">
        <f aca="false">IF(AT381="","",0)</f>
        <v/>
      </c>
      <c r="D381" s="25" t="str">
        <f aca="false">IF(AT381="","",TEXT(INDEX(入力シート!$A$5:$A$204,AT381),"YYYYMMDD"))</f>
        <v/>
      </c>
      <c r="E381" s="25" t="str">
        <f aca="false">IF(AT381="","",TEXT(INDEX(入力シート!$Q$5:$Q$204,AT381),"00000000"))</f>
        <v/>
      </c>
      <c r="F381" s="25" t="str">
        <f aca="false">IF(AT381="","",14)</f>
        <v/>
      </c>
      <c r="G381" s="25" t="str">
        <f aca="false">IF(AT381="","",1)</f>
        <v/>
      </c>
      <c r="H381" s="25" t="str">
        <f aca="false">IF(AT381="","",1)</f>
        <v/>
      </c>
      <c r="I381" s="25" t="str">
        <f aca="false">IF(AT381="","",3)</f>
        <v/>
      </c>
      <c r="J381" s="25" t="str">
        <f aca="false">IF(AT381="","",1)</f>
        <v/>
      </c>
      <c r="K381" s="25" t="str">
        <f aca="false">IF(AT381="","",INDEX(入力シート!$B$5:$B$204,AT381))</f>
        <v/>
      </c>
      <c r="L381" s="25" t="str">
        <f aca="false">IF(AT381="","","")</f>
        <v/>
      </c>
      <c r="M381" s="25" t="str">
        <f aca="false">IF(AT381="","","")</f>
        <v/>
      </c>
      <c r="N381" s="25" t="str">
        <f aca="false">IF(AT381="","",COUNTIF(入力シート!$Q$5:$Q$204,INDEX(入力シート!$Q$5:$Q$204,AT381))+1)</f>
        <v/>
      </c>
      <c r="O381" s="25" t="str">
        <f aca="false">IF(AT381="","",99)</f>
        <v/>
      </c>
      <c r="P381" s="25" t="str">
        <f aca="false">IF(AT381="","","")</f>
        <v/>
      </c>
      <c r="Q381" s="25" t="str">
        <f aca="false">IF(AT381="","","")</f>
        <v/>
      </c>
      <c r="R381" s="25" t="str">
        <f aca="false">IF(AT381="","","消費税")</f>
        <v/>
      </c>
      <c r="S381" s="25" t="str">
        <f aca="false">IF(AT381="","",0)</f>
        <v/>
      </c>
      <c r="T381" s="25" t="str">
        <f aca="false">IF(AT381="","","")</f>
        <v/>
      </c>
      <c r="U381" s="25" t="str">
        <f aca="false">IF(AT381="","",0)</f>
        <v/>
      </c>
      <c r="V381" s="25" t="str">
        <f aca="false">IF(AT381="","",0)</f>
        <v/>
      </c>
      <c r="W381" s="25" t="str">
        <f aca="false">IF(AT381="","","")</f>
        <v/>
      </c>
      <c r="X381" s="25" t="str">
        <f aca="false">IF(AT381="","",0)</f>
        <v/>
      </c>
      <c r="Y381" s="25" t="str">
        <f aca="false">IF(AT381="","",0)</f>
        <v/>
      </c>
      <c r="Z381" s="25" t="str">
        <f aca="false">IF(AT381="","",ROUNDDOWN(SUMIF(入力シート!$Q$5:$Q$204,INDEX(入力シート!$Q$5:$Q$204,AT381),入力シート!$P$5:$P$204)*IF(INDEX(入力シート!$L$5:$L$204,AT381)=13,0.1,IF(INDEX(入力シート!$L$5:$L$204,AT381)=30,0.08,0)),0))</f>
        <v/>
      </c>
      <c r="AA381" s="25" t="str">
        <f aca="false">IF(AT381="","","")</f>
        <v/>
      </c>
      <c r="AB381" s="25" t="str">
        <f aca="false">IF(AT381="","",0)</f>
        <v/>
      </c>
      <c r="AC381" s="25" t="str">
        <f aca="false">IF(AT381="","",0)</f>
        <v/>
      </c>
      <c r="AD381" s="25" t="str">
        <f aca="false">IF(AT381="","",0)</f>
        <v/>
      </c>
      <c r="AE381" s="25" t="str">
        <f aca="false">IF(AT381="","","")</f>
        <v/>
      </c>
      <c r="AF381" s="25" t="str">
        <f aca="false">IF(AT381="","",0)</f>
        <v/>
      </c>
      <c r="AG381" s="25" t="str">
        <f aca="false">IF(AT381="","",0)</f>
        <v/>
      </c>
      <c r="AH381" s="25" t="str">
        <f aca="false">IF(AT381="","","")</f>
        <v/>
      </c>
      <c r="AI381" s="25" t="str">
        <f aca="false">IF(AT381="","","")</f>
        <v/>
      </c>
      <c r="AJ381" s="25" t="str">
        <f aca="false">IF(AT381="","","")</f>
        <v/>
      </c>
      <c r="AK381" s="25" t="str">
        <f aca="false">IF(AT381="","",2)</f>
        <v/>
      </c>
      <c r="AL381" s="25" t="str">
        <f aca="false">IF(AT381="","","")</f>
        <v/>
      </c>
      <c r="AM381" s="25" t="str">
        <f aca="false">IF(AT381="","","")</f>
        <v/>
      </c>
      <c r="AN381" s="25" t="str">
        <f aca="false">IF(AT381="","",INDEX(入力シート!$C$5:$C$204,AT381))</f>
        <v/>
      </c>
      <c r="AO381" s="25" t="str">
        <f aca="false">IF(AT381="","","")</f>
        <v/>
      </c>
      <c r="AP381" s="25" t="str">
        <f aca="false">IF(AT381="","","")</f>
        <v/>
      </c>
      <c r="AQ381" s="25" t="str">
        <f aca="false">IF(AT381="","","")</f>
        <v/>
      </c>
      <c r="AT381" s="27" t="str">
        <f aca="false">IFERROR(MATCH(181,入力シート!$T$5:$T$204,0),"")</f>
        <v/>
      </c>
    </row>
    <row r="382" customFormat="false" ht="15" hidden="false" customHeight="true" outlineLevel="0" collapsed="false">
      <c r="A382" s="25" t="str">
        <f aca="false">IF(AT382="","",1)</f>
        <v/>
      </c>
      <c r="B382" s="25" t="str">
        <f aca="false">IF(AT382="","",1)</f>
        <v/>
      </c>
      <c r="C382" s="25" t="str">
        <f aca="false">IF(AT382="","",0)</f>
        <v/>
      </c>
      <c r="D382" s="25" t="str">
        <f aca="false">IF(AT382="","",TEXT(INDEX(入力シート!$A$5:$A$204,AT382),"YYYYMMDD"))</f>
        <v/>
      </c>
      <c r="E382" s="25" t="str">
        <f aca="false">IF(AT382="","",TEXT(INDEX(入力シート!$Q$5:$Q$204,AT382),"00000000"))</f>
        <v/>
      </c>
      <c r="F382" s="25" t="str">
        <f aca="false">IF(AT382="","",14)</f>
        <v/>
      </c>
      <c r="G382" s="25" t="str">
        <f aca="false">IF(AT382="","",1)</f>
        <v/>
      </c>
      <c r="H382" s="25" t="str">
        <f aca="false">IF(AT382="","",1)</f>
        <v/>
      </c>
      <c r="I382" s="25" t="str">
        <f aca="false">IF(AT382="","",3)</f>
        <v/>
      </c>
      <c r="J382" s="25" t="str">
        <f aca="false">IF(AT382="","",1)</f>
        <v/>
      </c>
      <c r="K382" s="25" t="str">
        <f aca="false">IF(AT382="","",INDEX(入力シート!$B$5:$B$204,AT382))</f>
        <v/>
      </c>
      <c r="L382" s="25" t="str">
        <f aca="false">IF(AT382="","","")</f>
        <v/>
      </c>
      <c r="M382" s="25" t="str">
        <f aca="false">IF(AT382="","","")</f>
        <v/>
      </c>
      <c r="N382" s="25" t="str">
        <f aca="false">IF(AT382="","",COUNTIF(入力シート!$Q$5:$Q$204,INDEX(入力シート!$Q$5:$Q$204,AT382))+1)</f>
        <v/>
      </c>
      <c r="O382" s="25" t="str">
        <f aca="false">IF(AT382="","",99)</f>
        <v/>
      </c>
      <c r="P382" s="25" t="str">
        <f aca="false">IF(AT382="","","")</f>
        <v/>
      </c>
      <c r="Q382" s="25" t="str">
        <f aca="false">IF(AT382="","","")</f>
        <v/>
      </c>
      <c r="R382" s="25" t="str">
        <f aca="false">IF(AT382="","","消費税")</f>
        <v/>
      </c>
      <c r="S382" s="25" t="str">
        <f aca="false">IF(AT382="","",0)</f>
        <v/>
      </c>
      <c r="T382" s="25" t="str">
        <f aca="false">IF(AT382="","","")</f>
        <v/>
      </c>
      <c r="U382" s="25" t="str">
        <f aca="false">IF(AT382="","",0)</f>
        <v/>
      </c>
      <c r="V382" s="25" t="str">
        <f aca="false">IF(AT382="","",0)</f>
        <v/>
      </c>
      <c r="W382" s="25" t="str">
        <f aca="false">IF(AT382="","","")</f>
        <v/>
      </c>
      <c r="X382" s="25" t="str">
        <f aca="false">IF(AT382="","",0)</f>
        <v/>
      </c>
      <c r="Y382" s="25" t="str">
        <f aca="false">IF(AT382="","",0)</f>
        <v/>
      </c>
      <c r="Z382" s="25" t="str">
        <f aca="false">IF(AT382="","",ROUNDDOWN(SUMIF(入力シート!$Q$5:$Q$204,INDEX(入力シート!$Q$5:$Q$204,AT382),入力シート!$P$5:$P$204)*IF(INDEX(入力シート!$L$5:$L$204,AT382)=13,0.1,IF(INDEX(入力シート!$L$5:$L$204,AT382)=30,0.08,0)),0))</f>
        <v/>
      </c>
      <c r="AA382" s="25" t="str">
        <f aca="false">IF(AT382="","","")</f>
        <v/>
      </c>
      <c r="AB382" s="25" t="str">
        <f aca="false">IF(AT382="","",0)</f>
        <v/>
      </c>
      <c r="AC382" s="25" t="str">
        <f aca="false">IF(AT382="","",0)</f>
        <v/>
      </c>
      <c r="AD382" s="25" t="str">
        <f aca="false">IF(AT382="","",0)</f>
        <v/>
      </c>
      <c r="AE382" s="25" t="str">
        <f aca="false">IF(AT382="","","")</f>
        <v/>
      </c>
      <c r="AF382" s="25" t="str">
        <f aca="false">IF(AT382="","",0)</f>
        <v/>
      </c>
      <c r="AG382" s="25" t="str">
        <f aca="false">IF(AT382="","",0)</f>
        <v/>
      </c>
      <c r="AH382" s="25" t="str">
        <f aca="false">IF(AT382="","","")</f>
        <v/>
      </c>
      <c r="AI382" s="25" t="str">
        <f aca="false">IF(AT382="","","")</f>
        <v/>
      </c>
      <c r="AJ382" s="25" t="str">
        <f aca="false">IF(AT382="","","")</f>
        <v/>
      </c>
      <c r="AK382" s="25" t="str">
        <f aca="false">IF(AT382="","",2)</f>
        <v/>
      </c>
      <c r="AL382" s="25" t="str">
        <f aca="false">IF(AT382="","","")</f>
        <v/>
      </c>
      <c r="AM382" s="25" t="str">
        <f aca="false">IF(AT382="","","")</f>
        <v/>
      </c>
      <c r="AN382" s="25" t="str">
        <f aca="false">IF(AT382="","",INDEX(入力シート!$C$5:$C$204,AT382))</f>
        <v/>
      </c>
      <c r="AO382" s="25" t="str">
        <f aca="false">IF(AT382="","","")</f>
        <v/>
      </c>
      <c r="AP382" s="25" t="str">
        <f aca="false">IF(AT382="","","")</f>
        <v/>
      </c>
      <c r="AQ382" s="25" t="str">
        <f aca="false">IF(AT382="","","")</f>
        <v/>
      </c>
      <c r="AT382" s="27" t="str">
        <f aca="false">IFERROR(MATCH(182,入力シート!$T$5:$T$204,0),"")</f>
        <v/>
      </c>
    </row>
    <row r="383" customFormat="false" ht="15" hidden="false" customHeight="true" outlineLevel="0" collapsed="false">
      <c r="A383" s="25" t="str">
        <f aca="false">IF(AT383="","",1)</f>
        <v/>
      </c>
      <c r="B383" s="25" t="str">
        <f aca="false">IF(AT383="","",1)</f>
        <v/>
      </c>
      <c r="C383" s="25" t="str">
        <f aca="false">IF(AT383="","",0)</f>
        <v/>
      </c>
      <c r="D383" s="25" t="str">
        <f aca="false">IF(AT383="","",TEXT(INDEX(入力シート!$A$5:$A$204,AT383),"YYYYMMDD"))</f>
        <v/>
      </c>
      <c r="E383" s="25" t="str">
        <f aca="false">IF(AT383="","",TEXT(INDEX(入力シート!$Q$5:$Q$204,AT383),"00000000"))</f>
        <v/>
      </c>
      <c r="F383" s="25" t="str">
        <f aca="false">IF(AT383="","",14)</f>
        <v/>
      </c>
      <c r="G383" s="25" t="str">
        <f aca="false">IF(AT383="","",1)</f>
        <v/>
      </c>
      <c r="H383" s="25" t="str">
        <f aca="false">IF(AT383="","",1)</f>
        <v/>
      </c>
      <c r="I383" s="25" t="str">
        <f aca="false">IF(AT383="","",3)</f>
        <v/>
      </c>
      <c r="J383" s="25" t="str">
        <f aca="false">IF(AT383="","",1)</f>
        <v/>
      </c>
      <c r="K383" s="25" t="str">
        <f aca="false">IF(AT383="","",INDEX(入力シート!$B$5:$B$204,AT383))</f>
        <v/>
      </c>
      <c r="L383" s="25" t="str">
        <f aca="false">IF(AT383="","","")</f>
        <v/>
      </c>
      <c r="M383" s="25" t="str">
        <f aca="false">IF(AT383="","","")</f>
        <v/>
      </c>
      <c r="N383" s="25" t="str">
        <f aca="false">IF(AT383="","",COUNTIF(入力シート!$Q$5:$Q$204,INDEX(入力シート!$Q$5:$Q$204,AT383))+1)</f>
        <v/>
      </c>
      <c r="O383" s="25" t="str">
        <f aca="false">IF(AT383="","",99)</f>
        <v/>
      </c>
      <c r="P383" s="25" t="str">
        <f aca="false">IF(AT383="","","")</f>
        <v/>
      </c>
      <c r="Q383" s="25" t="str">
        <f aca="false">IF(AT383="","","")</f>
        <v/>
      </c>
      <c r="R383" s="25" t="str">
        <f aca="false">IF(AT383="","","消費税")</f>
        <v/>
      </c>
      <c r="S383" s="25" t="str">
        <f aca="false">IF(AT383="","",0)</f>
        <v/>
      </c>
      <c r="T383" s="25" t="str">
        <f aca="false">IF(AT383="","","")</f>
        <v/>
      </c>
      <c r="U383" s="25" t="str">
        <f aca="false">IF(AT383="","",0)</f>
        <v/>
      </c>
      <c r="V383" s="25" t="str">
        <f aca="false">IF(AT383="","",0)</f>
        <v/>
      </c>
      <c r="W383" s="25" t="str">
        <f aca="false">IF(AT383="","","")</f>
        <v/>
      </c>
      <c r="X383" s="25" t="str">
        <f aca="false">IF(AT383="","",0)</f>
        <v/>
      </c>
      <c r="Y383" s="25" t="str">
        <f aca="false">IF(AT383="","",0)</f>
        <v/>
      </c>
      <c r="Z383" s="25" t="str">
        <f aca="false">IF(AT383="","",ROUNDDOWN(SUMIF(入力シート!$Q$5:$Q$204,INDEX(入力シート!$Q$5:$Q$204,AT383),入力シート!$P$5:$P$204)*IF(INDEX(入力シート!$L$5:$L$204,AT383)=13,0.1,IF(INDEX(入力シート!$L$5:$L$204,AT383)=30,0.08,0)),0))</f>
        <v/>
      </c>
      <c r="AA383" s="25" t="str">
        <f aca="false">IF(AT383="","","")</f>
        <v/>
      </c>
      <c r="AB383" s="25" t="str">
        <f aca="false">IF(AT383="","",0)</f>
        <v/>
      </c>
      <c r="AC383" s="25" t="str">
        <f aca="false">IF(AT383="","",0)</f>
        <v/>
      </c>
      <c r="AD383" s="25" t="str">
        <f aca="false">IF(AT383="","",0)</f>
        <v/>
      </c>
      <c r="AE383" s="25" t="str">
        <f aca="false">IF(AT383="","","")</f>
        <v/>
      </c>
      <c r="AF383" s="25" t="str">
        <f aca="false">IF(AT383="","",0)</f>
        <v/>
      </c>
      <c r="AG383" s="25" t="str">
        <f aca="false">IF(AT383="","",0)</f>
        <v/>
      </c>
      <c r="AH383" s="25" t="str">
        <f aca="false">IF(AT383="","","")</f>
        <v/>
      </c>
      <c r="AI383" s="25" t="str">
        <f aca="false">IF(AT383="","","")</f>
        <v/>
      </c>
      <c r="AJ383" s="25" t="str">
        <f aca="false">IF(AT383="","","")</f>
        <v/>
      </c>
      <c r="AK383" s="25" t="str">
        <f aca="false">IF(AT383="","",2)</f>
        <v/>
      </c>
      <c r="AL383" s="25" t="str">
        <f aca="false">IF(AT383="","","")</f>
        <v/>
      </c>
      <c r="AM383" s="25" t="str">
        <f aca="false">IF(AT383="","","")</f>
        <v/>
      </c>
      <c r="AN383" s="25" t="str">
        <f aca="false">IF(AT383="","",INDEX(入力シート!$C$5:$C$204,AT383))</f>
        <v/>
      </c>
      <c r="AO383" s="25" t="str">
        <f aca="false">IF(AT383="","","")</f>
        <v/>
      </c>
      <c r="AP383" s="25" t="str">
        <f aca="false">IF(AT383="","","")</f>
        <v/>
      </c>
      <c r="AQ383" s="25" t="str">
        <f aca="false">IF(AT383="","","")</f>
        <v/>
      </c>
      <c r="AT383" s="27" t="str">
        <f aca="false">IFERROR(MATCH(183,入力シート!$T$5:$T$204,0),"")</f>
        <v/>
      </c>
    </row>
    <row r="384" customFormat="false" ht="15" hidden="false" customHeight="true" outlineLevel="0" collapsed="false">
      <c r="A384" s="25" t="str">
        <f aca="false">IF(AT384="","",1)</f>
        <v/>
      </c>
      <c r="B384" s="25" t="str">
        <f aca="false">IF(AT384="","",1)</f>
        <v/>
      </c>
      <c r="C384" s="25" t="str">
        <f aca="false">IF(AT384="","",0)</f>
        <v/>
      </c>
      <c r="D384" s="25" t="str">
        <f aca="false">IF(AT384="","",TEXT(INDEX(入力シート!$A$5:$A$204,AT384),"YYYYMMDD"))</f>
        <v/>
      </c>
      <c r="E384" s="25" t="str">
        <f aca="false">IF(AT384="","",TEXT(INDEX(入力シート!$Q$5:$Q$204,AT384),"00000000"))</f>
        <v/>
      </c>
      <c r="F384" s="25" t="str">
        <f aca="false">IF(AT384="","",14)</f>
        <v/>
      </c>
      <c r="G384" s="25" t="str">
        <f aca="false">IF(AT384="","",1)</f>
        <v/>
      </c>
      <c r="H384" s="25" t="str">
        <f aca="false">IF(AT384="","",1)</f>
        <v/>
      </c>
      <c r="I384" s="25" t="str">
        <f aca="false">IF(AT384="","",3)</f>
        <v/>
      </c>
      <c r="J384" s="25" t="str">
        <f aca="false">IF(AT384="","",1)</f>
        <v/>
      </c>
      <c r="K384" s="25" t="str">
        <f aca="false">IF(AT384="","",INDEX(入力シート!$B$5:$B$204,AT384))</f>
        <v/>
      </c>
      <c r="L384" s="25" t="str">
        <f aca="false">IF(AT384="","","")</f>
        <v/>
      </c>
      <c r="M384" s="25" t="str">
        <f aca="false">IF(AT384="","","")</f>
        <v/>
      </c>
      <c r="N384" s="25" t="str">
        <f aca="false">IF(AT384="","",COUNTIF(入力シート!$Q$5:$Q$204,INDEX(入力シート!$Q$5:$Q$204,AT384))+1)</f>
        <v/>
      </c>
      <c r="O384" s="25" t="str">
        <f aca="false">IF(AT384="","",99)</f>
        <v/>
      </c>
      <c r="P384" s="25" t="str">
        <f aca="false">IF(AT384="","","")</f>
        <v/>
      </c>
      <c r="Q384" s="25" t="str">
        <f aca="false">IF(AT384="","","")</f>
        <v/>
      </c>
      <c r="R384" s="25" t="str">
        <f aca="false">IF(AT384="","","消費税")</f>
        <v/>
      </c>
      <c r="S384" s="25" t="str">
        <f aca="false">IF(AT384="","",0)</f>
        <v/>
      </c>
      <c r="T384" s="25" t="str">
        <f aca="false">IF(AT384="","","")</f>
        <v/>
      </c>
      <c r="U384" s="25" t="str">
        <f aca="false">IF(AT384="","",0)</f>
        <v/>
      </c>
      <c r="V384" s="25" t="str">
        <f aca="false">IF(AT384="","",0)</f>
        <v/>
      </c>
      <c r="W384" s="25" t="str">
        <f aca="false">IF(AT384="","","")</f>
        <v/>
      </c>
      <c r="X384" s="25" t="str">
        <f aca="false">IF(AT384="","",0)</f>
        <v/>
      </c>
      <c r="Y384" s="25" t="str">
        <f aca="false">IF(AT384="","",0)</f>
        <v/>
      </c>
      <c r="Z384" s="25" t="str">
        <f aca="false">IF(AT384="","",ROUNDDOWN(SUMIF(入力シート!$Q$5:$Q$204,INDEX(入力シート!$Q$5:$Q$204,AT384),入力シート!$P$5:$P$204)*IF(INDEX(入力シート!$L$5:$L$204,AT384)=13,0.1,IF(INDEX(入力シート!$L$5:$L$204,AT384)=30,0.08,0)),0))</f>
        <v/>
      </c>
      <c r="AA384" s="25" t="str">
        <f aca="false">IF(AT384="","","")</f>
        <v/>
      </c>
      <c r="AB384" s="25" t="str">
        <f aca="false">IF(AT384="","",0)</f>
        <v/>
      </c>
      <c r="AC384" s="25" t="str">
        <f aca="false">IF(AT384="","",0)</f>
        <v/>
      </c>
      <c r="AD384" s="25" t="str">
        <f aca="false">IF(AT384="","",0)</f>
        <v/>
      </c>
      <c r="AE384" s="25" t="str">
        <f aca="false">IF(AT384="","","")</f>
        <v/>
      </c>
      <c r="AF384" s="25" t="str">
        <f aca="false">IF(AT384="","",0)</f>
        <v/>
      </c>
      <c r="AG384" s="25" t="str">
        <f aca="false">IF(AT384="","",0)</f>
        <v/>
      </c>
      <c r="AH384" s="25" t="str">
        <f aca="false">IF(AT384="","","")</f>
        <v/>
      </c>
      <c r="AI384" s="25" t="str">
        <f aca="false">IF(AT384="","","")</f>
        <v/>
      </c>
      <c r="AJ384" s="25" t="str">
        <f aca="false">IF(AT384="","","")</f>
        <v/>
      </c>
      <c r="AK384" s="25" t="str">
        <f aca="false">IF(AT384="","",2)</f>
        <v/>
      </c>
      <c r="AL384" s="25" t="str">
        <f aca="false">IF(AT384="","","")</f>
        <v/>
      </c>
      <c r="AM384" s="25" t="str">
        <f aca="false">IF(AT384="","","")</f>
        <v/>
      </c>
      <c r="AN384" s="25" t="str">
        <f aca="false">IF(AT384="","",INDEX(入力シート!$C$5:$C$204,AT384))</f>
        <v/>
      </c>
      <c r="AO384" s="25" t="str">
        <f aca="false">IF(AT384="","","")</f>
        <v/>
      </c>
      <c r="AP384" s="25" t="str">
        <f aca="false">IF(AT384="","","")</f>
        <v/>
      </c>
      <c r="AQ384" s="25" t="str">
        <f aca="false">IF(AT384="","","")</f>
        <v/>
      </c>
      <c r="AT384" s="27" t="str">
        <f aca="false">IFERROR(MATCH(184,入力シート!$T$5:$T$204,0),"")</f>
        <v/>
      </c>
    </row>
    <row r="385" customFormat="false" ht="15" hidden="false" customHeight="true" outlineLevel="0" collapsed="false">
      <c r="A385" s="25" t="str">
        <f aca="false">IF(AT385="","",1)</f>
        <v/>
      </c>
      <c r="B385" s="25" t="str">
        <f aca="false">IF(AT385="","",1)</f>
        <v/>
      </c>
      <c r="C385" s="25" t="str">
        <f aca="false">IF(AT385="","",0)</f>
        <v/>
      </c>
      <c r="D385" s="25" t="str">
        <f aca="false">IF(AT385="","",TEXT(INDEX(入力シート!$A$5:$A$204,AT385),"YYYYMMDD"))</f>
        <v/>
      </c>
      <c r="E385" s="25" t="str">
        <f aca="false">IF(AT385="","",TEXT(INDEX(入力シート!$Q$5:$Q$204,AT385),"00000000"))</f>
        <v/>
      </c>
      <c r="F385" s="25" t="str">
        <f aca="false">IF(AT385="","",14)</f>
        <v/>
      </c>
      <c r="G385" s="25" t="str">
        <f aca="false">IF(AT385="","",1)</f>
        <v/>
      </c>
      <c r="H385" s="25" t="str">
        <f aca="false">IF(AT385="","",1)</f>
        <v/>
      </c>
      <c r="I385" s="25" t="str">
        <f aca="false">IF(AT385="","",3)</f>
        <v/>
      </c>
      <c r="J385" s="25" t="str">
        <f aca="false">IF(AT385="","",1)</f>
        <v/>
      </c>
      <c r="K385" s="25" t="str">
        <f aca="false">IF(AT385="","",INDEX(入力シート!$B$5:$B$204,AT385))</f>
        <v/>
      </c>
      <c r="L385" s="25" t="str">
        <f aca="false">IF(AT385="","","")</f>
        <v/>
      </c>
      <c r="M385" s="25" t="str">
        <f aca="false">IF(AT385="","","")</f>
        <v/>
      </c>
      <c r="N385" s="25" t="str">
        <f aca="false">IF(AT385="","",COUNTIF(入力シート!$Q$5:$Q$204,INDEX(入力シート!$Q$5:$Q$204,AT385))+1)</f>
        <v/>
      </c>
      <c r="O385" s="25" t="str">
        <f aca="false">IF(AT385="","",99)</f>
        <v/>
      </c>
      <c r="P385" s="25" t="str">
        <f aca="false">IF(AT385="","","")</f>
        <v/>
      </c>
      <c r="Q385" s="25" t="str">
        <f aca="false">IF(AT385="","","")</f>
        <v/>
      </c>
      <c r="R385" s="25" t="str">
        <f aca="false">IF(AT385="","","消費税")</f>
        <v/>
      </c>
      <c r="S385" s="25" t="str">
        <f aca="false">IF(AT385="","",0)</f>
        <v/>
      </c>
      <c r="T385" s="25" t="str">
        <f aca="false">IF(AT385="","","")</f>
        <v/>
      </c>
      <c r="U385" s="25" t="str">
        <f aca="false">IF(AT385="","",0)</f>
        <v/>
      </c>
      <c r="V385" s="25" t="str">
        <f aca="false">IF(AT385="","",0)</f>
        <v/>
      </c>
      <c r="W385" s="25" t="str">
        <f aca="false">IF(AT385="","","")</f>
        <v/>
      </c>
      <c r="X385" s="25" t="str">
        <f aca="false">IF(AT385="","",0)</f>
        <v/>
      </c>
      <c r="Y385" s="25" t="str">
        <f aca="false">IF(AT385="","",0)</f>
        <v/>
      </c>
      <c r="Z385" s="25" t="str">
        <f aca="false">IF(AT385="","",ROUNDDOWN(SUMIF(入力シート!$Q$5:$Q$204,INDEX(入力シート!$Q$5:$Q$204,AT385),入力シート!$P$5:$P$204)*IF(INDEX(入力シート!$L$5:$L$204,AT385)=13,0.1,IF(INDEX(入力シート!$L$5:$L$204,AT385)=30,0.08,0)),0))</f>
        <v/>
      </c>
      <c r="AA385" s="25" t="str">
        <f aca="false">IF(AT385="","","")</f>
        <v/>
      </c>
      <c r="AB385" s="25" t="str">
        <f aca="false">IF(AT385="","",0)</f>
        <v/>
      </c>
      <c r="AC385" s="25" t="str">
        <f aca="false">IF(AT385="","",0)</f>
        <v/>
      </c>
      <c r="AD385" s="25" t="str">
        <f aca="false">IF(AT385="","",0)</f>
        <v/>
      </c>
      <c r="AE385" s="25" t="str">
        <f aca="false">IF(AT385="","","")</f>
        <v/>
      </c>
      <c r="AF385" s="25" t="str">
        <f aca="false">IF(AT385="","",0)</f>
        <v/>
      </c>
      <c r="AG385" s="25" t="str">
        <f aca="false">IF(AT385="","",0)</f>
        <v/>
      </c>
      <c r="AH385" s="25" t="str">
        <f aca="false">IF(AT385="","","")</f>
        <v/>
      </c>
      <c r="AI385" s="25" t="str">
        <f aca="false">IF(AT385="","","")</f>
        <v/>
      </c>
      <c r="AJ385" s="25" t="str">
        <f aca="false">IF(AT385="","","")</f>
        <v/>
      </c>
      <c r="AK385" s="25" t="str">
        <f aca="false">IF(AT385="","",2)</f>
        <v/>
      </c>
      <c r="AL385" s="25" t="str">
        <f aca="false">IF(AT385="","","")</f>
        <v/>
      </c>
      <c r="AM385" s="25" t="str">
        <f aca="false">IF(AT385="","","")</f>
        <v/>
      </c>
      <c r="AN385" s="25" t="str">
        <f aca="false">IF(AT385="","",INDEX(入力シート!$C$5:$C$204,AT385))</f>
        <v/>
      </c>
      <c r="AO385" s="25" t="str">
        <f aca="false">IF(AT385="","","")</f>
        <v/>
      </c>
      <c r="AP385" s="25" t="str">
        <f aca="false">IF(AT385="","","")</f>
        <v/>
      </c>
      <c r="AQ385" s="25" t="str">
        <f aca="false">IF(AT385="","","")</f>
        <v/>
      </c>
      <c r="AT385" s="27" t="str">
        <f aca="false">IFERROR(MATCH(185,入力シート!$T$5:$T$204,0),"")</f>
        <v/>
      </c>
    </row>
    <row r="386" customFormat="false" ht="15" hidden="false" customHeight="true" outlineLevel="0" collapsed="false">
      <c r="A386" s="25" t="str">
        <f aca="false">IF(AT386="","",1)</f>
        <v/>
      </c>
      <c r="B386" s="25" t="str">
        <f aca="false">IF(AT386="","",1)</f>
        <v/>
      </c>
      <c r="C386" s="25" t="str">
        <f aca="false">IF(AT386="","",0)</f>
        <v/>
      </c>
      <c r="D386" s="25" t="str">
        <f aca="false">IF(AT386="","",TEXT(INDEX(入力シート!$A$5:$A$204,AT386),"YYYYMMDD"))</f>
        <v/>
      </c>
      <c r="E386" s="25" t="str">
        <f aca="false">IF(AT386="","",TEXT(INDEX(入力シート!$Q$5:$Q$204,AT386),"00000000"))</f>
        <v/>
      </c>
      <c r="F386" s="25" t="str">
        <f aca="false">IF(AT386="","",14)</f>
        <v/>
      </c>
      <c r="G386" s="25" t="str">
        <f aca="false">IF(AT386="","",1)</f>
        <v/>
      </c>
      <c r="H386" s="25" t="str">
        <f aca="false">IF(AT386="","",1)</f>
        <v/>
      </c>
      <c r="I386" s="25" t="str">
        <f aca="false">IF(AT386="","",3)</f>
        <v/>
      </c>
      <c r="J386" s="25" t="str">
        <f aca="false">IF(AT386="","",1)</f>
        <v/>
      </c>
      <c r="K386" s="25" t="str">
        <f aca="false">IF(AT386="","",INDEX(入力シート!$B$5:$B$204,AT386))</f>
        <v/>
      </c>
      <c r="L386" s="25" t="str">
        <f aca="false">IF(AT386="","","")</f>
        <v/>
      </c>
      <c r="M386" s="25" t="str">
        <f aca="false">IF(AT386="","","")</f>
        <v/>
      </c>
      <c r="N386" s="25" t="str">
        <f aca="false">IF(AT386="","",COUNTIF(入力シート!$Q$5:$Q$204,INDEX(入力シート!$Q$5:$Q$204,AT386))+1)</f>
        <v/>
      </c>
      <c r="O386" s="25" t="str">
        <f aca="false">IF(AT386="","",99)</f>
        <v/>
      </c>
      <c r="P386" s="25" t="str">
        <f aca="false">IF(AT386="","","")</f>
        <v/>
      </c>
      <c r="Q386" s="25" t="str">
        <f aca="false">IF(AT386="","","")</f>
        <v/>
      </c>
      <c r="R386" s="25" t="str">
        <f aca="false">IF(AT386="","","消費税")</f>
        <v/>
      </c>
      <c r="S386" s="25" t="str">
        <f aca="false">IF(AT386="","",0)</f>
        <v/>
      </c>
      <c r="T386" s="25" t="str">
        <f aca="false">IF(AT386="","","")</f>
        <v/>
      </c>
      <c r="U386" s="25" t="str">
        <f aca="false">IF(AT386="","",0)</f>
        <v/>
      </c>
      <c r="V386" s="25" t="str">
        <f aca="false">IF(AT386="","",0)</f>
        <v/>
      </c>
      <c r="W386" s="25" t="str">
        <f aca="false">IF(AT386="","","")</f>
        <v/>
      </c>
      <c r="X386" s="25" t="str">
        <f aca="false">IF(AT386="","",0)</f>
        <v/>
      </c>
      <c r="Y386" s="25" t="str">
        <f aca="false">IF(AT386="","",0)</f>
        <v/>
      </c>
      <c r="Z386" s="25" t="str">
        <f aca="false">IF(AT386="","",ROUNDDOWN(SUMIF(入力シート!$Q$5:$Q$204,INDEX(入力シート!$Q$5:$Q$204,AT386),入力シート!$P$5:$P$204)*IF(INDEX(入力シート!$L$5:$L$204,AT386)=13,0.1,IF(INDEX(入力シート!$L$5:$L$204,AT386)=30,0.08,0)),0))</f>
        <v/>
      </c>
      <c r="AA386" s="25" t="str">
        <f aca="false">IF(AT386="","","")</f>
        <v/>
      </c>
      <c r="AB386" s="25" t="str">
        <f aca="false">IF(AT386="","",0)</f>
        <v/>
      </c>
      <c r="AC386" s="25" t="str">
        <f aca="false">IF(AT386="","",0)</f>
        <v/>
      </c>
      <c r="AD386" s="25" t="str">
        <f aca="false">IF(AT386="","",0)</f>
        <v/>
      </c>
      <c r="AE386" s="25" t="str">
        <f aca="false">IF(AT386="","","")</f>
        <v/>
      </c>
      <c r="AF386" s="25" t="str">
        <f aca="false">IF(AT386="","",0)</f>
        <v/>
      </c>
      <c r="AG386" s="25" t="str">
        <f aca="false">IF(AT386="","",0)</f>
        <v/>
      </c>
      <c r="AH386" s="25" t="str">
        <f aca="false">IF(AT386="","","")</f>
        <v/>
      </c>
      <c r="AI386" s="25" t="str">
        <f aca="false">IF(AT386="","","")</f>
        <v/>
      </c>
      <c r="AJ386" s="25" t="str">
        <f aca="false">IF(AT386="","","")</f>
        <v/>
      </c>
      <c r="AK386" s="25" t="str">
        <f aca="false">IF(AT386="","",2)</f>
        <v/>
      </c>
      <c r="AL386" s="25" t="str">
        <f aca="false">IF(AT386="","","")</f>
        <v/>
      </c>
      <c r="AM386" s="25" t="str">
        <f aca="false">IF(AT386="","","")</f>
        <v/>
      </c>
      <c r="AN386" s="25" t="str">
        <f aca="false">IF(AT386="","",INDEX(入力シート!$C$5:$C$204,AT386))</f>
        <v/>
      </c>
      <c r="AO386" s="25" t="str">
        <f aca="false">IF(AT386="","","")</f>
        <v/>
      </c>
      <c r="AP386" s="25" t="str">
        <f aca="false">IF(AT386="","","")</f>
        <v/>
      </c>
      <c r="AQ386" s="25" t="str">
        <f aca="false">IF(AT386="","","")</f>
        <v/>
      </c>
      <c r="AT386" s="27" t="str">
        <f aca="false">IFERROR(MATCH(186,入力シート!$T$5:$T$204,0),"")</f>
        <v/>
      </c>
    </row>
    <row r="387" customFormat="false" ht="15" hidden="false" customHeight="true" outlineLevel="0" collapsed="false">
      <c r="A387" s="25" t="str">
        <f aca="false">IF(AT387="","",1)</f>
        <v/>
      </c>
      <c r="B387" s="25" t="str">
        <f aca="false">IF(AT387="","",1)</f>
        <v/>
      </c>
      <c r="C387" s="25" t="str">
        <f aca="false">IF(AT387="","",0)</f>
        <v/>
      </c>
      <c r="D387" s="25" t="str">
        <f aca="false">IF(AT387="","",TEXT(INDEX(入力シート!$A$5:$A$204,AT387),"YYYYMMDD"))</f>
        <v/>
      </c>
      <c r="E387" s="25" t="str">
        <f aca="false">IF(AT387="","",TEXT(INDEX(入力シート!$Q$5:$Q$204,AT387),"00000000"))</f>
        <v/>
      </c>
      <c r="F387" s="25" t="str">
        <f aca="false">IF(AT387="","",14)</f>
        <v/>
      </c>
      <c r="G387" s="25" t="str">
        <f aca="false">IF(AT387="","",1)</f>
        <v/>
      </c>
      <c r="H387" s="25" t="str">
        <f aca="false">IF(AT387="","",1)</f>
        <v/>
      </c>
      <c r="I387" s="25" t="str">
        <f aca="false">IF(AT387="","",3)</f>
        <v/>
      </c>
      <c r="J387" s="25" t="str">
        <f aca="false">IF(AT387="","",1)</f>
        <v/>
      </c>
      <c r="K387" s="25" t="str">
        <f aca="false">IF(AT387="","",INDEX(入力シート!$B$5:$B$204,AT387))</f>
        <v/>
      </c>
      <c r="L387" s="25" t="str">
        <f aca="false">IF(AT387="","","")</f>
        <v/>
      </c>
      <c r="M387" s="25" t="str">
        <f aca="false">IF(AT387="","","")</f>
        <v/>
      </c>
      <c r="N387" s="25" t="str">
        <f aca="false">IF(AT387="","",COUNTIF(入力シート!$Q$5:$Q$204,INDEX(入力シート!$Q$5:$Q$204,AT387))+1)</f>
        <v/>
      </c>
      <c r="O387" s="25" t="str">
        <f aca="false">IF(AT387="","",99)</f>
        <v/>
      </c>
      <c r="P387" s="25" t="str">
        <f aca="false">IF(AT387="","","")</f>
        <v/>
      </c>
      <c r="Q387" s="25" t="str">
        <f aca="false">IF(AT387="","","")</f>
        <v/>
      </c>
      <c r="R387" s="25" t="str">
        <f aca="false">IF(AT387="","","消費税")</f>
        <v/>
      </c>
      <c r="S387" s="25" t="str">
        <f aca="false">IF(AT387="","",0)</f>
        <v/>
      </c>
      <c r="T387" s="25" t="str">
        <f aca="false">IF(AT387="","","")</f>
        <v/>
      </c>
      <c r="U387" s="25" t="str">
        <f aca="false">IF(AT387="","",0)</f>
        <v/>
      </c>
      <c r="V387" s="25" t="str">
        <f aca="false">IF(AT387="","",0)</f>
        <v/>
      </c>
      <c r="W387" s="25" t="str">
        <f aca="false">IF(AT387="","","")</f>
        <v/>
      </c>
      <c r="X387" s="25" t="str">
        <f aca="false">IF(AT387="","",0)</f>
        <v/>
      </c>
      <c r="Y387" s="25" t="str">
        <f aca="false">IF(AT387="","",0)</f>
        <v/>
      </c>
      <c r="Z387" s="25" t="str">
        <f aca="false">IF(AT387="","",ROUNDDOWN(SUMIF(入力シート!$Q$5:$Q$204,INDEX(入力シート!$Q$5:$Q$204,AT387),入力シート!$P$5:$P$204)*IF(INDEX(入力シート!$L$5:$L$204,AT387)=13,0.1,IF(INDEX(入力シート!$L$5:$L$204,AT387)=30,0.08,0)),0))</f>
        <v/>
      </c>
      <c r="AA387" s="25" t="str">
        <f aca="false">IF(AT387="","","")</f>
        <v/>
      </c>
      <c r="AB387" s="25" t="str">
        <f aca="false">IF(AT387="","",0)</f>
        <v/>
      </c>
      <c r="AC387" s="25" t="str">
        <f aca="false">IF(AT387="","",0)</f>
        <v/>
      </c>
      <c r="AD387" s="25" t="str">
        <f aca="false">IF(AT387="","",0)</f>
        <v/>
      </c>
      <c r="AE387" s="25" t="str">
        <f aca="false">IF(AT387="","","")</f>
        <v/>
      </c>
      <c r="AF387" s="25" t="str">
        <f aca="false">IF(AT387="","",0)</f>
        <v/>
      </c>
      <c r="AG387" s="25" t="str">
        <f aca="false">IF(AT387="","",0)</f>
        <v/>
      </c>
      <c r="AH387" s="25" t="str">
        <f aca="false">IF(AT387="","","")</f>
        <v/>
      </c>
      <c r="AI387" s="25" t="str">
        <f aca="false">IF(AT387="","","")</f>
        <v/>
      </c>
      <c r="AJ387" s="25" t="str">
        <f aca="false">IF(AT387="","","")</f>
        <v/>
      </c>
      <c r="AK387" s="25" t="str">
        <f aca="false">IF(AT387="","",2)</f>
        <v/>
      </c>
      <c r="AL387" s="25" t="str">
        <f aca="false">IF(AT387="","","")</f>
        <v/>
      </c>
      <c r="AM387" s="25" t="str">
        <f aca="false">IF(AT387="","","")</f>
        <v/>
      </c>
      <c r="AN387" s="25" t="str">
        <f aca="false">IF(AT387="","",INDEX(入力シート!$C$5:$C$204,AT387))</f>
        <v/>
      </c>
      <c r="AO387" s="25" t="str">
        <f aca="false">IF(AT387="","","")</f>
        <v/>
      </c>
      <c r="AP387" s="25" t="str">
        <f aca="false">IF(AT387="","","")</f>
        <v/>
      </c>
      <c r="AQ387" s="25" t="str">
        <f aca="false">IF(AT387="","","")</f>
        <v/>
      </c>
      <c r="AT387" s="27" t="str">
        <f aca="false">IFERROR(MATCH(187,入力シート!$T$5:$T$204,0),"")</f>
        <v/>
      </c>
    </row>
    <row r="388" customFormat="false" ht="15" hidden="false" customHeight="true" outlineLevel="0" collapsed="false">
      <c r="A388" s="25" t="str">
        <f aca="false">IF(AT388="","",1)</f>
        <v/>
      </c>
      <c r="B388" s="25" t="str">
        <f aca="false">IF(AT388="","",1)</f>
        <v/>
      </c>
      <c r="C388" s="25" t="str">
        <f aca="false">IF(AT388="","",0)</f>
        <v/>
      </c>
      <c r="D388" s="25" t="str">
        <f aca="false">IF(AT388="","",TEXT(INDEX(入力シート!$A$5:$A$204,AT388),"YYYYMMDD"))</f>
        <v/>
      </c>
      <c r="E388" s="25" t="str">
        <f aca="false">IF(AT388="","",TEXT(INDEX(入力シート!$Q$5:$Q$204,AT388),"00000000"))</f>
        <v/>
      </c>
      <c r="F388" s="25" t="str">
        <f aca="false">IF(AT388="","",14)</f>
        <v/>
      </c>
      <c r="G388" s="25" t="str">
        <f aca="false">IF(AT388="","",1)</f>
        <v/>
      </c>
      <c r="H388" s="25" t="str">
        <f aca="false">IF(AT388="","",1)</f>
        <v/>
      </c>
      <c r="I388" s="25" t="str">
        <f aca="false">IF(AT388="","",3)</f>
        <v/>
      </c>
      <c r="J388" s="25" t="str">
        <f aca="false">IF(AT388="","",1)</f>
        <v/>
      </c>
      <c r="K388" s="25" t="str">
        <f aca="false">IF(AT388="","",INDEX(入力シート!$B$5:$B$204,AT388))</f>
        <v/>
      </c>
      <c r="L388" s="25" t="str">
        <f aca="false">IF(AT388="","","")</f>
        <v/>
      </c>
      <c r="M388" s="25" t="str">
        <f aca="false">IF(AT388="","","")</f>
        <v/>
      </c>
      <c r="N388" s="25" t="str">
        <f aca="false">IF(AT388="","",COUNTIF(入力シート!$Q$5:$Q$204,INDEX(入力シート!$Q$5:$Q$204,AT388))+1)</f>
        <v/>
      </c>
      <c r="O388" s="25" t="str">
        <f aca="false">IF(AT388="","",99)</f>
        <v/>
      </c>
      <c r="P388" s="25" t="str">
        <f aca="false">IF(AT388="","","")</f>
        <v/>
      </c>
      <c r="Q388" s="25" t="str">
        <f aca="false">IF(AT388="","","")</f>
        <v/>
      </c>
      <c r="R388" s="25" t="str">
        <f aca="false">IF(AT388="","","消費税")</f>
        <v/>
      </c>
      <c r="S388" s="25" t="str">
        <f aca="false">IF(AT388="","",0)</f>
        <v/>
      </c>
      <c r="T388" s="25" t="str">
        <f aca="false">IF(AT388="","","")</f>
        <v/>
      </c>
      <c r="U388" s="25" t="str">
        <f aca="false">IF(AT388="","",0)</f>
        <v/>
      </c>
      <c r="V388" s="25" t="str">
        <f aca="false">IF(AT388="","",0)</f>
        <v/>
      </c>
      <c r="W388" s="25" t="str">
        <f aca="false">IF(AT388="","","")</f>
        <v/>
      </c>
      <c r="X388" s="25" t="str">
        <f aca="false">IF(AT388="","",0)</f>
        <v/>
      </c>
      <c r="Y388" s="25" t="str">
        <f aca="false">IF(AT388="","",0)</f>
        <v/>
      </c>
      <c r="Z388" s="25" t="str">
        <f aca="false">IF(AT388="","",ROUNDDOWN(SUMIF(入力シート!$Q$5:$Q$204,INDEX(入力シート!$Q$5:$Q$204,AT388),入力シート!$P$5:$P$204)*IF(INDEX(入力シート!$L$5:$L$204,AT388)=13,0.1,IF(INDEX(入力シート!$L$5:$L$204,AT388)=30,0.08,0)),0))</f>
        <v/>
      </c>
      <c r="AA388" s="25" t="str">
        <f aca="false">IF(AT388="","","")</f>
        <v/>
      </c>
      <c r="AB388" s="25" t="str">
        <f aca="false">IF(AT388="","",0)</f>
        <v/>
      </c>
      <c r="AC388" s="25" t="str">
        <f aca="false">IF(AT388="","",0)</f>
        <v/>
      </c>
      <c r="AD388" s="25" t="str">
        <f aca="false">IF(AT388="","",0)</f>
        <v/>
      </c>
      <c r="AE388" s="25" t="str">
        <f aca="false">IF(AT388="","","")</f>
        <v/>
      </c>
      <c r="AF388" s="25" t="str">
        <f aca="false">IF(AT388="","",0)</f>
        <v/>
      </c>
      <c r="AG388" s="25" t="str">
        <f aca="false">IF(AT388="","",0)</f>
        <v/>
      </c>
      <c r="AH388" s="25" t="str">
        <f aca="false">IF(AT388="","","")</f>
        <v/>
      </c>
      <c r="AI388" s="25" t="str">
        <f aca="false">IF(AT388="","","")</f>
        <v/>
      </c>
      <c r="AJ388" s="25" t="str">
        <f aca="false">IF(AT388="","","")</f>
        <v/>
      </c>
      <c r="AK388" s="25" t="str">
        <f aca="false">IF(AT388="","",2)</f>
        <v/>
      </c>
      <c r="AL388" s="25" t="str">
        <f aca="false">IF(AT388="","","")</f>
        <v/>
      </c>
      <c r="AM388" s="25" t="str">
        <f aca="false">IF(AT388="","","")</f>
        <v/>
      </c>
      <c r="AN388" s="25" t="str">
        <f aca="false">IF(AT388="","",INDEX(入力シート!$C$5:$C$204,AT388))</f>
        <v/>
      </c>
      <c r="AO388" s="25" t="str">
        <f aca="false">IF(AT388="","","")</f>
        <v/>
      </c>
      <c r="AP388" s="25" t="str">
        <f aca="false">IF(AT388="","","")</f>
        <v/>
      </c>
      <c r="AQ388" s="25" t="str">
        <f aca="false">IF(AT388="","","")</f>
        <v/>
      </c>
      <c r="AT388" s="27" t="str">
        <f aca="false">IFERROR(MATCH(188,入力シート!$T$5:$T$204,0),"")</f>
        <v/>
      </c>
    </row>
    <row r="389" customFormat="false" ht="15" hidden="false" customHeight="true" outlineLevel="0" collapsed="false">
      <c r="A389" s="25" t="str">
        <f aca="false">IF(AT389="","",1)</f>
        <v/>
      </c>
      <c r="B389" s="25" t="str">
        <f aca="false">IF(AT389="","",1)</f>
        <v/>
      </c>
      <c r="C389" s="25" t="str">
        <f aca="false">IF(AT389="","",0)</f>
        <v/>
      </c>
      <c r="D389" s="25" t="str">
        <f aca="false">IF(AT389="","",TEXT(INDEX(入力シート!$A$5:$A$204,AT389),"YYYYMMDD"))</f>
        <v/>
      </c>
      <c r="E389" s="25" t="str">
        <f aca="false">IF(AT389="","",TEXT(INDEX(入力シート!$Q$5:$Q$204,AT389),"00000000"))</f>
        <v/>
      </c>
      <c r="F389" s="25" t="str">
        <f aca="false">IF(AT389="","",14)</f>
        <v/>
      </c>
      <c r="G389" s="25" t="str">
        <f aca="false">IF(AT389="","",1)</f>
        <v/>
      </c>
      <c r="H389" s="25" t="str">
        <f aca="false">IF(AT389="","",1)</f>
        <v/>
      </c>
      <c r="I389" s="25" t="str">
        <f aca="false">IF(AT389="","",3)</f>
        <v/>
      </c>
      <c r="J389" s="25" t="str">
        <f aca="false">IF(AT389="","",1)</f>
        <v/>
      </c>
      <c r="K389" s="25" t="str">
        <f aca="false">IF(AT389="","",INDEX(入力シート!$B$5:$B$204,AT389))</f>
        <v/>
      </c>
      <c r="L389" s="25" t="str">
        <f aca="false">IF(AT389="","","")</f>
        <v/>
      </c>
      <c r="M389" s="25" t="str">
        <f aca="false">IF(AT389="","","")</f>
        <v/>
      </c>
      <c r="N389" s="25" t="str">
        <f aca="false">IF(AT389="","",COUNTIF(入力シート!$Q$5:$Q$204,INDEX(入力シート!$Q$5:$Q$204,AT389))+1)</f>
        <v/>
      </c>
      <c r="O389" s="25" t="str">
        <f aca="false">IF(AT389="","",99)</f>
        <v/>
      </c>
      <c r="P389" s="25" t="str">
        <f aca="false">IF(AT389="","","")</f>
        <v/>
      </c>
      <c r="Q389" s="25" t="str">
        <f aca="false">IF(AT389="","","")</f>
        <v/>
      </c>
      <c r="R389" s="25" t="str">
        <f aca="false">IF(AT389="","","消費税")</f>
        <v/>
      </c>
      <c r="S389" s="25" t="str">
        <f aca="false">IF(AT389="","",0)</f>
        <v/>
      </c>
      <c r="T389" s="25" t="str">
        <f aca="false">IF(AT389="","","")</f>
        <v/>
      </c>
      <c r="U389" s="25" t="str">
        <f aca="false">IF(AT389="","",0)</f>
        <v/>
      </c>
      <c r="V389" s="25" t="str">
        <f aca="false">IF(AT389="","",0)</f>
        <v/>
      </c>
      <c r="W389" s="25" t="str">
        <f aca="false">IF(AT389="","","")</f>
        <v/>
      </c>
      <c r="X389" s="25" t="str">
        <f aca="false">IF(AT389="","",0)</f>
        <v/>
      </c>
      <c r="Y389" s="25" t="str">
        <f aca="false">IF(AT389="","",0)</f>
        <v/>
      </c>
      <c r="Z389" s="25" t="str">
        <f aca="false">IF(AT389="","",ROUNDDOWN(SUMIF(入力シート!$Q$5:$Q$204,INDEX(入力シート!$Q$5:$Q$204,AT389),入力シート!$P$5:$P$204)*IF(INDEX(入力シート!$L$5:$L$204,AT389)=13,0.1,IF(INDEX(入力シート!$L$5:$L$204,AT389)=30,0.08,0)),0))</f>
        <v/>
      </c>
      <c r="AA389" s="25" t="str">
        <f aca="false">IF(AT389="","","")</f>
        <v/>
      </c>
      <c r="AB389" s="25" t="str">
        <f aca="false">IF(AT389="","",0)</f>
        <v/>
      </c>
      <c r="AC389" s="25" t="str">
        <f aca="false">IF(AT389="","",0)</f>
        <v/>
      </c>
      <c r="AD389" s="25" t="str">
        <f aca="false">IF(AT389="","",0)</f>
        <v/>
      </c>
      <c r="AE389" s="25" t="str">
        <f aca="false">IF(AT389="","","")</f>
        <v/>
      </c>
      <c r="AF389" s="25" t="str">
        <f aca="false">IF(AT389="","",0)</f>
        <v/>
      </c>
      <c r="AG389" s="25" t="str">
        <f aca="false">IF(AT389="","",0)</f>
        <v/>
      </c>
      <c r="AH389" s="25" t="str">
        <f aca="false">IF(AT389="","","")</f>
        <v/>
      </c>
      <c r="AI389" s="25" t="str">
        <f aca="false">IF(AT389="","","")</f>
        <v/>
      </c>
      <c r="AJ389" s="25" t="str">
        <f aca="false">IF(AT389="","","")</f>
        <v/>
      </c>
      <c r="AK389" s="25" t="str">
        <f aca="false">IF(AT389="","",2)</f>
        <v/>
      </c>
      <c r="AL389" s="25" t="str">
        <f aca="false">IF(AT389="","","")</f>
        <v/>
      </c>
      <c r="AM389" s="25" t="str">
        <f aca="false">IF(AT389="","","")</f>
        <v/>
      </c>
      <c r="AN389" s="25" t="str">
        <f aca="false">IF(AT389="","",INDEX(入力シート!$C$5:$C$204,AT389))</f>
        <v/>
      </c>
      <c r="AO389" s="25" t="str">
        <f aca="false">IF(AT389="","","")</f>
        <v/>
      </c>
      <c r="AP389" s="25" t="str">
        <f aca="false">IF(AT389="","","")</f>
        <v/>
      </c>
      <c r="AQ389" s="25" t="str">
        <f aca="false">IF(AT389="","","")</f>
        <v/>
      </c>
      <c r="AT389" s="27" t="str">
        <f aca="false">IFERROR(MATCH(189,入力シート!$T$5:$T$204,0),"")</f>
        <v/>
      </c>
    </row>
    <row r="390" customFormat="false" ht="15" hidden="false" customHeight="true" outlineLevel="0" collapsed="false">
      <c r="A390" s="25" t="str">
        <f aca="false">IF(AT390="","",1)</f>
        <v/>
      </c>
      <c r="B390" s="25" t="str">
        <f aca="false">IF(AT390="","",1)</f>
        <v/>
      </c>
      <c r="C390" s="25" t="str">
        <f aca="false">IF(AT390="","",0)</f>
        <v/>
      </c>
      <c r="D390" s="25" t="str">
        <f aca="false">IF(AT390="","",TEXT(INDEX(入力シート!$A$5:$A$204,AT390),"YYYYMMDD"))</f>
        <v/>
      </c>
      <c r="E390" s="25" t="str">
        <f aca="false">IF(AT390="","",TEXT(INDEX(入力シート!$Q$5:$Q$204,AT390),"00000000"))</f>
        <v/>
      </c>
      <c r="F390" s="25" t="str">
        <f aca="false">IF(AT390="","",14)</f>
        <v/>
      </c>
      <c r="G390" s="25" t="str">
        <f aca="false">IF(AT390="","",1)</f>
        <v/>
      </c>
      <c r="H390" s="25" t="str">
        <f aca="false">IF(AT390="","",1)</f>
        <v/>
      </c>
      <c r="I390" s="25" t="str">
        <f aca="false">IF(AT390="","",3)</f>
        <v/>
      </c>
      <c r="J390" s="25" t="str">
        <f aca="false">IF(AT390="","",1)</f>
        <v/>
      </c>
      <c r="K390" s="25" t="str">
        <f aca="false">IF(AT390="","",INDEX(入力シート!$B$5:$B$204,AT390))</f>
        <v/>
      </c>
      <c r="L390" s="25" t="str">
        <f aca="false">IF(AT390="","","")</f>
        <v/>
      </c>
      <c r="M390" s="25" t="str">
        <f aca="false">IF(AT390="","","")</f>
        <v/>
      </c>
      <c r="N390" s="25" t="str">
        <f aca="false">IF(AT390="","",COUNTIF(入力シート!$Q$5:$Q$204,INDEX(入力シート!$Q$5:$Q$204,AT390))+1)</f>
        <v/>
      </c>
      <c r="O390" s="25" t="str">
        <f aca="false">IF(AT390="","",99)</f>
        <v/>
      </c>
      <c r="P390" s="25" t="str">
        <f aca="false">IF(AT390="","","")</f>
        <v/>
      </c>
      <c r="Q390" s="25" t="str">
        <f aca="false">IF(AT390="","","")</f>
        <v/>
      </c>
      <c r="R390" s="25" t="str">
        <f aca="false">IF(AT390="","","消費税")</f>
        <v/>
      </c>
      <c r="S390" s="25" t="str">
        <f aca="false">IF(AT390="","",0)</f>
        <v/>
      </c>
      <c r="T390" s="25" t="str">
        <f aca="false">IF(AT390="","","")</f>
        <v/>
      </c>
      <c r="U390" s="25" t="str">
        <f aca="false">IF(AT390="","",0)</f>
        <v/>
      </c>
      <c r="V390" s="25" t="str">
        <f aca="false">IF(AT390="","",0)</f>
        <v/>
      </c>
      <c r="W390" s="25" t="str">
        <f aca="false">IF(AT390="","","")</f>
        <v/>
      </c>
      <c r="X390" s="25" t="str">
        <f aca="false">IF(AT390="","",0)</f>
        <v/>
      </c>
      <c r="Y390" s="25" t="str">
        <f aca="false">IF(AT390="","",0)</f>
        <v/>
      </c>
      <c r="Z390" s="25" t="str">
        <f aca="false">IF(AT390="","",ROUNDDOWN(SUMIF(入力シート!$Q$5:$Q$204,INDEX(入力シート!$Q$5:$Q$204,AT390),入力シート!$P$5:$P$204)*IF(INDEX(入力シート!$L$5:$L$204,AT390)=13,0.1,IF(INDEX(入力シート!$L$5:$L$204,AT390)=30,0.08,0)),0))</f>
        <v/>
      </c>
      <c r="AA390" s="25" t="str">
        <f aca="false">IF(AT390="","","")</f>
        <v/>
      </c>
      <c r="AB390" s="25" t="str">
        <f aca="false">IF(AT390="","",0)</f>
        <v/>
      </c>
      <c r="AC390" s="25" t="str">
        <f aca="false">IF(AT390="","",0)</f>
        <v/>
      </c>
      <c r="AD390" s="25" t="str">
        <f aca="false">IF(AT390="","",0)</f>
        <v/>
      </c>
      <c r="AE390" s="25" t="str">
        <f aca="false">IF(AT390="","","")</f>
        <v/>
      </c>
      <c r="AF390" s="25" t="str">
        <f aca="false">IF(AT390="","",0)</f>
        <v/>
      </c>
      <c r="AG390" s="25" t="str">
        <f aca="false">IF(AT390="","",0)</f>
        <v/>
      </c>
      <c r="AH390" s="25" t="str">
        <f aca="false">IF(AT390="","","")</f>
        <v/>
      </c>
      <c r="AI390" s="25" t="str">
        <f aca="false">IF(AT390="","","")</f>
        <v/>
      </c>
      <c r="AJ390" s="25" t="str">
        <f aca="false">IF(AT390="","","")</f>
        <v/>
      </c>
      <c r="AK390" s="25" t="str">
        <f aca="false">IF(AT390="","",2)</f>
        <v/>
      </c>
      <c r="AL390" s="25" t="str">
        <f aca="false">IF(AT390="","","")</f>
        <v/>
      </c>
      <c r="AM390" s="25" t="str">
        <f aca="false">IF(AT390="","","")</f>
        <v/>
      </c>
      <c r="AN390" s="25" t="str">
        <f aca="false">IF(AT390="","",INDEX(入力シート!$C$5:$C$204,AT390))</f>
        <v/>
      </c>
      <c r="AO390" s="25" t="str">
        <f aca="false">IF(AT390="","","")</f>
        <v/>
      </c>
      <c r="AP390" s="25" t="str">
        <f aca="false">IF(AT390="","","")</f>
        <v/>
      </c>
      <c r="AQ390" s="25" t="str">
        <f aca="false">IF(AT390="","","")</f>
        <v/>
      </c>
      <c r="AT390" s="27" t="str">
        <f aca="false">IFERROR(MATCH(190,入力シート!$T$5:$T$204,0),"")</f>
        <v/>
      </c>
    </row>
    <row r="391" customFormat="false" ht="15" hidden="false" customHeight="true" outlineLevel="0" collapsed="false">
      <c r="A391" s="25" t="str">
        <f aca="false">IF(AT391="","",1)</f>
        <v/>
      </c>
      <c r="B391" s="25" t="str">
        <f aca="false">IF(AT391="","",1)</f>
        <v/>
      </c>
      <c r="C391" s="25" t="str">
        <f aca="false">IF(AT391="","",0)</f>
        <v/>
      </c>
      <c r="D391" s="25" t="str">
        <f aca="false">IF(AT391="","",TEXT(INDEX(入力シート!$A$5:$A$204,AT391),"YYYYMMDD"))</f>
        <v/>
      </c>
      <c r="E391" s="25" t="str">
        <f aca="false">IF(AT391="","",TEXT(INDEX(入力シート!$Q$5:$Q$204,AT391),"00000000"))</f>
        <v/>
      </c>
      <c r="F391" s="25" t="str">
        <f aca="false">IF(AT391="","",14)</f>
        <v/>
      </c>
      <c r="G391" s="25" t="str">
        <f aca="false">IF(AT391="","",1)</f>
        <v/>
      </c>
      <c r="H391" s="25" t="str">
        <f aca="false">IF(AT391="","",1)</f>
        <v/>
      </c>
      <c r="I391" s="25" t="str">
        <f aca="false">IF(AT391="","",3)</f>
        <v/>
      </c>
      <c r="J391" s="25" t="str">
        <f aca="false">IF(AT391="","",1)</f>
        <v/>
      </c>
      <c r="K391" s="25" t="str">
        <f aca="false">IF(AT391="","",INDEX(入力シート!$B$5:$B$204,AT391))</f>
        <v/>
      </c>
      <c r="L391" s="25" t="str">
        <f aca="false">IF(AT391="","","")</f>
        <v/>
      </c>
      <c r="M391" s="25" t="str">
        <f aca="false">IF(AT391="","","")</f>
        <v/>
      </c>
      <c r="N391" s="25" t="str">
        <f aca="false">IF(AT391="","",COUNTIF(入力シート!$Q$5:$Q$204,INDEX(入力シート!$Q$5:$Q$204,AT391))+1)</f>
        <v/>
      </c>
      <c r="O391" s="25" t="str">
        <f aca="false">IF(AT391="","",99)</f>
        <v/>
      </c>
      <c r="P391" s="25" t="str">
        <f aca="false">IF(AT391="","","")</f>
        <v/>
      </c>
      <c r="Q391" s="25" t="str">
        <f aca="false">IF(AT391="","","")</f>
        <v/>
      </c>
      <c r="R391" s="25" t="str">
        <f aca="false">IF(AT391="","","消費税")</f>
        <v/>
      </c>
      <c r="S391" s="25" t="str">
        <f aca="false">IF(AT391="","",0)</f>
        <v/>
      </c>
      <c r="T391" s="25" t="str">
        <f aca="false">IF(AT391="","","")</f>
        <v/>
      </c>
      <c r="U391" s="25" t="str">
        <f aca="false">IF(AT391="","",0)</f>
        <v/>
      </c>
      <c r="V391" s="25" t="str">
        <f aca="false">IF(AT391="","",0)</f>
        <v/>
      </c>
      <c r="W391" s="25" t="str">
        <f aca="false">IF(AT391="","","")</f>
        <v/>
      </c>
      <c r="X391" s="25" t="str">
        <f aca="false">IF(AT391="","",0)</f>
        <v/>
      </c>
      <c r="Y391" s="25" t="str">
        <f aca="false">IF(AT391="","",0)</f>
        <v/>
      </c>
      <c r="Z391" s="25" t="str">
        <f aca="false">IF(AT391="","",ROUNDDOWN(SUMIF(入力シート!$Q$5:$Q$204,INDEX(入力シート!$Q$5:$Q$204,AT391),入力シート!$P$5:$P$204)*IF(INDEX(入力シート!$L$5:$L$204,AT391)=13,0.1,IF(INDEX(入力シート!$L$5:$L$204,AT391)=30,0.08,0)),0))</f>
        <v/>
      </c>
      <c r="AA391" s="25" t="str">
        <f aca="false">IF(AT391="","","")</f>
        <v/>
      </c>
      <c r="AB391" s="25" t="str">
        <f aca="false">IF(AT391="","",0)</f>
        <v/>
      </c>
      <c r="AC391" s="25" t="str">
        <f aca="false">IF(AT391="","",0)</f>
        <v/>
      </c>
      <c r="AD391" s="25" t="str">
        <f aca="false">IF(AT391="","",0)</f>
        <v/>
      </c>
      <c r="AE391" s="25" t="str">
        <f aca="false">IF(AT391="","","")</f>
        <v/>
      </c>
      <c r="AF391" s="25" t="str">
        <f aca="false">IF(AT391="","",0)</f>
        <v/>
      </c>
      <c r="AG391" s="25" t="str">
        <f aca="false">IF(AT391="","",0)</f>
        <v/>
      </c>
      <c r="AH391" s="25" t="str">
        <f aca="false">IF(AT391="","","")</f>
        <v/>
      </c>
      <c r="AI391" s="25" t="str">
        <f aca="false">IF(AT391="","","")</f>
        <v/>
      </c>
      <c r="AJ391" s="25" t="str">
        <f aca="false">IF(AT391="","","")</f>
        <v/>
      </c>
      <c r="AK391" s="25" t="str">
        <f aca="false">IF(AT391="","",2)</f>
        <v/>
      </c>
      <c r="AL391" s="25" t="str">
        <f aca="false">IF(AT391="","","")</f>
        <v/>
      </c>
      <c r="AM391" s="25" t="str">
        <f aca="false">IF(AT391="","","")</f>
        <v/>
      </c>
      <c r="AN391" s="25" t="str">
        <f aca="false">IF(AT391="","",INDEX(入力シート!$C$5:$C$204,AT391))</f>
        <v/>
      </c>
      <c r="AO391" s="25" t="str">
        <f aca="false">IF(AT391="","","")</f>
        <v/>
      </c>
      <c r="AP391" s="25" t="str">
        <f aca="false">IF(AT391="","","")</f>
        <v/>
      </c>
      <c r="AQ391" s="25" t="str">
        <f aca="false">IF(AT391="","","")</f>
        <v/>
      </c>
      <c r="AT391" s="27" t="str">
        <f aca="false">IFERROR(MATCH(191,入力シート!$T$5:$T$204,0),"")</f>
        <v/>
      </c>
    </row>
    <row r="392" customFormat="false" ht="15" hidden="false" customHeight="true" outlineLevel="0" collapsed="false">
      <c r="A392" s="25" t="str">
        <f aca="false">IF(AT392="","",1)</f>
        <v/>
      </c>
      <c r="B392" s="25" t="str">
        <f aca="false">IF(AT392="","",1)</f>
        <v/>
      </c>
      <c r="C392" s="25" t="str">
        <f aca="false">IF(AT392="","",0)</f>
        <v/>
      </c>
      <c r="D392" s="25" t="str">
        <f aca="false">IF(AT392="","",TEXT(INDEX(入力シート!$A$5:$A$204,AT392),"YYYYMMDD"))</f>
        <v/>
      </c>
      <c r="E392" s="25" t="str">
        <f aca="false">IF(AT392="","",TEXT(INDEX(入力シート!$Q$5:$Q$204,AT392),"00000000"))</f>
        <v/>
      </c>
      <c r="F392" s="25" t="str">
        <f aca="false">IF(AT392="","",14)</f>
        <v/>
      </c>
      <c r="G392" s="25" t="str">
        <f aca="false">IF(AT392="","",1)</f>
        <v/>
      </c>
      <c r="H392" s="25" t="str">
        <f aca="false">IF(AT392="","",1)</f>
        <v/>
      </c>
      <c r="I392" s="25" t="str">
        <f aca="false">IF(AT392="","",3)</f>
        <v/>
      </c>
      <c r="J392" s="25" t="str">
        <f aca="false">IF(AT392="","",1)</f>
        <v/>
      </c>
      <c r="K392" s="25" t="str">
        <f aca="false">IF(AT392="","",INDEX(入力シート!$B$5:$B$204,AT392))</f>
        <v/>
      </c>
      <c r="L392" s="25" t="str">
        <f aca="false">IF(AT392="","","")</f>
        <v/>
      </c>
      <c r="M392" s="25" t="str">
        <f aca="false">IF(AT392="","","")</f>
        <v/>
      </c>
      <c r="N392" s="25" t="str">
        <f aca="false">IF(AT392="","",COUNTIF(入力シート!$Q$5:$Q$204,INDEX(入力シート!$Q$5:$Q$204,AT392))+1)</f>
        <v/>
      </c>
      <c r="O392" s="25" t="str">
        <f aca="false">IF(AT392="","",99)</f>
        <v/>
      </c>
      <c r="P392" s="25" t="str">
        <f aca="false">IF(AT392="","","")</f>
        <v/>
      </c>
      <c r="Q392" s="25" t="str">
        <f aca="false">IF(AT392="","","")</f>
        <v/>
      </c>
      <c r="R392" s="25" t="str">
        <f aca="false">IF(AT392="","","消費税")</f>
        <v/>
      </c>
      <c r="S392" s="25" t="str">
        <f aca="false">IF(AT392="","",0)</f>
        <v/>
      </c>
      <c r="T392" s="25" t="str">
        <f aca="false">IF(AT392="","","")</f>
        <v/>
      </c>
      <c r="U392" s="25" t="str">
        <f aca="false">IF(AT392="","",0)</f>
        <v/>
      </c>
      <c r="V392" s="25" t="str">
        <f aca="false">IF(AT392="","",0)</f>
        <v/>
      </c>
      <c r="W392" s="25" t="str">
        <f aca="false">IF(AT392="","","")</f>
        <v/>
      </c>
      <c r="X392" s="25" t="str">
        <f aca="false">IF(AT392="","",0)</f>
        <v/>
      </c>
      <c r="Y392" s="25" t="str">
        <f aca="false">IF(AT392="","",0)</f>
        <v/>
      </c>
      <c r="Z392" s="25" t="str">
        <f aca="false">IF(AT392="","",ROUNDDOWN(SUMIF(入力シート!$Q$5:$Q$204,INDEX(入力シート!$Q$5:$Q$204,AT392),入力シート!$P$5:$P$204)*IF(INDEX(入力シート!$L$5:$L$204,AT392)=13,0.1,IF(INDEX(入力シート!$L$5:$L$204,AT392)=30,0.08,0)),0))</f>
        <v/>
      </c>
      <c r="AA392" s="25" t="str">
        <f aca="false">IF(AT392="","","")</f>
        <v/>
      </c>
      <c r="AB392" s="25" t="str">
        <f aca="false">IF(AT392="","",0)</f>
        <v/>
      </c>
      <c r="AC392" s="25" t="str">
        <f aca="false">IF(AT392="","",0)</f>
        <v/>
      </c>
      <c r="AD392" s="25" t="str">
        <f aca="false">IF(AT392="","",0)</f>
        <v/>
      </c>
      <c r="AE392" s="25" t="str">
        <f aca="false">IF(AT392="","","")</f>
        <v/>
      </c>
      <c r="AF392" s="25" t="str">
        <f aca="false">IF(AT392="","",0)</f>
        <v/>
      </c>
      <c r="AG392" s="25" t="str">
        <f aca="false">IF(AT392="","",0)</f>
        <v/>
      </c>
      <c r="AH392" s="25" t="str">
        <f aca="false">IF(AT392="","","")</f>
        <v/>
      </c>
      <c r="AI392" s="25" t="str">
        <f aca="false">IF(AT392="","","")</f>
        <v/>
      </c>
      <c r="AJ392" s="25" t="str">
        <f aca="false">IF(AT392="","","")</f>
        <v/>
      </c>
      <c r="AK392" s="25" t="str">
        <f aca="false">IF(AT392="","",2)</f>
        <v/>
      </c>
      <c r="AL392" s="25" t="str">
        <f aca="false">IF(AT392="","","")</f>
        <v/>
      </c>
      <c r="AM392" s="25" t="str">
        <f aca="false">IF(AT392="","","")</f>
        <v/>
      </c>
      <c r="AN392" s="25" t="str">
        <f aca="false">IF(AT392="","",INDEX(入力シート!$C$5:$C$204,AT392))</f>
        <v/>
      </c>
      <c r="AO392" s="25" t="str">
        <f aca="false">IF(AT392="","","")</f>
        <v/>
      </c>
      <c r="AP392" s="25" t="str">
        <f aca="false">IF(AT392="","","")</f>
        <v/>
      </c>
      <c r="AQ392" s="25" t="str">
        <f aca="false">IF(AT392="","","")</f>
        <v/>
      </c>
      <c r="AT392" s="27" t="str">
        <f aca="false">IFERROR(MATCH(192,入力シート!$T$5:$T$204,0),"")</f>
        <v/>
      </c>
    </row>
    <row r="393" customFormat="false" ht="15" hidden="false" customHeight="true" outlineLevel="0" collapsed="false">
      <c r="A393" s="25" t="str">
        <f aca="false">IF(AT393="","",1)</f>
        <v/>
      </c>
      <c r="B393" s="25" t="str">
        <f aca="false">IF(AT393="","",1)</f>
        <v/>
      </c>
      <c r="C393" s="25" t="str">
        <f aca="false">IF(AT393="","",0)</f>
        <v/>
      </c>
      <c r="D393" s="25" t="str">
        <f aca="false">IF(AT393="","",TEXT(INDEX(入力シート!$A$5:$A$204,AT393),"YYYYMMDD"))</f>
        <v/>
      </c>
      <c r="E393" s="25" t="str">
        <f aca="false">IF(AT393="","",TEXT(INDEX(入力シート!$Q$5:$Q$204,AT393),"00000000"))</f>
        <v/>
      </c>
      <c r="F393" s="25" t="str">
        <f aca="false">IF(AT393="","",14)</f>
        <v/>
      </c>
      <c r="G393" s="25" t="str">
        <f aca="false">IF(AT393="","",1)</f>
        <v/>
      </c>
      <c r="H393" s="25" t="str">
        <f aca="false">IF(AT393="","",1)</f>
        <v/>
      </c>
      <c r="I393" s="25" t="str">
        <f aca="false">IF(AT393="","",3)</f>
        <v/>
      </c>
      <c r="J393" s="25" t="str">
        <f aca="false">IF(AT393="","",1)</f>
        <v/>
      </c>
      <c r="K393" s="25" t="str">
        <f aca="false">IF(AT393="","",INDEX(入力シート!$B$5:$B$204,AT393))</f>
        <v/>
      </c>
      <c r="L393" s="25" t="str">
        <f aca="false">IF(AT393="","","")</f>
        <v/>
      </c>
      <c r="M393" s="25" t="str">
        <f aca="false">IF(AT393="","","")</f>
        <v/>
      </c>
      <c r="N393" s="25" t="str">
        <f aca="false">IF(AT393="","",COUNTIF(入力シート!$Q$5:$Q$204,INDEX(入力シート!$Q$5:$Q$204,AT393))+1)</f>
        <v/>
      </c>
      <c r="O393" s="25" t="str">
        <f aca="false">IF(AT393="","",99)</f>
        <v/>
      </c>
      <c r="P393" s="25" t="str">
        <f aca="false">IF(AT393="","","")</f>
        <v/>
      </c>
      <c r="Q393" s="25" t="str">
        <f aca="false">IF(AT393="","","")</f>
        <v/>
      </c>
      <c r="R393" s="25" t="str">
        <f aca="false">IF(AT393="","","消費税")</f>
        <v/>
      </c>
      <c r="S393" s="25" t="str">
        <f aca="false">IF(AT393="","",0)</f>
        <v/>
      </c>
      <c r="T393" s="25" t="str">
        <f aca="false">IF(AT393="","","")</f>
        <v/>
      </c>
      <c r="U393" s="25" t="str">
        <f aca="false">IF(AT393="","",0)</f>
        <v/>
      </c>
      <c r="V393" s="25" t="str">
        <f aca="false">IF(AT393="","",0)</f>
        <v/>
      </c>
      <c r="W393" s="25" t="str">
        <f aca="false">IF(AT393="","","")</f>
        <v/>
      </c>
      <c r="X393" s="25" t="str">
        <f aca="false">IF(AT393="","",0)</f>
        <v/>
      </c>
      <c r="Y393" s="25" t="str">
        <f aca="false">IF(AT393="","",0)</f>
        <v/>
      </c>
      <c r="Z393" s="25" t="str">
        <f aca="false">IF(AT393="","",ROUNDDOWN(SUMIF(入力シート!$Q$5:$Q$204,INDEX(入力シート!$Q$5:$Q$204,AT393),入力シート!$P$5:$P$204)*IF(INDEX(入力シート!$L$5:$L$204,AT393)=13,0.1,IF(INDEX(入力シート!$L$5:$L$204,AT393)=30,0.08,0)),0))</f>
        <v/>
      </c>
      <c r="AA393" s="25" t="str">
        <f aca="false">IF(AT393="","","")</f>
        <v/>
      </c>
      <c r="AB393" s="25" t="str">
        <f aca="false">IF(AT393="","",0)</f>
        <v/>
      </c>
      <c r="AC393" s="25" t="str">
        <f aca="false">IF(AT393="","",0)</f>
        <v/>
      </c>
      <c r="AD393" s="25" t="str">
        <f aca="false">IF(AT393="","",0)</f>
        <v/>
      </c>
      <c r="AE393" s="25" t="str">
        <f aca="false">IF(AT393="","","")</f>
        <v/>
      </c>
      <c r="AF393" s="25" t="str">
        <f aca="false">IF(AT393="","",0)</f>
        <v/>
      </c>
      <c r="AG393" s="25" t="str">
        <f aca="false">IF(AT393="","",0)</f>
        <v/>
      </c>
      <c r="AH393" s="25" t="str">
        <f aca="false">IF(AT393="","","")</f>
        <v/>
      </c>
      <c r="AI393" s="25" t="str">
        <f aca="false">IF(AT393="","","")</f>
        <v/>
      </c>
      <c r="AJ393" s="25" t="str">
        <f aca="false">IF(AT393="","","")</f>
        <v/>
      </c>
      <c r="AK393" s="25" t="str">
        <f aca="false">IF(AT393="","",2)</f>
        <v/>
      </c>
      <c r="AL393" s="25" t="str">
        <f aca="false">IF(AT393="","","")</f>
        <v/>
      </c>
      <c r="AM393" s="25" t="str">
        <f aca="false">IF(AT393="","","")</f>
        <v/>
      </c>
      <c r="AN393" s="25" t="str">
        <f aca="false">IF(AT393="","",INDEX(入力シート!$C$5:$C$204,AT393))</f>
        <v/>
      </c>
      <c r="AO393" s="25" t="str">
        <f aca="false">IF(AT393="","","")</f>
        <v/>
      </c>
      <c r="AP393" s="25" t="str">
        <f aca="false">IF(AT393="","","")</f>
        <v/>
      </c>
      <c r="AQ393" s="25" t="str">
        <f aca="false">IF(AT393="","","")</f>
        <v/>
      </c>
      <c r="AT393" s="27" t="str">
        <f aca="false">IFERROR(MATCH(193,入力シート!$T$5:$T$204,0),"")</f>
        <v/>
      </c>
    </row>
    <row r="394" customFormat="false" ht="15" hidden="false" customHeight="true" outlineLevel="0" collapsed="false">
      <c r="A394" s="25" t="str">
        <f aca="false">IF(AT394="","",1)</f>
        <v/>
      </c>
      <c r="B394" s="25" t="str">
        <f aca="false">IF(AT394="","",1)</f>
        <v/>
      </c>
      <c r="C394" s="25" t="str">
        <f aca="false">IF(AT394="","",0)</f>
        <v/>
      </c>
      <c r="D394" s="25" t="str">
        <f aca="false">IF(AT394="","",TEXT(INDEX(入力シート!$A$5:$A$204,AT394),"YYYYMMDD"))</f>
        <v/>
      </c>
      <c r="E394" s="25" t="str">
        <f aca="false">IF(AT394="","",TEXT(INDEX(入力シート!$Q$5:$Q$204,AT394),"00000000"))</f>
        <v/>
      </c>
      <c r="F394" s="25" t="str">
        <f aca="false">IF(AT394="","",14)</f>
        <v/>
      </c>
      <c r="G394" s="25" t="str">
        <f aca="false">IF(AT394="","",1)</f>
        <v/>
      </c>
      <c r="H394" s="25" t="str">
        <f aca="false">IF(AT394="","",1)</f>
        <v/>
      </c>
      <c r="I394" s="25" t="str">
        <f aca="false">IF(AT394="","",3)</f>
        <v/>
      </c>
      <c r="J394" s="25" t="str">
        <f aca="false">IF(AT394="","",1)</f>
        <v/>
      </c>
      <c r="K394" s="25" t="str">
        <f aca="false">IF(AT394="","",INDEX(入力シート!$B$5:$B$204,AT394))</f>
        <v/>
      </c>
      <c r="L394" s="25" t="str">
        <f aca="false">IF(AT394="","","")</f>
        <v/>
      </c>
      <c r="M394" s="25" t="str">
        <f aca="false">IF(AT394="","","")</f>
        <v/>
      </c>
      <c r="N394" s="25" t="str">
        <f aca="false">IF(AT394="","",COUNTIF(入力シート!$Q$5:$Q$204,INDEX(入力シート!$Q$5:$Q$204,AT394))+1)</f>
        <v/>
      </c>
      <c r="O394" s="25" t="str">
        <f aca="false">IF(AT394="","",99)</f>
        <v/>
      </c>
      <c r="P394" s="25" t="str">
        <f aca="false">IF(AT394="","","")</f>
        <v/>
      </c>
      <c r="Q394" s="25" t="str">
        <f aca="false">IF(AT394="","","")</f>
        <v/>
      </c>
      <c r="R394" s="25" t="str">
        <f aca="false">IF(AT394="","","消費税")</f>
        <v/>
      </c>
      <c r="S394" s="25" t="str">
        <f aca="false">IF(AT394="","",0)</f>
        <v/>
      </c>
      <c r="T394" s="25" t="str">
        <f aca="false">IF(AT394="","","")</f>
        <v/>
      </c>
      <c r="U394" s="25" t="str">
        <f aca="false">IF(AT394="","",0)</f>
        <v/>
      </c>
      <c r="V394" s="25" t="str">
        <f aca="false">IF(AT394="","",0)</f>
        <v/>
      </c>
      <c r="W394" s="25" t="str">
        <f aca="false">IF(AT394="","","")</f>
        <v/>
      </c>
      <c r="X394" s="25" t="str">
        <f aca="false">IF(AT394="","",0)</f>
        <v/>
      </c>
      <c r="Y394" s="25" t="str">
        <f aca="false">IF(AT394="","",0)</f>
        <v/>
      </c>
      <c r="Z394" s="25" t="str">
        <f aca="false">IF(AT394="","",ROUNDDOWN(SUMIF(入力シート!$Q$5:$Q$204,INDEX(入力シート!$Q$5:$Q$204,AT394),入力シート!$P$5:$P$204)*IF(INDEX(入力シート!$L$5:$L$204,AT394)=13,0.1,IF(INDEX(入力シート!$L$5:$L$204,AT394)=30,0.08,0)),0))</f>
        <v/>
      </c>
      <c r="AA394" s="25" t="str">
        <f aca="false">IF(AT394="","","")</f>
        <v/>
      </c>
      <c r="AB394" s="25" t="str">
        <f aca="false">IF(AT394="","",0)</f>
        <v/>
      </c>
      <c r="AC394" s="25" t="str">
        <f aca="false">IF(AT394="","",0)</f>
        <v/>
      </c>
      <c r="AD394" s="25" t="str">
        <f aca="false">IF(AT394="","",0)</f>
        <v/>
      </c>
      <c r="AE394" s="25" t="str">
        <f aca="false">IF(AT394="","","")</f>
        <v/>
      </c>
      <c r="AF394" s="25" t="str">
        <f aca="false">IF(AT394="","",0)</f>
        <v/>
      </c>
      <c r="AG394" s="25" t="str">
        <f aca="false">IF(AT394="","",0)</f>
        <v/>
      </c>
      <c r="AH394" s="25" t="str">
        <f aca="false">IF(AT394="","","")</f>
        <v/>
      </c>
      <c r="AI394" s="25" t="str">
        <f aca="false">IF(AT394="","","")</f>
        <v/>
      </c>
      <c r="AJ394" s="25" t="str">
        <f aca="false">IF(AT394="","","")</f>
        <v/>
      </c>
      <c r="AK394" s="25" t="str">
        <f aca="false">IF(AT394="","",2)</f>
        <v/>
      </c>
      <c r="AL394" s="25" t="str">
        <f aca="false">IF(AT394="","","")</f>
        <v/>
      </c>
      <c r="AM394" s="25" t="str">
        <f aca="false">IF(AT394="","","")</f>
        <v/>
      </c>
      <c r="AN394" s="25" t="str">
        <f aca="false">IF(AT394="","",INDEX(入力シート!$C$5:$C$204,AT394))</f>
        <v/>
      </c>
      <c r="AO394" s="25" t="str">
        <f aca="false">IF(AT394="","","")</f>
        <v/>
      </c>
      <c r="AP394" s="25" t="str">
        <f aca="false">IF(AT394="","","")</f>
        <v/>
      </c>
      <c r="AQ394" s="25" t="str">
        <f aca="false">IF(AT394="","","")</f>
        <v/>
      </c>
      <c r="AT394" s="27" t="str">
        <f aca="false">IFERROR(MATCH(194,入力シート!$T$5:$T$204,0),"")</f>
        <v/>
      </c>
    </row>
    <row r="395" customFormat="false" ht="15" hidden="false" customHeight="true" outlineLevel="0" collapsed="false">
      <c r="A395" s="25" t="str">
        <f aca="false">IF(AT395="","",1)</f>
        <v/>
      </c>
      <c r="B395" s="25" t="str">
        <f aca="false">IF(AT395="","",1)</f>
        <v/>
      </c>
      <c r="C395" s="25" t="str">
        <f aca="false">IF(AT395="","",0)</f>
        <v/>
      </c>
      <c r="D395" s="25" t="str">
        <f aca="false">IF(AT395="","",TEXT(INDEX(入力シート!$A$5:$A$204,AT395),"YYYYMMDD"))</f>
        <v/>
      </c>
      <c r="E395" s="25" t="str">
        <f aca="false">IF(AT395="","",TEXT(INDEX(入力シート!$Q$5:$Q$204,AT395),"00000000"))</f>
        <v/>
      </c>
      <c r="F395" s="25" t="str">
        <f aca="false">IF(AT395="","",14)</f>
        <v/>
      </c>
      <c r="G395" s="25" t="str">
        <f aca="false">IF(AT395="","",1)</f>
        <v/>
      </c>
      <c r="H395" s="25" t="str">
        <f aca="false">IF(AT395="","",1)</f>
        <v/>
      </c>
      <c r="I395" s="25" t="str">
        <f aca="false">IF(AT395="","",3)</f>
        <v/>
      </c>
      <c r="J395" s="25" t="str">
        <f aca="false">IF(AT395="","",1)</f>
        <v/>
      </c>
      <c r="K395" s="25" t="str">
        <f aca="false">IF(AT395="","",INDEX(入力シート!$B$5:$B$204,AT395))</f>
        <v/>
      </c>
      <c r="L395" s="25" t="str">
        <f aca="false">IF(AT395="","","")</f>
        <v/>
      </c>
      <c r="M395" s="25" t="str">
        <f aca="false">IF(AT395="","","")</f>
        <v/>
      </c>
      <c r="N395" s="25" t="str">
        <f aca="false">IF(AT395="","",COUNTIF(入力シート!$Q$5:$Q$204,INDEX(入力シート!$Q$5:$Q$204,AT395))+1)</f>
        <v/>
      </c>
      <c r="O395" s="25" t="str">
        <f aca="false">IF(AT395="","",99)</f>
        <v/>
      </c>
      <c r="P395" s="25" t="str">
        <f aca="false">IF(AT395="","","")</f>
        <v/>
      </c>
      <c r="Q395" s="25" t="str">
        <f aca="false">IF(AT395="","","")</f>
        <v/>
      </c>
      <c r="R395" s="25" t="str">
        <f aca="false">IF(AT395="","","消費税")</f>
        <v/>
      </c>
      <c r="S395" s="25" t="str">
        <f aca="false">IF(AT395="","",0)</f>
        <v/>
      </c>
      <c r="T395" s="25" t="str">
        <f aca="false">IF(AT395="","","")</f>
        <v/>
      </c>
      <c r="U395" s="25" t="str">
        <f aca="false">IF(AT395="","",0)</f>
        <v/>
      </c>
      <c r="V395" s="25" t="str">
        <f aca="false">IF(AT395="","",0)</f>
        <v/>
      </c>
      <c r="W395" s="25" t="str">
        <f aca="false">IF(AT395="","","")</f>
        <v/>
      </c>
      <c r="X395" s="25" t="str">
        <f aca="false">IF(AT395="","",0)</f>
        <v/>
      </c>
      <c r="Y395" s="25" t="str">
        <f aca="false">IF(AT395="","",0)</f>
        <v/>
      </c>
      <c r="Z395" s="25" t="str">
        <f aca="false">IF(AT395="","",ROUNDDOWN(SUMIF(入力シート!$Q$5:$Q$204,INDEX(入力シート!$Q$5:$Q$204,AT395),入力シート!$P$5:$P$204)*IF(INDEX(入力シート!$L$5:$L$204,AT395)=13,0.1,IF(INDEX(入力シート!$L$5:$L$204,AT395)=30,0.08,0)),0))</f>
        <v/>
      </c>
      <c r="AA395" s="25" t="str">
        <f aca="false">IF(AT395="","","")</f>
        <v/>
      </c>
      <c r="AB395" s="25" t="str">
        <f aca="false">IF(AT395="","",0)</f>
        <v/>
      </c>
      <c r="AC395" s="25" t="str">
        <f aca="false">IF(AT395="","",0)</f>
        <v/>
      </c>
      <c r="AD395" s="25" t="str">
        <f aca="false">IF(AT395="","",0)</f>
        <v/>
      </c>
      <c r="AE395" s="25" t="str">
        <f aca="false">IF(AT395="","","")</f>
        <v/>
      </c>
      <c r="AF395" s="25" t="str">
        <f aca="false">IF(AT395="","",0)</f>
        <v/>
      </c>
      <c r="AG395" s="25" t="str">
        <f aca="false">IF(AT395="","",0)</f>
        <v/>
      </c>
      <c r="AH395" s="25" t="str">
        <f aca="false">IF(AT395="","","")</f>
        <v/>
      </c>
      <c r="AI395" s="25" t="str">
        <f aca="false">IF(AT395="","","")</f>
        <v/>
      </c>
      <c r="AJ395" s="25" t="str">
        <f aca="false">IF(AT395="","","")</f>
        <v/>
      </c>
      <c r="AK395" s="25" t="str">
        <f aca="false">IF(AT395="","",2)</f>
        <v/>
      </c>
      <c r="AL395" s="25" t="str">
        <f aca="false">IF(AT395="","","")</f>
        <v/>
      </c>
      <c r="AM395" s="25" t="str">
        <f aca="false">IF(AT395="","","")</f>
        <v/>
      </c>
      <c r="AN395" s="25" t="str">
        <f aca="false">IF(AT395="","",INDEX(入力シート!$C$5:$C$204,AT395))</f>
        <v/>
      </c>
      <c r="AO395" s="25" t="str">
        <f aca="false">IF(AT395="","","")</f>
        <v/>
      </c>
      <c r="AP395" s="25" t="str">
        <f aca="false">IF(AT395="","","")</f>
        <v/>
      </c>
      <c r="AQ395" s="25" t="str">
        <f aca="false">IF(AT395="","","")</f>
        <v/>
      </c>
      <c r="AT395" s="27" t="str">
        <f aca="false">IFERROR(MATCH(195,入力シート!$T$5:$T$204,0),"")</f>
        <v/>
      </c>
    </row>
    <row r="396" customFormat="false" ht="15" hidden="false" customHeight="true" outlineLevel="0" collapsed="false">
      <c r="A396" s="25" t="str">
        <f aca="false">IF(AT396="","",1)</f>
        <v/>
      </c>
      <c r="B396" s="25" t="str">
        <f aca="false">IF(AT396="","",1)</f>
        <v/>
      </c>
      <c r="C396" s="25" t="str">
        <f aca="false">IF(AT396="","",0)</f>
        <v/>
      </c>
      <c r="D396" s="25" t="str">
        <f aca="false">IF(AT396="","",TEXT(INDEX(入力シート!$A$5:$A$204,AT396),"YYYYMMDD"))</f>
        <v/>
      </c>
      <c r="E396" s="25" t="str">
        <f aca="false">IF(AT396="","",TEXT(INDEX(入力シート!$Q$5:$Q$204,AT396),"00000000"))</f>
        <v/>
      </c>
      <c r="F396" s="25" t="str">
        <f aca="false">IF(AT396="","",14)</f>
        <v/>
      </c>
      <c r="G396" s="25" t="str">
        <f aca="false">IF(AT396="","",1)</f>
        <v/>
      </c>
      <c r="H396" s="25" t="str">
        <f aca="false">IF(AT396="","",1)</f>
        <v/>
      </c>
      <c r="I396" s="25" t="str">
        <f aca="false">IF(AT396="","",3)</f>
        <v/>
      </c>
      <c r="J396" s="25" t="str">
        <f aca="false">IF(AT396="","",1)</f>
        <v/>
      </c>
      <c r="K396" s="25" t="str">
        <f aca="false">IF(AT396="","",INDEX(入力シート!$B$5:$B$204,AT396))</f>
        <v/>
      </c>
      <c r="L396" s="25" t="str">
        <f aca="false">IF(AT396="","","")</f>
        <v/>
      </c>
      <c r="M396" s="25" t="str">
        <f aca="false">IF(AT396="","","")</f>
        <v/>
      </c>
      <c r="N396" s="25" t="str">
        <f aca="false">IF(AT396="","",COUNTIF(入力シート!$Q$5:$Q$204,INDEX(入力シート!$Q$5:$Q$204,AT396))+1)</f>
        <v/>
      </c>
      <c r="O396" s="25" t="str">
        <f aca="false">IF(AT396="","",99)</f>
        <v/>
      </c>
      <c r="P396" s="25" t="str">
        <f aca="false">IF(AT396="","","")</f>
        <v/>
      </c>
      <c r="Q396" s="25" t="str">
        <f aca="false">IF(AT396="","","")</f>
        <v/>
      </c>
      <c r="R396" s="25" t="str">
        <f aca="false">IF(AT396="","","消費税")</f>
        <v/>
      </c>
      <c r="S396" s="25" t="str">
        <f aca="false">IF(AT396="","",0)</f>
        <v/>
      </c>
      <c r="T396" s="25" t="str">
        <f aca="false">IF(AT396="","","")</f>
        <v/>
      </c>
      <c r="U396" s="25" t="str">
        <f aca="false">IF(AT396="","",0)</f>
        <v/>
      </c>
      <c r="V396" s="25" t="str">
        <f aca="false">IF(AT396="","",0)</f>
        <v/>
      </c>
      <c r="W396" s="25" t="str">
        <f aca="false">IF(AT396="","","")</f>
        <v/>
      </c>
      <c r="X396" s="25" t="str">
        <f aca="false">IF(AT396="","",0)</f>
        <v/>
      </c>
      <c r="Y396" s="25" t="str">
        <f aca="false">IF(AT396="","",0)</f>
        <v/>
      </c>
      <c r="Z396" s="25" t="str">
        <f aca="false">IF(AT396="","",ROUNDDOWN(SUMIF(入力シート!$Q$5:$Q$204,INDEX(入力シート!$Q$5:$Q$204,AT396),入力シート!$P$5:$P$204)*IF(INDEX(入力シート!$L$5:$L$204,AT396)=13,0.1,IF(INDEX(入力シート!$L$5:$L$204,AT396)=30,0.08,0)),0))</f>
        <v/>
      </c>
      <c r="AA396" s="25" t="str">
        <f aca="false">IF(AT396="","","")</f>
        <v/>
      </c>
      <c r="AB396" s="25" t="str">
        <f aca="false">IF(AT396="","",0)</f>
        <v/>
      </c>
      <c r="AC396" s="25" t="str">
        <f aca="false">IF(AT396="","",0)</f>
        <v/>
      </c>
      <c r="AD396" s="25" t="str">
        <f aca="false">IF(AT396="","",0)</f>
        <v/>
      </c>
      <c r="AE396" s="25" t="str">
        <f aca="false">IF(AT396="","","")</f>
        <v/>
      </c>
      <c r="AF396" s="25" t="str">
        <f aca="false">IF(AT396="","",0)</f>
        <v/>
      </c>
      <c r="AG396" s="25" t="str">
        <f aca="false">IF(AT396="","",0)</f>
        <v/>
      </c>
      <c r="AH396" s="25" t="str">
        <f aca="false">IF(AT396="","","")</f>
        <v/>
      </c>
      <c r="AI396" s="25" t="str">
        <f aca="false">IF(AT396="","","")</f>
        <v/>
      </c>
      <c r="AJ396" s="25" t="str">
        <f aca="false">IF(AT396="","","")</f>
        <v/>
      </c>
      <c r="AK396" s="25" t="str">
        <f aca="false">IF(AT396="","",2)</f>
        <v/>
      </c>
      <c r="AL396" s="25" t="str">
        <f aca="false">IF(AT396="","","")</f>
        <v/>
      </c>
      <c r="AM396" s="25" t="str">
        <f aca="false">IF(AT396="","","")</f>
        <v/>
      </c>
      <c r="AN396" s="25" t="str">
        <f aca="false">IF(AT396="","",INDEX(入力シート!$C$5:$C$204,AT396))</f>
        <v/>
      </c>
      <c r="AO396" s="25" t="str">
        <f aca="false">IF(AT396="","","")</f>
        <v/>
      </c>
      <c r="AP396" s="25" t="str">
        <f aca="false">IF(AT396="","","")</f>
        <v/>
      </c>
      <c r="AQ396" s="25" t="str">
        <f aca="false">IF(AT396="","","")</f>
        <v/>
      </c>
      <c r="AT396" s="27" t="str">
        <f aca="false">IFERROR(MATCH(196,入力シート!$T$5:$T$204,0),"")</f>
        <v/>
      </c>
    </row>
    <row r="397" customFormat="false" ht="15" hidden="false" customHeight="true" outlineLevel="0" collapsed="false">
      <c r="A397" s="25" t="str">
        <f aca="false">IF(AT397="","",1)</f>
        <v/>
      </c>
      <c r="B397" s="25" t="str">
        <f aca="false">IF(AT397="","",1)</f>
        <v/>
      </c>
      <c r="C397" s="25" t="str">
        <f aca="false">IF(AT397="","",0)</f>
        <v/>
      </c>
      <c r="D397" s="25" t="str">
        <f aca="false">IF(AT397="","",TEXT(INDEX(入力シート!$A$5:$A$204,AT397),"YYYYMMDD"))</f>
        <v/>
      </c>
      <c r="E397" s="25" t="str">
        <f aca="false">IF(AT397="","",TEXT(INDEX(入力シート!$Q$5:$Q$204,AT397),"00000000"))</f>
        <v/>
      </c>
      <c r="F397" s="25" t="str">
        <f aca="false">IF(AT397="","",14)</f>
        <v/>
      </c>
      <c r="G397" s="25" t="str">
        <f aca="false">IF(AT397="","",1)</f>
        <v/>
      </c>
      <c r="H397" s="25" t="str">
        <f aca="false">IF(AT397="","",1)</f>
        <v/>
      </c>
      <c r="I397" s="25" t="str">
        <f aca="false">IF(AT397="","",3)</f>
        <v/>
      </c>
      <c r="J397" s="25" t="str">
        <f aca="false">IF(AT397="","",1)</f>
        <v/>
      </c>
      <c r="K397" s="25" t="str">
        <f aca="false">IF(AT397="","",INDEX(入力シート!$B$5:$B$204,AT397))</f>
        <v/>
      </c>
      <c r="L397" s="25" t="str">
        <f aca="false">IF(AT397="","","")</f>
        <v/>
      </c>
      <c r="M397" s="25" t="str">
        <f aca="false">IF(AT397="","","")</f>
        <v/>
      </c>
      <c r="N397" s="25" t="str">
        <f aca="false">IF(AT397="","",COUNTIF(入力シート!$Q$5:$Q$204,INDEX(入力シート!$Q$5:$Q$204,AT397))+1)</f>
        <v/>
      </c>
      <c r="O397" s="25" t="str">
        <f aca="false">IF(AT397="","",99)</f>
        <v/>
      </c>
      <c r="P397" s="25" t="str">
        <f aca="false">IF(AT397="","","")</f>
        <v/>
      </c>
      <c r="Q397" s="25" t="str">
        <f aca="false">IF(AT397="","","")</f>
        <v/>
      </c>
      <c r="R397" s="25" t="str">
        <f aca="false">IF(AT397="","","消費税")</f>
        <v/>
      </c>
      <c r="S397" s="25" t="str">
        <f aca="false">IF(AT397="","",0)</f>
        <v/>
      </c>
      <c r="T397" s="25" t="str">
        <f aca="false">IF(AT397="","","")</f>
        <v/>
      </c>
      <c r="U397" s="25" t="str">
        <f aca="false">IF(AT397="","",0)</f>
        <v/>
      </c>
      <c r="V397" s="25" t="str">
        <f aca="false">IF(AT397="","",0)</f>
        <v/>
      </c>
      <c r="W397" s="25" t="str">
        <f aca="false">IF(AT397="","","")</f>
        <v/>
      </c>
      <c r="X397" s="25" t="str">
        <f aca="false">IF(AT397="","",0)</f>
        <v/>
      </c>
      <c r="Y397" s="25" t="str">
        <f aca="false">IF(AT397="","",0)</f>
        <v/>
      </c>
      <c r="Z397" s="25" t="str">
        <f aca="false">IF(AT397="","",ROUNDDOWN(SUMIF(入力シート!$Q$5:$Q$204,INDEX(入力シート!$Q$5:$Q$204,AT397),入力シート!$P$5:$P$204)*IF(INDEX(入力シート!$L$5:$L$204,AT397)=13,0.1,IF(INDEX(入力シート!$L$5:$L$204,AT397)=30,0.08,0)),0))</f>
        <v/>
      </c>
      <c r="AA397" s="25" t="str">
        <f aca="false">IF(AT397="","","")</f>
        <v/>
      </c>
      <c r="AB397" s="25" t="str">
        <f aca="false">IF(AT397="","",0)</f>
        <v/>
      </c>
      <c r="AC397" s="25" t="str">
        <f aca="false">IF(AT397="","",0)</f>
        <v/>
      </c>
      <c r="AD397" s="25" t="str">
        <f aca="false">IF(AT397="","",0)</f>
        <v/>
      </c>
      <c r="AE397" s="25" t="str">
        <f aca="false">IF(AT397="","","")</f>
        <v/>
      </c>
      <c r="AF397" s="25" t="str">
        <f aca="false">IF(AT397="","",0)</f>
        <v/>
      </c>
      <c r="AG397" s="25" t="str">
        <f aca="false">IF(AT397="","",0)</f>
        <v/>
      </c>
      <c r="AH397" s="25" t="str">
        <f aca="false">IF(AT397="","","")</f>
        <v/>
      </c>
      <c r="AI397" s="25" t="str">
        <f aca="false">IF(AT397="","","")</f>
        <v/>
      </c>
      <c r="AJ397" s="25" t="str">
        <f aca="false">IF(AT397="","","")</f>
        <v/>
      </c>
      <c r="AK397" s="25" t="str">
        <f aca="false">IF(AT397="","",2)</f>
        <v/>
      </c>
      <c r="AL397" s="25" t="str">
        <f aca="false">IF(AT397="","","")</f>
        <v/>
      </c>
      <c r="AM397" s="25" t="str">
        <f aca="false">IF(AT397="","","")</f>
        <v/>
      </c>
      <c r="AN397" s="25" t="str">
        <f aca="false">IF(AT397="","",INDEX(入力シート!$C$5:$C$204,AT397))</f>
        <v/>
      </c>
      <c r="AO397" s="25" t="str">
        <f aca="false">IF(AT397="","","")</f>
        <v/>
      </c>
      <c r="AP397" s="25" t="str">
        <f aca="false">IF(AT397="","","")</f>
        <v/>
      </c>
      <c r="AQ397" s="25" t="str">
        <f aca="false">IF(AT397="","","")</f>
        <v/>
      </c>
      <c r="AT397" s="27" t="str">
        <f aca="false">IFERROR(MATCH(197,入力シート!$T$5:$T$204,0),"")</f>
        <v/>
      </c>
    </row>
    <row r="398" customFormat="false" ht="15" hidden="false" customHeight="true" outlineLevel="0" collapsed="false">
      <c r="A398" s="25" t="str">
        <f aca="false">IF(AT398="","",1)</f>
        <v/>
      </c>
      <c r="B398" s="25" t="str">
        <f aca="false">IF(AT398="","",1)</f>
        <v/>
      </c>
      <c r="C398" s="25" t="str">
        <f aca="false">IF(AT398="","",0)</f>
        <v/>
      </c>
      <c r="D398" s="25" t="str">
        <f aca="false">IF(AT398="","",TEXT(INDEX(入力シート!$A$5:$A$204,AT398),"YYYYMMDD"))</f>
        <v/>
      </c>
      <c r="E398" s="25" t="str">
        <f aca="false">IF(AT398="","",TEXT(INDEX(入力シート!$Q$5:$Q$204,AT398),"00000000"))</f>
        <v/>
      </c>
      <c r="F398" s="25" t="str">
        <f aca="false">IF(AT398="","",14)</f>
        <v/>
      </c>
      <c r="G398" s="25" t="str">
        <f aca="false">IF(AT398="","",1)</f>
        <v/>
      </c>
      <c r="H398" s="25" t="str">
        <f aca="false">IF(AT398="","",1)</f>
        <v/>
      </c>
      <c r="I398" s="25" t="str">
        <f aca="false">IF(AT398="","",3)</f>
        <v/>
      </c>
      <c r="J398" s="25" t="str">
        <f aca="false">IF(AT398="","",1)</f>
        <v/>
      </c>
      <c r="K398" s="25" t="str">
        <f aca="false">IF(AT398="","",INDEX(入力シート!$B$5:$B$204,AT398))</f>
        <v/>
      </c>
      <c r="L398" s="25" t="str">
        <f aca="false">IF(AT398="","","")</f>
        <v/>
      </c>
      <c r="M398" s="25" t="str">
        <f aca="false">IF(AT398="","","")</f>
        <v/>
      </c>
      <c r="N398" s="25" t="str">
        <f aca="false">IF(AT398="","",COUNTIF(入力シート!$Q$5:$Q$204,INDEX(入力シート!$Q$5:$Q$204,AT398))+1)</f>
        <v/>
      </c>
      <c r="O398" s="25" t="str">
        <f aca="false">IF(AT398="","",99)</f>
        <v/>
      </c>
      <c r="P398" s="25" t="str">
        <f aca="false">IF(AT398="","","")</f>
        <v/>
      </c>
      <c r="Q398" s="25" t="str">
        <f aca="false">IF(AT398="","","")</f>
        <v/>
      </c>
      <c r="R398" s="25" t="str">
        <f aca="false">IF(AT398="","","消費税")</f>
        <v/>
      </c>
      <c r="S398" s="25" t="str">
        <f aca="false">IF(AT398="","",0)</f>
        <v/>
      </c>
      <c r="T398" s="25" t="str">
        <f aca="false">IF(AT398="","","")</f>
        <v/>
      </c>
      <c r="U398" s="25" t="str">
        <f aca="false">IF(AT398="","",0)</f>
        <v/>
      </c>
      <c r="V398" s="25" t="str">
        <f aca="false">IF(AT398="","",0)</f>
        <v/>
      </c>
      <c r="W398" s="25" t="str">
        <f aca="false">IF(AT398="","","")</f>
        <v/>
      </c>
      <c r="X398" s="25" t="str">
        <f aca="false">IF(AT398="","",0)</f>
        <v/>
      </c>
      <c r="Y398" s="25" t="str">
        <f aca="false">IF(AT398="","",0)</f>
        <v/>
      </c>
      <c r="Z398" s="25" t="str">
        <f aca="false">IF(AT398="","",ROUNDDOWN(SUMIF(入力シート!$Q$5:$Q$204,INDEX(入力シート!$Q$5:$Q$204,AT398),入力シート!$P$5:$P$204)*IF(INDEX(入力シート!$L$5:$L$204,AT398)=13,0.1,IF(INDEX(入力シート!$L$5:$L$204,AT398)=30,0.08,0)),0))</f>
        <v/>
      </c>
      <c r="AA398" s="25" t="str">
        <f aca="false">IF(AT398="","","")</f>
        <v/>
      </c>
      <c r="AB398" s="25" t="str">
        <f aca="false">IF(AT398="","",0)</f>
        <v/>
      </c>
      <c r="AC398" s="25" t="str">
        <f aca="false">IF(AT398="","",0)</f>
        <v/>
      </c>
      <c r="AD398" s="25" t="str">
        <f aca="false">IF(AT398="","",0)</f>
        <v/>
      </c>
      <c r="AE398" s="25" t="str">
        <f aca="false">IF(AT398="","","")</f>
        <v/>
      </c>
      <c r="AF398" s="25" t="str">
        <f aca="false">IF(AT398="","",0)</f>
        <v/>
      </c>
      <c r="AG398" s="25" t="str">
        <f aca="false">IF(AT398="","",0)</f>
        <v/>
      </c>
      <c r="AH398" s="25" t="str">
        <f aca="false">IF(AT398="","","")</f>
        <v/>
      </c>
      <c r="AI398" s="25" t="str">
        <f aca="false">IF(AT398="","","")</f>
        <v/>
      </c>
      <c r="AJ398" s="25" t="str">
        <f aca="false">IF(AT398="","","")</f>
        <v/>
      </c>
      <c r="AK398" s="25" t="str">
        <f aca="false">IF(AT398="","",2)</f>
        <v/>
      </c>
      <c r="AL398" s="25" t="str">
        <f aca="false">IF(AT398="","","")</f>
        <v/>
      </c>
      <c r="AM398" s="25" t="str">
        <f aca="false">IF(AT398="","","")</f>
        <v/>
      </c>
      <c r="AN398" s="25" t="str">
        <f aca="false">IF(AT398="","",INDEX(入力シート!$C$5:$C$204,AT398))</f>
        <v/>
      </c>
      <c r="AO398" s="25" t="str">
        <f aca="false">IF(AT398="","","")</f>
        <v/>
      </c>
      <c r="AP398" s="25" t="str">
        <f aca="false">IF(AT398="","","")</f>
        <v/>
      </c>
      <c r="AQ398" s="25" t="str">
        <f aca="false">IF(AT398="","","")</f>
        <v/>
      </c>
      <c r="AT398" s="27" t="str">
        <f aca="false">IFERROR(MATCH(198,入力シート!$T$5:$T$204,0),"")</f>
        <v/>
      </c>
    </row>
    <row r="399" customFormat="false" ht="15" hidden="false" customHeight="true" outlineLevel="0" collapsed="false">
      <c r="A399" s="25" t="str">
        <f aca="false">IF(AT399="","",1)</f>
        <v/>
      </c>
      <c r="B399" s="25" t="str">
        <f aca="false">IF(AT399="","",1)</f>
        <v/>
      </c>
      <c r="C399" s="25" t="str">
        <f aca="false">IF(AT399="","",0)</f>
        <v/>
      </c>
      <c r="D399" s="25" t="str">
        <f aca="false">IF(AT399="","",TEXT(INDEX(入力シート!$A$5:$A$204,AT399),"YYYYMMDD"))</f>
        <v/>
      </c>
      <c r="E399" s="25" t="str">
        <f aca="false">IF(AT399="","",TEXT(INDEX(入力シート!$Q$5:$Q$204,AT399),"00000000"))</f>
        <v/>
      </c>
      <c r="F399" s="25" t="str">
        <f aca="false">IF(AT399="","",14)</f>
        <v/>
      </c>
      <c r="G399" s="25" t="str">
        <f aca="false">IF(AT399="","",1)</f>
        <v/>
      </c>
      <c r="H399" s="25" t="str">
        <f aca="false">IF(AT399="","",1)</f>
        <v/>
      </c>
      <c r="I399" s="25" t="str">
        <f aca="false">IF(AT399="","",3)</f>
        <v/>
      </c>
      <c r="J399" s="25" t="str">
        <f aca="false">IF(AT399="","",1)</f>
        <v/>
      </c>
      <c r="K399" s="25" t="str">
        <f aca="false">IF(AT399="","",INDEX(入力シート!$B$5:$B$204,AT399))</f>
        <v/>
      </c>
      <c r="L399" s="25" t="str">
        <f aca="false">IF(AT399="","","")</f>
        <v/>
      </c>
      <c r="M399" s="25" t="str">
        <f aca="false">IF(AT399="","","")</f>
        <v/>
      </c>
      <c r="N399" s="25" t="str">
        <f aca="false">IF(AT399="","",COUNTIF(入力シート!$Q$5:$Q$204,INDEX(入力シート!$Q$5:$Q$204,AT399))+1)</f>
        <v/>
      </c>
      <c r="O399" s="25" t="str">
        <f aca="false">IF(AT399="","",99)</f>
        <v/>
      </c>
      <c r="P399" s="25" t="str">
        <f aca="false">IF(AT399="","","")</f>
        <v/>
      </c>
      <c r="Q399" s="25" t="str">
        <f aca="false">IF(AT399="","","")</f>
        <v/>
      </c>
      <c r="R399" s="25" t="str">
        <f aca="false">IF(AT399="","","消費税")</f>
        <v/>
      </c>
      <c r="S399" s="25" t="str">
        <f aca="false">IF(AT399="","",0)</f>
        <v/>
      </c>
      <c r="T399" s="25" t="str">
        <f aca="false">IF(AT399="","","")</f>
        <v/>
      </c>
      <c r="U399" s="25" t="str">
        <f aca="false">IF(AT399="","",0)</f>
        <v/>
      </c>
      <c r="V399" s="25" t="str">
        <f aca="false">IF(AT399="","",0)</f>
        <v/>
      </c>
      <c r="W399" s="25" t="str">
        <f aca="false">IF(AT399="","","")</f>
        <v/>
      </c>
      <c r="X399" s="25" t="str">
        <f aca="false">IF(AT399="","",0)</f>
        <v/>
      </c>
      <c r="Y399" s="25" t="str">
        <f aca="false">IF(AT399="","",0)</f>
        <v/>
      </c>
      <c r="Z399" s="25" t="str">
        <f aca="false">IF(AT399="","",ROUNDDOWN(SUMIF(入力シート!$Q$5:$Q$204,INDEX(入力シート!$Q$5:$Q$204,AT399),入力シート!$P$5:$P$204)*IF(INDEX(入力シート!$L$5:$L$204,AT399)=13,0.1,IF(INDEX(入力シート!$L$5:$L$204,AT399)=30,0.08,0)),0))</f>
        <v/>
      </c>
      <c r="AA399" s="25" t="str">
        <f aca="false">IF(AT399="","","")</f>
        <v/>
      </c>
      <c r="AB399" s="25" t="str">
        <f aca="false">IF(AT399="","",0)</f>
        <v/>
      </c>
      <c r="AC399" s="25" t="str">
        <f aca="false">IF(AT399="","",0)</f>
        <v/>
      </c>
      <c r="AD399" s="25" t="str">
        <f aca="false">IF(AT399="","",0)</f>
        <v/>
      </c>
      <c r="AE399" s="25" t="str">
        <f aca="false">IF(AT399="","","")</f>
        <v/>
      </c>
      <c r="AF399" s="25" t="str">
        <f aca="false">IF(AT399="","",0)</f>
        <v/>
      </c>
      <c r="AG399" s="25" t="str">
        <f aca="false">IF(AT399="","",0)</f>
        <v/>
      </c>
      <c r="AH399" s="25" t="str">
        <f aca="false">IF(AT399="","","")</f>
        <v/>
      </c>
      <c r="AI399" s="25" t="str">
        <f aca="false">IF(AT399="","","")</f>
        <v/>
      </c>
      <c r="AJ399" s="25" t="str">
        <f aca="false">IF(AT399="","","")</f>
        <v/>
      </c>
      <c r="AK399" s="25" t="str">
        <f aca="false">IF(AT399="","",2)</f>
        <v/>
      </c>
      <c r="AL399" s="25" t="str">
        <f aca="false">IF(AT399="","","")</f>
        <v/>
      </c>
      <c r="AM399" s="25" t="str">
        <f aca="false">IF(AT399="","","")</f>
        <v/>
      </c>
      <c r="AN399" s="25" t="str">
        <f aca="false">IF(AT399="","",INDEX(入力シート!$C$5:$C$204,AT399))</f>
        <v/>
      </c>
      <c r="AO399" s="25" t="str">
        <f aca="false">IF(AT399="","","")</f>
        <v/>
      </c>
      <c r="AP399" s="25" t="str">
        <f aca="false">IF(AT399="","","")</f>
        <v/>
      </c>
      <c r="AQ399" s="25" t="str">
        <f aca="false">IF(AT399="","","")</f>
        <v/>
      </c>
      <c r="AT399" s="27" t="str">
        <f aca="false">IFERROR(MATCH(199,入力シート!$T$5:$T$204,0),"")</f>
        <v/>
      </c>
    </row>
    <row r="400" customFormat="false" ht="15" hidden="false" customHeight="true" outlineLevel="0" collapsed="false">
      <c r="A400" s="25" t="str">
        <f aca="false">IF(AT400="","",1)</f>
        <v/>
      </c>
      <c r="B400" s="25" t="str">
        <f aca="false">IF(AT400="","",1)</f>
        <v/>
      </c>
      <c r="C400" s="25" t="str">
        <f aca="false">IF(AT400="","",0)</f>
        <v/>
      </c>
      <c r="D400" s="25" t="str">
        <f aca="false">IF(AT400="","",TEXT(INDEX(入力シート!$A$5:$A$204,AT400),"YYYYMMDD"))</f>
        <v/>
      </c>
      <c r="E400" s="25" t="str">
        <f aca="false">IF(AT400="","",TEXT(INDEX(入力シート!$Q$5:$Q$204,AT400),"00000000"))</f>
        <v/>
      </c>
      <c r="F400" s="25" t="str">
        <f aca="false">IF(AT400="","",14)</f>
        <v/>
      </c>
      <c r="G400" s="25" t="str">
        <f aca="false">IF(AT400="","",1)</f>
        <v/>
      </c>
      <c r="H400" s="25" t="str">
        <f aca="false">IF(AT400="","",1)</f>
        <v/>
      </c>
      <c r="I400" s="25" t="str">
        <f aca="false">IF(AT400="","",3)</f>
        <v/>
      </c>
      <c r="J400" s="25" t="str">
        <f aca="false">IF(AT400="","",1)</f>
        <v/>
      </c>
      <c r="K400" s="25" t="str">
        <f aca="false">IF(AT400="","",INDEX(入力シート!$B$5:$B$204,AT400))</f>
        <v/>
      </c>
      <c r="L400" s="25" t="str">
        <f aca="false">IF(AT400="","","")</f>
        <v/>
      </c>
      <c r="M400" s="25" t="str">
        <f aca="false">IF(AT400="","","")</f>
        <v/>
      </c>
      <c r="N400" s="25" t="str">
        <f aca="false">IF(AT400="","",COUNTIF(入力シート!$Q$5:$Q$204,INDEX(入力シート!$Q$5:$Q$204,AT400))+1)</f>
        <v/>
      </c>
      <c r="O400" s="25" t="str">
        <f aca="false">IF(AT400="","",99)</f>
        <v/>
      </c>
      <c r="P400" s="25" t="str">
        <f aca="false">IF(AT400="","","")</f>
        <v/>
      </c>
      <c r="Q400" s="25" t="str">
        <f aca="false">IF(AT400="","","")</f>
        <v/>
      </c>
      <c r="R400" s="25" t="str">
        <f aca="false">IF(AT400="","","消費税")</f>
        <v/>
      </c>
      <c r="S400" s="25" t="str">
        <f aca="false">IF(AT400="","",0)</f>
        <v/>
      </c>
      <c r="T400" s="25" t="str">
        <f aca="false">IF(AT400="","","")</f>
        <v/>
      </c>
      <c r="U400" s="25" t="str">
        <f aca="false">IF(AT400="","",0)</f>
        <v/>
      </c>
      <c r="V400" s="25" t="str">
        <f aca="false">IF(AT400="","",0)</f>
        <v/>
      </c>
      <c r="W400" s="25" t="str">
        <f aca="false">IF(AT400="","","")</f>
        <v/>
      </c>
      <c r="X400" s="25" t="str">
        <f aca="false">IF(AT400="","",0)</f>
        <v/>
      </c>
      <c r="Y400" s="25" t="str">
        <f aca="false">IF(AT400="","",0)</f>
        <v/>
      </c>
      <c r="Z400" s="25" t="str">
        <f aca="false">IF(AT400="","",ROUNDDOWN(SUMIF(入力シート!$Q$5:$Q$204,INDEX(入力シート!$Q$5:$Q$204,AT400),入力シート!$P$5:$P$204)*IF(INDEX(入力シート!$L$5:$L$204,AT400)=13,0.1,IF(INDEX(入力シート!$L$5:$L$204,AT400)=30,0.08,0)),0))</f>
        <v/>
      </c>
      <c r="AA400" s="25" t="str">
        <f aca="false">IF(AT400="","","")</f>
        <v/>
      </c>
      <c r="AB400" s="25" t="str">
        <f aca="false">IF(AT400="","",0)</f>
        <v/>
      </c>
      <c r="AC400" s="25" t="str">
        <f aca="false">IF(AT400="","",0)</f>
        <v/>
      </c>
      <c r="AD400" s="25" t="str">
        <f aca="false">IF(AT400="","",0)</f>
        <v/>
      </c>
      <c r="AE400" s="25" t="str">
        <f aca="false">IF(AT400="","","")</f>
        <v/>
      </c>
      <c r="AF400" s="25" t="str">
        <f aca="false">IF(AT400="","",0)</f>
        <v/>
      </c>
      <c r="AG400" s="25" t="str">
        <f aca="false">IF(AT400="","",0)</f>
        <v/>
      </c>
      <c r="AH400" s="25" t="str">
        <f aca="false">IF(AT400="","","")</f>
        <v/>
      </c>
      <c r="AI400" s="25" t="str">
        <f aca="false">IF(AT400="","","")</f>
        <v/>
      </c>
      <c r="AJ400" s="25" t="str">
        <f aca="false">IF(AT400="","","")</f>
        <v/>
      </c>
      <c r="AK400" s="25" t="str">
        <f aca="false">IF(AT400="","",2)</f>
        <v/>
      </c>
      <c r="AL400" s="25" t="str">
        <f aca="false">IF(AT400="","","")</f>
        <v/>
      </c>
      <c r="AM400" s="25" t="str">
        <f aca="false">IF(AT400="","","")</f>
        <v/>
      </c>
      <c r="AN400" s="25" t="str">
        <f aca="false">IF(AT400="","",INDEX(入力シート!$C$5:$C$204,AT400))</f>
        <v/>
      </c>
      <c r="AO400" s="25" t="str">
        <f aca="false">IF(AT400="","","")</f>
        <v/>
      </c>
      <c r="AP400" s="25" t="str">
        <f aca="false">IF(AT400="","","")</f>
        <v/>
      </c>
      <c r="AQ400" s="25" t="str">
        <f aca="false">IF(AT400="","","")</f>
        <v/>
      </c>
      <c r="AT400" s="27" t="str">
        <f aca="false">IFERROR(MATCH(200,入力シート!$T$5:$T$204,0),"")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2026-08-31T21:09:09Z</dcterms:created>
  <dc:creator>openpyxl</dc:creator>
  <dc:description/>
  <dc:language>en-US</dc:language>
  <cp:lastModifiedBy/>
  <dcterms:modified xsi:type="dcterms:W3CDTF">2026-08-31T21:09:40Z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